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evelopment\Projects\chitrakala-arts\docs\inventory-sync\"/>
    </mc:Choice>
  </mc:AlternateContent>
  <xr:revisionPtr revIDLastSave="0" documentId="8_{AEDCDE9B-72CA-4941-98D7-FACDA92129B1}" xr6:coauthVersionLast="47" xr6:coauthVersionMax="47" xr10:uidLastSave="{00000000-0000-0000-0000-000000000000}"/>
  <bookViews>
    <workbookView xWindow="-108" yWindow="-108" windowWidth="23256" windowHeight="12456" activeTab="2" xr2:uid="{00000000-000D-0000-FFFF-FFFF00000000}"/>
  </bookViews>
  <sheets>
    <sheet name="ReadMe" sheetId="1" r:id="rId1"/>
    <sheet name="Sync_Summary" sheetId="2" r:id="rId2"/>
    <sheet name="⚙️ Assumptions" sheetId="11" r:id="rId3"/>
    <sheet name="DB_Artworks_Export" sheetId="3" r:id="rId4"/>
    <sheet name="DB_Artwork_Sizes_Export" sheetId="4" r:id="rId5"/>
    <sheet name="DB_Categories_Export" sheetId="5" r:id="rId6"/>
    <sheet name="Inventory_Master" sheetId="6" r:id="rId7"/>
    <sheet name="Potential_Issues_Auto" sheetId="7" r:id="rId8"/>
    <sheet name="Reconciliation_Report" sheetId="8" r:id="rId9"/>
    <sheet name="Import_Validation_Rules" sheetId="9" r:id="rId10"/>
    <sheet name="DB_to_Inventory_Field_Mapping"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6" l="1"/>
  <c r="C26" i="11"/>
  <c r="C27" i="11" s="1"/>
  <c r="A500" i="8"/>
  <c r="A499" i="8"/>
  <c r="A498" i="8"/>
  <c r="A497" i="8"/>
  <c r="A496" i="8"/>
  <c r="A495" i="8"/>
  <c r="A494" i="8"/>
  <c r="A493" i="8"/>
  <c r="A492" i="8"/>
  <c r="A491" i="8"/>
  <c r="A490" i="8"/>
  <c r="A489" i="8"/>
  <c r="A488" i="8"/>
  <c r="A487" i="8"/>
  <c r="A486" i="8"/>
  <c r="A485" i="8"/>
  <c r="A484" i="8"/>
  <c r="A483" i="8"/>
  <c r="A482" i="8"/>
  <c r="A481" i="8"/>
  <c r="A480" i="8"/>
  <c r="A479" i="8"/>
  <c r="A478" i="8"/>
  <c r="A477" i="8"/>
  <c r="A476" i="8"/>
  <c r="A475" i="8"/>
  <c r="A474" i="8"/>
  <c r="A473" i="8"/>
  <c r="A472" i="8"/>
  <c r="A471" i="8"/>
  <c r="A470" i="8"/>
  <c r="A469" i="8"/>
  <c r="A468" i="8"/>
  <c r="A467" i="8"/>
  <c r="A466" i="8"/>
  <c r="A465" i="8"/>
  <c r="A464" i="8"/>
  <c r="A463" i="8"/>
  <c r="A462" i="8"/>
  <c r="A461" i="8"/>
  <c r="A460" i="8"/>
  <c r="A459" i="8"/>
  <c r="A458" i="8"/>
  <c r="A457" i="8"/>
  <c r="A456" i="8"/>
  <c r="A455" i="8"/>
  <c r="A454" i="8"/>
  <c r="A453" i="8"/>
  <c r="A452" i="8"/>
  <c r="A451" i="8"/>
  <c r="A450" i="8"/>
  <c r="A449" i="8"/>
  <c r="A448" i="8"/>
  <c r="A447" i="8"/>
  <c r="A446" i="8"/>
  <c r="A445" i="8"/>
  <c r="A444" i="8"/>
  <c r="A443" i="8"/>
  <c r="A442" i="8"/>
  <c r="A441" i="8"/>
  <c r="A440" i="8"/>
  <c r="A439" i="8"/>
  <c r="A438" i="8"/>
  <c r="A437" i="8"/>
  <c r="A436" i="8"/>
  <c r="A435" i="8"/>
  <c r="A434" i="8"/>
  <c r="A433" i="8"/>
  <c r="A432" i="8"/>
  <c r="A431" i="8"/>
  <c r="A430" i="8"/>
  <c r="A429" i="8"/>
  <c r="A428" i="8"/>
  <c r="A427" i="8"/>
  <c r="A426" i="8"/>
  <c r="A425" i="8"/>
  <c r="A424" i="8"/>
  <c r="A423" i="8"/>
  <c r="A422" i="8"/>
  <c r="A421" i="8"/>
  <c r="A420" i="8"/>
  <c r="A419" i="8"/>
  <c r="A418" i="8"/>
  <c r="A417" i="8"/>
  <c r="A416" i="8"/>
  <c r="A415" i="8"/>
  <c r="A414" i="8"/>
  <c r="A413" i="8"/>
  <c r="A412" i="8"/>
  <c r="A411" i="8"/>
  <c r="A410" i="8"/>
  <c r="A409" i="8"/>
  <c r="A408" i="8"/>
  <c r="A407" i="8"/>
  <c r="A406" i="8"/>
  <c r="A405" i="8"/>
  <c r="A404" i="8"/>
  <c r="A403" i="8"/>
  <c r="A402" i="8"/>
  <c r="A401" i="8"/>
  <c r="A400" i="8"/>
  <c r="A399" i="8"/>
  <c r="A398" i="8"/>
  <c r="A397" i="8"/>
  <c r="A396" i="8"/>
  <c r="A395" i="8"/>
  <c r="A394" i="8"/>
  <c r="A393" i="8"/>
  <c r="A392" i="8"/>
  <c r="A391" i="8"/>
  <c r="A390" i="8"/>
  <c r="A389" i="8"/>
  <c r="A388" i="8"/>
  <c r="A387" i="8"/>
  <c r="A386" i="8"/>
  <c r="A385" i="8"/>
  <c r="A384" i="8"/>
  <c r="A383" i="8"/>
  <c r="A382" i="8"/>
  <c r="A381" i="8"/>
  <c r="A380" i="8"/>
  <c r="A379" i="8"/>
  <c r="A378" i="8"/>
  <c r="A377" i="8"/>
  <c r="A376" i="8"/>
  <c r="A375" i="8"/>
  <c r="A374" i="8"/>
  <c r="A373" i="8"/>
  <c r="A372" i="8"/>
  <c r="A371" i="8"/>
  <c r="A370" i="8"/>
  <c r="A369" i="8"/>
  <c r="A368" i="8"/>
  <c r="A367" i="8"/>
  <c r="A366" i="8"/>
  <c r="A365" i="8"/>
  <c r="A364" i="8"/>
  <c r="A363" i="8"/>
  <c r="A362" i="8"/>
  <c r="A361" i="8"/>
  <c r="A360" i="8"/>
  <c r="A359" i="8"/>
  <c r="A358" i="8"/>
  <c r="A357" i="8"/>
  <c r="A356" i="8"/>
  <c r="A355" i="8"/>
  <c r="A354" i="8"/>
  <c r="A353" i="8"/>
  <c r="A352" i="8"/>
  <c r="A351" i="8"/>
  <c r="A350" i="8"/>
  <c r="A349" i="8"/>
  <c r="A348" i="8"/>
  <c r="A347" i="8"/>
  <c r="A346" i="8"/>
  <c r="A345" i="8"/>
  <c r="A344" i="8"/>
  <c r="A343" i="8"/>
  <c r="A342" i="8"/>
  <c r="A341" i="8"/>
  <c r="A340" i="8"/>
  <c r="A339" i="8"/>
  <c r="A338" i="8"/>
  <c r="A337"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L500" i="6"/>
  <c r="AK500" i="6"/>
  <c r="AJ500" i="6"/>
  <c r="AI500" i="6"/>
  <c r="S500" i="6"/>
  <c r="Q500" i="6"/>
  <c r="P500" i="6"/>
  <c r="O500" i="6"/>
  <c r="AM500" i="6" s="1"/>
  <c r="N500" i="6"/>
  <c r="M500" i="6"/>
  <c r="L500" i="6"/>
  <c r="K500" i="6"/>
  <c r="J500" i="6"/>
  <c r="I500" i="6"/>
  <c r="H500" i="6"/>
  <c r="G500" i="6"/>
  <c r="F500" i="6"/>
  <c r="AG500" i="6" s="1"/>
  <c r="AH500" i="6" s="1"/>
  <c r="E500" i="6"/>
  <c r="D500" i="6"/>
  <c r="C500" i="6"/>
  <c r="C500" i="7" s="1"/>
  <c r="AL499" i="6"/>
  <c r="AI499" i="6"/>
  <c r="AG499" i="6"/>
  <c r="AH499" i="6" s="1"/>
  <c r="AF499" i="6"/>
  <c r="S499" i="6"/>
  <c r="Q499" i="6"/>
  <c r="P499" i="6"/>
  <c r="O499" i="6"/>
  <c r="AM499" i="6" s="1"/>
  <c r="N499" i="6"/>
  <c r="M499" i="6"/>
  <c r="L499" i="6"/>
  <c r="K499" i="6"/>
  <c r="J499" i="6"/>
  <c r="AK499" i="6" s="1"/>
  <c r="I499" i="6"/>
  <c r="AJ499" i="6" s="1"/>
  <c r="H499" i="6"/>
  <c r="G499" i="6"/>
  <c r="F499" i="6"/>
  <c r="E499" i="6"/>
  <c r="B499" i="7" s="1"/>
  <c r="D499" i="6"/>
  <c r="AL498" i="6"/>
  <c r="AJ498" i="6"/>
  <c r="AI498" i="6"/>
  <c r="AG498" i="6"/>
  <c r="AH498" i="6" s="1"/>
  <c r="AF498" i="6"/>
  <c r="W498" i="6"/>
  <c r="E498" i="7" s="1"/>
  <c r="S498" i="6"/>
  <c r="Q498" i="6"/>
  <c r="P498" i="6"/>
  <c r="O498" i="6"/>
  <c r="AM498" i="6" s="1"/>
  <c r="N498" i="6"/>
  <c r="M498" i="6"/>
  <c r="L498" i="6"/>
  <c r="K498" i="6"/>
  <c r="J498" i="6"/>
  <c r="AK498" i="6" s="1"/>
  <c r="I498" i="6"/>
  <c r="H498" i="6"/>
  <c r="G498" i="6"/>
  <c r="F498" i="6"/>
  <c r="E498" i="6"/>
  <c r="B498" i="7" s="1"/>
  <c r="D498" i="6"/>
  <c r="C498" i="6"/>
  <c r="C498" i="7" s="1"/>
  <c r="AL497" i="6"/>
  <c r="AJ497" i="6"/>
  <c r="AI497" i="6"/>
  <c r="W497" i="6"/>
  <c r="E497" i="7" s="1"/>
  <c r="R497" i="6"/>
  <c r="D497" i="7" s="1"/>
  <c r="Q497" i="6"/>
  <c r="P497" i="6"/>
  <c r="O497" i="6"/>
  <c r="AM497" i="6" s="1"/>
  <c r="N497" i="6"/>
  <c r="M497" i="6"/>
  <c r="L497" i="6"/>
  <c r="K497" i="6"/>
  <c r="J497" i="6"/>
  <c r="AK497" i="6" s="1"/>
  <c r="I497" i="6"/>
  <c r="H497" i="6"/>
  <c r="G497" i="6"/>
  <c r="F497" i="6"/>
  <c r="AG497" i="6" s="1"/>
  <c r="AH497" i="6" s="1"/>
  <c r="E497" i="6"/>
  <c r="B497" i="7" s="1"/>
  <c r="D497" i="6"/>
  <c r="C497" i="6"/>
  <c r="C497" i="7" s="1"/>
  <c r="AM496" i="6"/>
  <c r="AL496" i="6"/>
  <c r="AI496" i="6"/>
  <c r="V496" i="6"/>
  <c r="R496" i="6"/>
  <c r="D496" i="7" s="1"/>
  <c r="Q496" i="6"/>
  <c r="P496" i="6"/>
  <c r="O496" i="6"/>
  <c r="N496" i="6"/>
  <c r="M496" i="6"/>
  <c r="L496" i="6"/>
  <c r="K496" i="6"/>
  <c r="J496" i="6"/>
  <c r="AK496" i="6" s="1"/>
  <c r="I496" i="6"/>
  <c r="AJ496" i="6" s="1"/>
  <c r="H496" i="6"/>
  <c r="G496" i="6"/>
  <c r="F496" i="6"/>
  <c r="AG496" i="6" s="1"/>
  <c r="AH496" i="6" s="1"/>
  <c r="E496" i="6"/>
  <c r="D496" i="6"/>
  <c r="AL495" i="6"/>
  <c r="AI495" i="6"/>
  <c r="AG495" i="6"/>
  <c r="AH495" i="6" s="1"/>
  <c r="AF495" i="6"/>
  <c r="V495" i="6"/>
  <c r="U495" i="6"/>
  <c r="S495" i="6"/>
  <c r="Q495" i="6"/>
  <c r="P495" i="6"/>
  <c r="O495" i="6"/>
  <c r="AM495" i="6" s="1"/>
  <c r="N495" i="6"/>
  <c r="M495" i="6"/>
  <c r="L495" i="6"/>
  <c r="K495" i="6"/>
  <c r="J495" i="6"/>
  <c r="AK495" i="6" s="1"/>
  <c r="I495" i="6"/>
  <c r="AJ495" i="6" s="1"/>
  <c r="H495" i="6"/>
  <c r="G495" i="6"/>
  <c r="F495" i="6"/>
  <c r="E495" i="6"/>
  <c r="B495" i="7" s="1"/>
  <c r="D495" i="6"/>
  <c r="AL494" i="6"/>
  <c r="AJ494" i="6"/>
  <c r="AI494" i="6"/>
  <c r="AG494" i="6"/>
  <c r="AH494" i="6" s="1"/>
  <c r="AF494" i="6"/>
  <c r="W494" i="6"/>
  <c r="E494" i="7" s="1"/>
  <c r="S494" i="6"/>
  <c r="Q494" i="6"/>
  <c r="P494" i="6"/>
  <c r="O494" i="6"/>
  <c r="AM494" i="6" s="1"/>
  <c r="N494" i="6"/>
  <c r="M494" i="6"/>
  <c r="L494" i="6"/>
  <c r="K494" i="6"/>
  <c r="J494" i="6"/>
  <c r="AK494" i="6" s="1"/>
  <c r="I494" i="6"/>
  <c r="H494" i="6"/>
  <c r="G494" i="6"/>
  <c r="F494" i="6"/>
  <c r="E494" i="6"/>
  <c r="B494" i="7" s="1"/>
  <c r="D494" i="6"/>
  <c r="C494" i="6"/>
  <c r="C494" i="7" s="1"/>
  <c r="AL493" i="6"/>
  <c r="AJ493" i="6"/>
  <c r="AI493" i="6"/>
  <c r="W493" i="6"/>
  <c r="E493" i="7" s="1"/>
  <c r="R493" i="6"/>
  <c r="D493" i="7" s="1"/>
  <c r="Q493" i="6"/>
  <c r="P493" i="6"/>
  <c r="O493" i="6"/>
  <c r="AM493" i="6" s="1"/>
  <c r="N493" i="6"/>
  <c r="M493" i="6"/>
  <c r="L493" i="6"/>
  <c r="K493" i="6"/>
  <c r="J493" i="6"/>
  <c r="AK493" i="6" s="1"/>
  <c r="I493" i="6"/>
  <c r="H493" i="6"/>
  <c r="G493" i="6"/>
  <c r="F493" i="6"/>
  <c r="AG493" i="6" s="1"/>
  <c r="AH493" i="6" s="1"/>
  <c r="E493" i="6"/>
  <c r="B493" i="7" s="1"/>
  <c r="D493" i="6"/>
  <c r="C493" i="6"/>
  <c r="C493" i="7" s="1"/>
  <c r="AM492" i="6"/>
  <c r="AL492" i="6"/>
  <c r="AI492" i="6"/>
  <c r="V492" i="6"/>
  <c r="R492" i="6"/>
  <c r="D492" i="7" s="1"/>
  <c r="Q492" i="6"/>
  <c r="P492" i="6"/>
  <c r="O492" i="6"/>
  <c r="N492" i="6"/>
  <c r="M492" i="6"/>
  <c r="L492" i="6"/>
  <c r="K492" i="6"/>
  <c r="J492" i="6"/>
  <c r="AK492" i="6" s="1"/>
  <c r="I492" i="6"/>
  <c r="AJ492" i="6" s="1"/>
  <c r="H492" i="6"/>
  <c r="G492" i="6"/>
  <c r="F492" i="6"/>
  <c r="AG492" i="6" s="1"/>
  <c r="AH492" i="6" s="1"/>
  <c r="E492" i="6"/>
  <c r="D492" i="6"/>
  <c r="AL491" i="6"/>
  <c r="AI491" i="6"/>
  <c r="AG491" i="6"/>
  <c r="AH491" i="6" s="1"/>
  <c r="AF491" i="6"/>
  <c r="V491" i="6"/>
  <c r="U491" i="6"/>
  <c r="S491" i="6"/>
  <c r="Q491" i="6"/>
  <c r="P491" i="6"/>
  <c r="O491" i="6"/>
  <c r="AM491" i="6" s="1"/>
  <c r="N491" i="6"/>
  <c r="M491" i="6"/>
  <c r="L491" i="6"/>
  <c r="K491" i="6"/>
  <c r="J491" i="6"/>
  <c r="AK491" i="6" s="1"/>
  <c r="I491" i="6"/>
  <c r="AJ491" i="6" s="1"/>
  <c r="H491" i="6"/>
  <c r="G491" i="6"/>
  <c r="F491" i="6"/>
  <c r="E491" i="6"/>
  <c r="B491" i="7" s="1"/>
  <c r="D491" i="6"/>
  <c r="AL490" i="6"/>
  <c r="AJ490" i="6"/>
  <c r="AI490" i="6"/>
  <c r="AG490" i="6"/>
  <c r="AH490" i="6" s="1"/>
  <c r="AF490" i="6"/>
  <c r="W490" i="6"/>
  <c r="E490" i="7" s="1"/>
  <c r="S490" i="6"/>
  <c r="Q490" i="6"/>
  <c r="P490" i="6"/>
  <c r="O490" i="6"/>
  <c r="AM490" i="6" s="1"/>
  <c r="N490" i="6"/>
  <c r="M490" i="6"/>
  <c r="L490" i="6"/>
  <c r="K490" i="6"/>
  <c r="J490" i="6"/>
  <c r="AK490" i="6" s="1"/>
  <c r="I490" i="6"/>
  <c r="H490" i="6"/>
  <c r="G490" i="6"/>
  <c r="F490" i="6"/>
  <c r="E490" i="6"/>
  <c r="B490" i="7" s="1"/>
  <c r="D490" i="6"/>
  <c r="C490" i="6"/>
  <c r="C490" i="7" s="1"/>
  <c r="AL489" i="6"/>
  <c r="AJ489" i="6"/>
  <c r="AI489" i="6"/>
  <c r="W489" i="6"/>
  <c r="E489" i="7" s="1"/>
  <c r="R489" i="6"/>
  <c r="D489" i="7" s="1"/>
  <c r="Q489" i="6"/>
  <c r="P489" i="6"/>
  <c r="O489" i="6"/>
  <c r="AM489" i="6" s="1"/>
  <c r="N489" i="6"/>
  <c r="M489" i="6"/>
  <c r="L489" i="6"/>
  <c r="K489" i="6"/>
  <c r="J489" i="6"/>
  <c r="AK489" i="6" s="1"/>
  <c r="I489" i="6"/>
  <c r="H489" i="6"/>
  <c r="G489" i="6"/>
  <c r="F489" i="6"/>
  <c r="AG489" i="6" s="1"/>
  <c r="AH489" i="6" s="1"/>
  <c r="E489" i="6"/>
  <c r="B489" i="7" s="1"/>
  <c r="D489" i="6"/>
  <c r="C489" i="6"/>
  <c r="C489" i="7" s="1"/>
  <c r="AM488" i="6"/>
  <c r="AL488" i="6"/>
  <c r="AI488" i="6"/>
  <c r="V488" i="6"/>
  <c r="R488" i="6"/>
  <c r="D488" i="7" s="1"/>
  <c r="Q488" i="6"/>
  <c r="P488" i="6"/>
  <c r="O488" i="6"/>
  <c r="N488" i="6"/>
  <c r="M488" i="6"/>
  <c r="L488" i="6"/>
  <c r="K488" i="6"/>
  <c r="J488" i="6"/>
  <c r="AK488" i="6" s="1"/>
  <c r="I488" i="6"/>
  <c r="AJ488" i="6" s="1"/>
  <c r="H488" i="6"/>
  <c r="G488" i="6"/>
  <c r="F488" i="6"/>
  <c r="AG488" i="6" s="1"/>
  <c r="AH488" i="6" s="1"/>
  <c r="E488" i="6"/>
  <c r="D488" i="6"/>
  <c r="AL487" i="6"/>
  <c r="AI487" i="6"/>
  <c r="AG487" i="6"/>
  <c r="AH487" i="6" s="1"/>
  <c r="AF487" i="6"/>
  <c r="V487" i="6"/>
  <c r="U487" i="6"/>
  <c r="S487" i="6"/>
  <c r="Q487" i="6"/>
  <c r="P487" i="6"/>
  <c r="O487" i="6"/>
  <c r="AM487" i="6" s="1"/>
  <c r="N487" i="6"/>
  <c r="M487" i="6"/>
  <c r="L487" i="6"/>
  <c r="K487" i="6"/>
  <c r="J487" i="6"/>
  <c r="AK487" i="6" s="1"/>
  <c r="I487" i="6"/>
  <c r="AJ487" i="6" s="1"/>
  <c r="H487" i="6"/>
  <c r="G487" i="6"/>
  <c r="F487" i="6"/>
  <c r="E487" i="6"/>
  <c r="B487" i="7" s="1"/>
  <c r="D487" i="6"/>
  <c r="AL486" i="6"/>
  <c r="AJ486" i="6"/>
  <c r="AI486" i="6"/>
  <c r="AG486" i="6"/>
  <c r="AH486" i="6" s="1"/>
  <c r="AF486" i="6"/>
  <c r="W486" i="6"/>
  <c r="E486" i="7" s="1"/>
  <c r="S486" i="6"/>
  <c r="Q486" i="6"/>
  <c r="P486" i="6"/>
  <c r="O486" i="6"/>
  <c r="AM486" i="6" s="1"/>
  <c r="N486" i="6"/>
  <c r="M486" i="6"/>
  <c r="L486" i="6"/>
  <c r="K486" i="6"/>
  <c r="J486" i="6"/>
  <c r="AK486" i="6" s="1"/>
  <c r="I486" i="6"/>
  <c r="H486" i="6"/>
  <c r="G486" i="6"/>
  <c r="F486" i="6"/>
  <c r="E486" i="6"/>
  <c r="B486" i="7" s="1"/>
  <c r="D486" i="6"/>
  <c r="C486" i="6"/>
  <c r="C486" i="7" s="1"/>
  <c r="AL485" i="6"/>
  <c r="AJ485" i="6"/>
  <c r="AI485" i="6"/>
  <c r="W485" i="6"/>
  <c r="E485" i="7" s="1"/>
  <c r="R485" i="6"/>
  <c r="D485" i="7" s="1"/>
  <c r="Q485" i="6"/>
  <c r="P485" i="6"/>
  <c r="O485" i="6"/>
  <c r="AM485" i="6" s="1"/>
  <c r="N485" i="6"/>
  <c r="M485" i="6"/>
  <c r="L485" i="6"/>
  <c r="K485" i="6"/>
  <c r="J485" i="6"/>
  <c r="AK485" i="6" s="1"/>
  <c r="I485" i="6"/>
  <c r="H485" i="6"/>
  <c r="G485" i="6"/>
  <c r="F485" i="6"/>
  <c r="AG485" i="6" s="1"/>
  <c r="AH485" i="6" s="1"/>
  <c r="E485" i="6"/>
  <c r="B485" i="7" s="1"/>
  <c r="D485" i="6"/>
  <c r="C485" i="6"/>
  <c r="C485" i="7" s="1"/>
  <c r="AM484" i="6"/>
  <c r="AL484" i="6"/>
  <c r="AI484" i="6"/>
  <c r="V484" i="6"/>
  <c r="R484" i="6"/>
  <c r="D484" i="7" s="1"/>
  <c r="Q484" i="6"/>
  <c r="P484" i="6"/>
  <c r="O484" i="6"/>
  <c r="N484" i="6"/>
  <c r="M484" i="6"/>
  <c r="L484" i="6"/>
  <c r="K484" i="6"/>
  <c r="J484" i="6"/>
  <c r="AK484" i="6" s="1"/>
  <c r="I484" i="6"/>
  <c r="AJ484" i="6" s="1"/>
  <c r="H484" i="6"/>
  <c r="G484" i="6"/>
  <c r="F484" i="6"/>
  <c r="AG484" i="6" s="1"/>
  <c r="AH484" i="6" s="1"/>
  <c r="E484" i="6"/>
  <c r="D484" i="6"/>
  <c r="AL483" i="6"/>
  <c r="AI483" i="6"/>
  <c r="AG483" i="6"/>
  <c r="AH483" i="6" s="1"/>
  <c r="AF483" i="6"/>
  <c r="V483" i="6"/>
  <c r="U483" i="6"/>
  <c r="S483" i="6"/>
  <c r="Q483" i="6"/>
  <c r="P483" i="6"/>
  <c r="O483" i="6"/>
  <c r="AM483" i="6" s="1"/>
  <c r="N483" i="6"/>
  <c r="M483" i="6"/>
  <c r="L483" i="6"/>
  <c r="K483" i="6"/>
  <c r="J483" i="6"/>
  <c r="AK483" i="6" s="1"/>
  <c r="I483" i="6"/>
  <c r="AJ483" i="6" s="1"/>
  <c r="H483" i="6"/>
  <c r="G483" i="6"/>
  <c r="F483" i="6"/>
  <c r="E483" i="6"/>
  <c r="B483" i="7" s="1"/>
  <c r="D483" i="6"/>
  <c r="AL482" i="6"/>
  <c r="AJ482" i="6"/>
  <c r="AI482" i="6"/>
  <c r="AG482" i="6"/>
  <c r="AH482" i="6" s="1"/>
  <c r="AF482" i="6"/>
  <c r="W482" i="6"/>
  <c r="E482" i="7" s="1"/>
  <c r="S482" i="6"/>
  <c r="Q482" i="6"/>
  <c r="P482" i="6"/>
  <c r="O482" i="6"/>
  <c r="AM482" i="6" s="1"/>
  <c r="N482" i="6"/>
  <c r="M482" i="6"/>
  <c r="L482" i="6"/>
  <c r="K482" i="6"/>
  <c r="J482" i="6"/>
  <c r="AK482" i="6" s="1"/>
  <c r="I482" i="6"/>
  <c r="H482" i="6"/>
  <c r="G482" i="6"/>
  <c r="F482" i="6"/>
  <c r="E482" i="6"/>
  <c r="B482" i="7" s="1"/>
  <c r="D482" i="6"/>
  <c r="C482" i="6"/>
  <c r="C482" i="7" s="1"/>
  <c r="AL481" i="6"/>
  <c r="AJ481" i="6"/>
  <c r="AI481" i="6"/>
  <c r="W481" i="6"/>
  <c r="E481" i="7" s="1"/>
  <c r="R481" i="6"/>
  <c r="D481" i="7" s="1"/>
  <c r="Q481" i="6"/>
  <c r="P481" i="6"/>
  <c r="O481" i="6"/>
  <c r="AM481" i="6" s="1"/>
  <c r="N481" i="6"/>
  <c r="M481" i="6"/>
  <c r="L481" i="6"/>
  <c r="K481" i="6"/>
  <c r="J481" i="6"/>
  <c r="AK481" i="6" s="1"/>
  <c r="I481" i="6"/>
  <c r="H481" i="6"/>
  <c r="G481" i="6"/>
  <c r="F481" i="6"/>
  <c r="AG481" i="6" s="1"/>
  <c r="AH481" i="6" s="1"/>
  <c r="E481" i="6"/>
  <c r="B481" i="7" s="1"/>
  <c r="D481" i="6"/>
  <c r="C481" i="6"/>
  <c r="C481" i="7" s="1"/>
  <c r="AM480" i="6"/>
  <c r="AL480" i="6"/>
  <c r="AI480" i="6"/>
  <c r="V480" i="6"/>
  <c r="R480" i="6"/>
  <c r="D480" i="7" s="1"/>
  <c r="Q480" i="6"/>
  <c r="P480" i="6"/>
  <c r="O480" i="6"/>
  <c r="N480" i="6"/>
  <c r="M480" i="6"/>
  <c r="L480" i="6"/>
  <c r="K480" i="6"/>
  <c r="J480" i="6"/>
  <c r="AK480" i="6" s="1"/>
  <c r="I480" i="6"/>
  <c r="AJ480" i="6" s="1"/>
  <c r="H480" i="6"/>
  <c r="G480" i="6"/>
  <c r="F480" i="6"/>
  <c r="AG480" i="6" s="1"/>
  <c r="AH480" i="6" s="1"/>
  <c r="E480" i="6"/>
  <c r="D480" i="6"/>
  <c r="AL479" i="6"/>
  <c r="AI479" i="6"/>
  <c r="AG479" i="6"/>
  <c r="AH479" i="6" s="1"/>
  <c r="AF479" i="6"/>
  <c r="V479" i="6"/>
  <c r="U479" i="6"/>
  <c r="S479" i="6"/>
  <c r="Q479" i="6"/>
  <c r="P479" i="6"/>
  <c r="O479" i="6"/>
  <c r="AM479" i="6" s="1"/>
  <c r="N479" i="6"/>
  <c r="M479" i="6"/>
  <c r="L479" i="6"/>
  <c r="K479" i="6"/>
  <c r="J479" i="6"/>
  <c r="AK479" i="6" s="1"/>
  <c r="I479" i="6"/>
  <c r="AJ479" i="6" s="1"/>
  <c r="H479" i="6"/>
  <c r="G479" i="6"/>
  <c r="F479" i="6"/>
  <c r="E479" i="6"/>
  <c r="B479" i="7" s="1"/>
  <c r="D479" i="6"/>
  <c r="AL478" i="6"/>
  <c r="AJ478" i="6"/>
  <c r="AI478" i="6"/>
  <c r="AG478" i="6"/>
  <c r="AH478" i="6" s="1"/>
  <c r="AF478" i="6"/>
  <c r="W478" i="6"/>
  <c r="E478" i="7" s="1"/>
  <c r="S478" i="6"/>
  <c r="Q478" i="6"/>
  <c r="P478" i="6"/>
  <c r="O478" i="6"/>
  <c r="AM478" i="6" s="1"/>
  <c r="N478" i="6"/>
  <c r="M478" i="6"/>
  <c r="L478" i="6"/>
  <c r="K478" i="6"/>
  <c r="J478" i="6"/>
  <c r="AK478" i="6" s="1"/>
  <c r="I478" i="6"/>
  <c r="H478" i="6"/>
  <c r="G478" i="6"/>
  <c r="F478" i="6"/>
  <c r="E478" i="6"/>
  <c r="B478" i="7" s="1"/>
  <c r="D478" i="6"/>
  <c r="C478" i="6"/>
  <c r="C478" i="7" s="1"/>
  <c r="AL477" i="6"/>
  <c r="AJ477" i="6"/>
  <c r="AI477" i="6"/>
  <c r="W477" i="6"/>
  <c r="E477" i="7" s="1"/>
  <c r="R477" i="6"/>
  <c r="D477" i="7" s="1"/>
  <c r="Q477" i="6"/>
  <c r="P477" i="6"/>
  <c r="O477" i="6"/>
  <c r="AM477" i="6" s="1"/>
  <c r="N477" i="6"/>
  <c r="M477" i="6"/>
  <c r="L477" i="6"/>
  <c r="K477" i="6"/>
  <c r="J477" i="6"/>
  <c r="AK477" i="6" s="1"/>
  <c r="I477" i="6"/>
  <c r="H477" i="6"/>
  <c r="G477" i="6"/>
  <c r="F477" i="6"/>
  <c r="AG477" i="6" s="1"/>
  <c r="AH477" i="6" s="1"/>
  <c r="E477" i="6"/>
  <c r="B477" i="7" s="1"/>
  <c r="D477" i="6"/>
  <c r="C477" i="6"/>
  <c r="C477" i="7" s="1"/>
  <c r="AM476" i="6"/>
  <c r="AL476" i="6"/>
  <c r="AI476" i="6"/>
  <c r="V476" i="6"/>
  <c r="R476" i="6"/>
  <c r="D476" i="7" s="1"/>
  <c r="Q476" i="6"/>
  <c r="P476" i="6"/>
  <c r="O476" i="6"/>
  <c r="N476" i="6"/>
  <c r="M476" i="6"/>
  <c r="L476" i="6"/>
  <c r="K476" i="6"/>
  <c r="J476" i="6"/>
  <c r="AK476" i="6" s="1"/>
  <c r="I476" i="6"/>
  <c r="AJ476" i="6" s="1"/>
  <c r="H476" i="6"/>
  <c r="G476" i="6"/>
  <c r="F476" i="6"/>
  <c r="AG476" i="6" s="1"/>
  <c r="AH476" i="6" s="1"/>
  <c r="E476" i="6"/>
  <c r="D476" i="6"/>
  <c r="AL475" i="6"/>
  <c r="AI475" i="6"/>
  <c r="AG475" i="6"/>
  <c r="AH475" i="6" s="1"/>
  <c r="AF475" i="6"/>
  <c r="V475" i="6"/>
  <c r="U475" i="6"/>
  <c r="S475" i="6"/>
  <c r="Q475" i="6"/>
  <c r="P475" i="6"/>
  <c r="O475" i="6"/>
  <c r="AM475" i="6" s="1"/>
  <c r="N475" i="6"/>
  <c r="M475" i="6"/>
  <c r="L475" i="6"/>
  <c r="K475" i="6"/>
  <c r="J475" i="6"/>
  <c r="AK475" i="6" s="1"/>
  <c r="I475" i="6"/>
  <c r="AJ475" i="6" s="1"/>
  <c r="H475" i="6"/>
  <c r="G475" i="6"/>
  <c r="F475" i="6"/>
  <c r="E475" i="6"/>
  <c r="B475" i="7" s="1"/>
  <c r="D475" i="6"/>
  <c r="AL474" i="6"/>
  <c r="AJ474" i="6"/>
  <c r="AI474" i="6"/>
  <c r="AG474" i="6"/>
  <c r="AH474" i="6" s="1"/>
  <c r="AF474" i="6"/>
  <c r="W474" i="6"/>
  <c r="E474" i="7" s="1"/>
  <c r="S474" i="6"/>
  <c r="Q474" i="6"/>
  <c r="P474" i="6"/>
  <c r="O474" i="6"/>
  <c r="AM474" i="6" s="1"/>
  <c r="N474" i="6"/>
  <c r="M474" i="6"/>
  <c r="L474" i="6"/>
  <c r="K474" i="6"/>
  <c r="J474" i="6"/>
  <c r="AK474" i="6" s="1"/>
  <c r="I474" i="6"/>
  <c r="H474" i="6"/>
  <c r="G474" i="6"/>
  <c r="F474" i="6"/>
  <c r="E474" i="6"/>
  <c r="B474" i="7" s="1"/>
  <c r="D474" i="6"/>
  <c r="C474" i="6"/>
  <c r="C474" i="7" s="1"/>
  <c r="AL473" i="6"/>
  <c r="AJ473" i="6"/>
  <c r="AI473" i="6"/>
  <c r="W473" i="6"/>
  <c r="E473" i="7" s="1"/>
  <c r="R473" i="6"/>
  <c r="D473" i="7" s="1"/>
  <c r="Q473" i="6"/>
  <c r="P473" i="6"/>
  <c r="O473" i="6"/>
  <c r="AM473" i="6" s="1"/>
  <c r="N473" i="6"/>
  <c r="M473" i="6"/>
  <c r="L473" i="6"/>
  <c r="K473" i="6"/>
  <c r="J473" i="6"/>
  <c r="AK473" i="6" s="1"/>
  <c r="I473" i="6"/>
  <c r="H473" i="6"/>
  <c r="G473" i="6"/>
  <c r="F473" i="6"/>
  <c r="AG473" i="6" s="1"/>
  <c r="AH473" i="6" s="1"/>
  <c r="E473" i="6"/>
  <c r="B473" i="7" s="1"/>
  <c r="D473" i="6"/>
  <c r="C473" i="6"/>
  <c r="C473" i="7" s="1"/>
  <c r="AM472" i="6"/>
  <c r="AL472" i="6"/>
  <c r="AI472" i="6"/>
  <c r="V472" i="6"/>
  <c r="R472" i="6"/>
  <c r="D472" i="7" s="1"/>
  <c r="Q472" i="6"/>
  <c r="P472" i="6"/>
  <c r="O472" i="6"/>
  <c r="N472" i="6"/>
  <c r="M472" i="6"/>
  <c r="L472" i="6"/>
  <c r="K472" i="6"/>
  <c r="J472" i="6"/>
  <c r="AK472" i="6" s="1"/>
  <c r="I472" i="6"/>
  <c r="AJ472" i="6" s="1"/>
  <c r="H472" i="6"/>
  <c r="G472" i="6"/>
  <c r="F472" i="6"/>
  <c r="AG472" i="6" s="1"/>
  <c r="AH472" i="6" s="1"/>
  <c r="E472" i="6"/>
  <c r="D472" i="6"/>
  <c r="AL471" i="6"/>
  <c r="AI471" i="6"/>
  <c r="AG471" i="6"/>
  <c r="AH471" i="6" s="1"/>
  <c r="AF471" i="6"/>
  <c r="V471" i="6"/>
  <c r="U471" i="6"/>
  <c r="S471" i="6"/>
  <c r="Q471" i="6"/>
  <c r="P471" i="6"/>
  <c r="O471" i="6"/>
  <c r="AM471" i="6" s="1"/>
  <c r="N471" i="6"/>
  <c r="M471" i="6"/>
  <c r="L471" i="6"/>
  <c r="K471" i="6"/>
  <c r="J471" i="6"/>
  <c r="AK471" i="6" s="1"/>
  <c r="I471" i="6"/>
  <c r="AJ471" i="6" s="1"/>
  <c r="H471" i="6"/>
  <c r="G471" i="6"/>
  <c r="F471" i="6"/>
  <c r="E471" i="6"/>
  <c r="B471" i="7" s="1"/>
  <c r="D471" i="6"/>
  <c r="AL470" i="6"/>
  <c r="AJ470" i="6"/>
  <c r="AI470" i="6"/>
  <c r="AG470" i="6"/>
  <c r="AH470" i="6" s="1"/>
  <c r="AF470" i="6"/>
  <c r="W470" i="6"/>
  <c r="E470" i="7" s="1"/>
  <c r="S470" i="6"/>
  <c r="Q470" i="6"/>
  <c r="P470" i="6"/>
  <c r="O470" i="6"/>
  <c r="AM470" i="6" s="1"/>
  <c r="N470" i="6"/>
  <c r="M470" i="6"/>
  <c r="L470" i="6"/>
  <c r="K470" i="6"/>
  <c r="J470" i="6"/>
  <c r="AK470" i="6" s="1"/>
  <c r="I470" i="6"/>
  <c r="H470" i="6"/>
  <c r="G470" i="6"/>
  <c r="F470" i="6"/>
  <c r="E470" i="6"/>
  <c r="B470" i="7" s="1"/>
  <c r="D470" i="6"/>
  <c r="C470" i="6"/>
  <c r="C470" i="7" s="1"/>
  <c r="AL469" i="6"/>
  <c r="AJ469" i="6"/>
  <c r="AI469" i="6"/>
  <c r="W469" i="6"/>
  <c r="E469" i="7" s="1"/>
  <c r="R469" i="6"/>
  <c r="D469" i="7" s="1"/>
  <c r="Q469" i="6"/>
  <c r="P469" i="6"/>
  <c r="O469" i="6"/>
  <c r="AM469" i="6" s="1"/>
  <c r="N469" i="6"/>
  <c r="M469" i="6"/>
  <c r="L469" i="6"/>
  <c r="K469" i="6"/>
  <c r="J469" i="6"/>
  <c r="AK469" i="6" s="1"/>
  <c r="I469" i="6"/>
  <c r="H469" i="6"/>
  <c r="G469" i="6"/>
  <c r="F469" i="6"/>
  <c r="AG469" i="6" s="1"/>
  <c r="AH469" i="6" s="1"/>
  <c r="E469" i="6"/>
  <c r="B469" i="7" s="1"/>
  <c r="D469" i="6"/>
  <c r="C469" i="6"/>
  <c r="C469" i="7" s="1"/>
  <c r="AM468" i="6"/>
  <c r="AL468" i="6"/>
  <c r="AI468" i="6"/>
  <c r="V468" i="6"/>
  <c r="R468" i="6"/>
  <c r="D468" i="7" s="1"/>
  <c r="Q468" i="6"/>
  <c r="P468" i="6"/>
  <c r="O468" i="6"/>
  <c r="N468" i="6"/>
  <c r="M468" i="6"/>
  <c r="L468" i="6"/>
  <c r="K468" i="6"/>
  <c r="J468" i="6"/>
  <c r="AK468" i="6" s="1"/>
  <c r="I468" i="6"/>
  <c r="AJ468" i="6" s="1"/>
  <c r="H468" i="6"/>
  <c r="G468" i="6"/>
  <c r="F468" i="6"/>
  <c r="AG468" i="6" s="1"/>
  <c r="AH468" i="6" s="1"/>
  <c r="E468" i="6"/>
  <c r="D468" i="6"/>
  <c r="AL467" i="6"/>
  <c r="AI467" i="6"/>
  <c r="AG467" i="6"/>
  <c r="AH467" i="6" s="1"/>
  <c r="AF467" i="6"/>
  <c r="V467" i="6"/>
  <c r="U467" i="6"/>
  <c r="S467" i="6"/>
  <c r="Q467" i="6"/>
  <c r="P467" i="6"/>
  <c r="O467" i="6"/>
  <c r="AM467" i="6" s="1"/>
  <c r="N467" i="6"/>
  <c r="M467" i="6"/>
  <c r="L467" i="6"/>
  <c r="K467" i="6"/>
  <c r="J467" i="6"/>
  <c r="AK467" i="6" s="1"/>
  <c r="I467" i="6"/>
  <c r="AJ467" i="6" s="1"/>
  <c r="H467" i="6"/>
  <c r="G467" i="6"/>
  <c r="F467" i="6"/>
  <c r="E467" i="6"/>
  <c r="B467" i="7" s="1"/>
  <c r="D467" i="6"/>
  <c r="AL466" i="6"/>
  <c r="AJ466" i="6"/>
  <c r="AI466" i="6"/>
  <c r="AG466" i="6"/>
  <c r="AH466" i="6" s="1"/>
  <c r="AF466" i="6"/>
  <c r="W466" i="6"/>
  <c r="E466" i="7" s="1"/>
  <c r="S466" i="6"/>
  <c r="Q466" i="6"/>
  <c r="P466" i="6"/>
  <c r="O466" i="6"/>
  <c r="AM466" i="6" s="1"/>
  <c r="N466" i="6"/>
  <c r="M466" i="6"/>
  <c r="L466" i="6"/>
  <c r="K466" i="6"/>
  <c r="J466" i="6"/>
  <c r="AK466" i="6" s="1"/>
  <c r="I466" i="6"/>
  <c r="H466" i="6"/>
  <c r="G466" i="6"/>
  <c r="F466" i="6"/>
  <c r="E466" i="6"/>
  <c r="B466" i="7" s="1"/>
  <c r="D466" i="6"/>
  <c r="C466" i="6"/>
  <c r="C466" i="7" s="1"/>
  <c r="AL465" i="6"/>
  <c r="AJ465" i="6"/>
  <c r="AI465" i="6"/>
  <c r="W465" i="6"/>
  <c r="E465" i="7" s="1"/>
  <c r="R465" i="6"/>
  <c r="D465" i="7" s="1"/>
  <c r="Q465" i="6"/>
  <c r="P465" i="6"/>
  <c r="O465" i="6"/>
  <c r="AM465" i="6" s="1"/>
  <c r="N465" i="6"/>
  <c r="M465" i="6"/>
  <c r="L465" i="6"/>
  <c r="K465" i="6"/>
  <c r="J465" i="6"/>
  <c r="AK465" i="6" s="1"/>
  <c r="I465" i="6"/>
  <c r="H465" i="6"/>
  <c r="G465" i="6"/>
  <c r="F465" i="6"/>
  <c r="AG465" i="6" s="1"/>
  <c r="AH465" i="6" s="1"/>
  <c r="E465" i="6"/>
  <c r="B465" i="7" s="1"/>
  <c r="D465" i="6"/>
  <c r="C465" i="6"/>
  <c r="C465" i="7" s="1"/>
  <c r="AM464" i="6"/>
  <c r="AL464" i="6"/>
  <c r="AI464" i="6"/>
  <c r="V464" i="6"/>
  <c r="R464" i="6"/>
  <c r="D464" i="7" s="1"/>
  <c r="Q464" i="6"/>
  <c r="P464" i="6"/>
  <c r="O464" i="6"/>
  <c r="N464" i="6"/>
  <c r="M464" i="6"/>
  <c r="L464" i="6"/>
  <c r="K464" i="6"/>
  <c r="J464" i="6"/>
  <c r="AK464" i="6" s="1"/>
  <c r="I464" i="6"/>
  <c r="AJ464" i="6" s="1"/>
  <c r="H464" i="6"/>
  <c r="G464" i="6"/>
  <c r="F464" i="6"/>
  <c r="AG464" i="6" s="1"/>
  <c r="AH464" i="6" s="1"/>
  <c r="E464" i="6"/>
  <c r="D464" i="6"/>
  <c r="AL463" i="6"/>
  <c r="AI463" i="6"/>
  <c r="AG463" i="6"/>
  <c r="AH463" i="6" s="1"/>
  <c r="AF463" i="6"/>
  <c r="V463" i="6"/>
  <c r="U463" i="6"/>
  <c r="S463" i="6"/>
  <c r="Q463" i="6"/>
  <c r="P463" i="6"/>
  <c r="O463" i="6"/>
  <c r="AM463" i="6" s="1"/>
  <c r="N463" i="6"/>
  <c r="M463" i="6"/>
  <c r="L463" i="6"/>
  <c r="K463" i="6"/>
  <c r="J463" i="6"/>
  <c r="AK463" i="6" s="1"/>
  <c r="I463" i="6"/>
  <c r="AJ463" i="6" s="1"/>
  <c r="H463" i="6"/>
  <c r="G463" i="6"/>
  <c r="F463" i="6"/>
  <c r="E463" i="6"/>
  <c r="B463" i="7" s="1"/>
  <c r="D463" i="6"/>
  <c r="AL462" i="6"/>
  <c r="AJ462" i="6"/>
  <c r="AI462" i="6"/>
  <c r="AG462" i="6"/>
  <c r="AH462" i="6" s="1"/>
  <c r="AF462" i="6"/>
  <c r="W462" i="6"/>
  <c r="E462" i="7" s="1"/>
  <c r="S462" i="6"/>
  <c r="Q462" i="6"/>
  <c r="P462" i="6"/>
  <c r="O462" i="6"/>
  <c r="AM462" i="6" s="1"/>
  <c r="N462" i="6"/>
  <c r="M462" i="6"/>
  <c r="L462" i="6"/>
  <c r="K462" i="6"/>
  <c r="J462" i="6"/>
  <c r="AK462" i="6" s="1"/>
  <c r="I462" i="6"/>
  <c r="H462" i="6"/>
  <c r="G462" i="6"/>
  <c r="F462" i="6"/>
  <c r="E462" i="6"/>
  <c r="B462" i="7" s="1"/>
  <c r="D462" i="6"/>
  <c r="C462" i="6"/>
  <c r="C462" i="7" s="1"/>
  <c r="AL461" i="6"/>
  <c r="AJ461" i="6"/>
  <c r="AI461" i="6"/>
  <c r="W461" i="6"/>
  <c r="E461" i="7" s="1"/>
  <c r="R461" i="6"/>
  <c r="D461" i="7" s="1"/>
  <c r="Q461" i="6"/>
  <c r="P461" i="6"/>
  <c r="O461" i="6"/>
  <c r="AM461" i="6" s="1"/>
  <c r="N461" i="6"/>
  <c r="M461" i="6"/>
  <c r="L461" i="6"/>
  <c r="K461" i="6"/>
  <c r="J461" i="6"/>
  <c r="AK461" i="6" s="1"/>
  <c r="I461" i="6"/>
  <c r="H461" i="6"/>
  <c r="G461" i="6"/>
  <c r="F461" i="6"/>
  <c r="AG461" i="6" s="1"/>
  <c r="AH461" i="6" s="1"/>
  <c r="E461" i="6"/>
  <c r="B461" i="7" s="1"/>
  <c r="D461" i="6"/>
  <c r="C461" i="6"/>
  <c r="C461" i="7" s="1"/>
  <c r="AM460" i="6"/>
  <c r="AL460" i="6"/>
  <c r="AI460" i="6"/>
  <c r="V460" i="6"/>
  <c r="R460" i="6"/>
  <c r="D460" i="7" s="1"/>
  <c r="Q460" i="6"/>
  <c r="P460" i="6"/>
  <c r="O460" i="6"/>
  <c r="N460" i="6"/>
  <c r="M460" i="6"/>
  <c r="L460" i="6"/>
  <c r="K460" i="6"/>
  <c r="J460" i="6"/>
  <c r="AK460" i="6" s="1"/>
  <c r="I460" i="6"/>
  <c r="AJ460" i="6" s="1"/>
  <c r="H460" i="6"/>
  <c r="G460" i="6"/>
  <c r="F460" i="6"/>
  <c r="AG460" i="6" s="1"/>
  <c r="AH460" i="6" s="1"/>
  <c r="E460" i="6"/>
  <c r="D460" i="6"/>
  <c r="AL459" i="6"/>
  <c r="AI459" i="6"/>
  <c r="AG459" i="6"/>
  <c r="AH459" i="6" s="1"/>
  <c r="AF459" i="6"/>
  <c r="V459" i="6"/>
  <c r="U459" i="6"/>
  <c r="S459" i="6"/>
  <c r="Q459" i="6"/>
  <c r="P459" i="6"/>
  <c r="O459" i="6"/>
  <c r="AM459" i="6" s="1"/>
  <c r="N459" i="6"/>
  <c r="M459" i="6"/>
  <c r="L459" i="6"/>
  <c r="K459" i="6"/>
  <c r="J459" i="6"/>
  <c r="AK459" i="6" s="1"/>
  <c r="I459" i="6"/>
  <c r="AJ459" i="6" s="1"/>
  <c r="H459" i="6"/>
  <c r="G459" i="6"/>
  <c r="F459" i="6"/>
  <c r="E459" i="6"/>
  <c r="B459" i="7" s="1"/>
  <c r="D459" i="6"/>
  <c r="AL458" i="6"/>
  <c r="AJ458" i="6"/>
  <c r="AI458" i="6"/>
  <c r="AG458" i="6"/>
  <c r="AH458" i="6" s="1"/>
  <c r="AF458" i="6"/>
  <c r="W458" i="6"/>
  <c r="E458" i="7" s="1"/>
  <c r="S458" i="6"/>
  <c r="Q458" i="6"/>
  <c r="P458" i="6"/>
  <c r="O458" i="6"/>
  <c r="AM458" i="6" s="1"/>
  <c r="N458" i="6"/>
  <c r="M458" i="6"/>
  <c r="L458" i="6"/>
  <c r="K458" i="6"/>
  <c r="J458" i="6"/>
  <c r="AK458" i="6" s="1"/>
  <c r="I458" i="6"/>
  <c r="H458" i="6"/>
  <c r="G458" i="6"/>
  <c r="F458" i="6"/>
  <c r="E458" i="6"/>
  <c r="B458" i="7" s="1"/>
  <c r="D458" i="6"/>
  <c r="C458" i="6"/>
  <c r="C458" i="7" s="1"/>
  <c r="AL457" i="6"/>
  <c r="AJ457" i="6"/>
  <c r="AI457" i="6"/>
  <c r="W457" i="6"/>
  <c r="E457" i="7" s="1"/>
  <c r="R457" i="6"/>
  <c r="D457" i="7" s="1"/>
  <c r="Q457" i="6"/>
  <c r="P457" i="6"/>
  <c r="O457" i="6"/>
  <c r="AM457" i="6" s="1"/>
  <c r="N457" i="6"/>
  <c r="M457" i="6"/>
  <c r="L457" i="6"/>
  <c r="K457" i="6"/>
  <c r="J457" i="6"/>
  <c r="AK457" i="6" s="1"/>
  <c r="I457" i="6"/>
  <c r="H457" i="6"/>
  <c r="G457" i="6"/>
  <c r="F457" i="6"/>
  <c r="AG457" i="6" s="1"/>
  <c r="AH457" i="6" s="1"/>
  <c r="E457" i="6"/>
  <c r="B457" i="7" s="1"/>
  <c r="D457" i="6"/>
  <c r="C457" i="6"/>
  <c r="C457" i="7" s="1"/>
  <c r="AM456" i="6"/>
  <c r="AL456" i="6"/>
  <c r="AI456" i="6"/>
  <c r="V456" i="6"/>
  <c r="R456" i="6"/>
  <c r="D456" i="7" s="1"/>
  <c r="Q456" i="6"/>
  <c r="P456" i="6"/>
  <c r="O456" i="6"/>
  <c r="N456" i="6"/>
  <c r="M456" i="6"/>
  <c r="L456" i="6"/>
  <c r="K456" i="6"/>
  <c r="J456" i="6"/>
  <c r="AK456" i="6" s="1"/>
  <c r="I456" i="6"/>
  <c r="AJ456" i="6" s="1"/>
  <c r="H456" i="6"/>
  <c r="G456" i="6"/>
  <c r="F456" i="6"/>
  <c r="AG456" i="6" s="1"/>
  <c r="AH456" i="6" s="1"/>
  <c r="E456" i="6"/>
  <c r="D456" i="6"/>
  <c r="AL455" i="6"/>
  <c r="AI455" i="6"/>
  <c r="AG455" i="6"/>
  <c r="AH455" i="6" s="1"/>
  <c r="AF455" i="6"/>
  <c r="V455" i="6"/>
  <c r="U455" i="6"/>
  <c r="S455" i="6"/>
  <c r="Q455" i="6"/>
  <c r="P455" i="6"/>
  <c r="O455" i="6"/>
  <c r="AM455" i="6" s="1"/>
  <c r="N455" i="6"/>
  <c r="M455" i="6"/>
  <c r="L455" i="6"/>
  <c r="K455" i="6"/>
  <c r="J455" i="6"/>
  <c r="AK455" i="6" s="1"/>
  <c r="I455" i="6"/>
  <c r="AJ455" i="6" s="1"/>
  <c r="H455" i="6"/>
  <c r="G455" i="6"/>
  <c r="F455" i="6"/>
  <c r="E455" i="6"/>
  <c r="B455" i="7" s="1"/>
  <c r="D455" i="6"/>
  <c r="AL454" i="6"/>
  <c r="AJ454" i="6"/>
  <c r="AI454" i="6"/>
  <c r="AG454" i="6"/>
  <c r="AH454" i="6" s="1"/>
  <c r="AF454" i="6"/>
  <c r="W454" i="6"/>
  <c r="E454" i="7" s="1"/>
  <c r="S454" i="6"/>
  <c r="Q454" i="6"/>
  <c r="P454" i="6"/>
  <c r="O454" i="6"/>
  <c r="AM454" i="6" s="1"/>
  <c r="N454" i="6"/>
  <c r="M454" i="6"/>
  <c r="L454" i="6"/>
  <c r="K454" i="6"/>
  <c r="J454" i="6"/>
  <c r="AK454" i="6" s="1"/>
  <c r="I454" i="6"/>
  <c r="H454" i="6"/>
  <c r="G454" i="6"/>
  <c r="F454" i="6"/>
  <c r="E454" i="6"/>
  <c r="B454" i="7" s="1"/>
  <c r="D454" i="6"/>
  <c r="C454" i="6"/>
  <c r="C454" i="7" s="1"/>
  <c r="AL453" i="6"/>
  <c r="AJ453" i="6"/>
  <c r="AI453" i="6"/>
  <c r="R453" i="6"/>
  <c r="D453" i="7" s="1"/>
  <c r="Q453" i="6"/>
  <c r="P453" i="6"/>
  <c r="O453" i="6"/>
  <c r="AM453" i="6" s="1"/>
  <c r="N453" i="6"/>
  <c r="M453" i="6"/>
  <c r="L453" i="6"/>
  <c r="K453" i="6"/>
  <c r="J453" i="6"/>
  <c r="AK453" i="6" s="1"/>
  <c r="I453" i="6"/>
  <c r="H453" i="6"/>
  <c r="G453" i="6"/>
  <c r="F453" i="6"/>
  <c r="AG453" i="6" s="1"/>
  <c r="AH453" i="6" s="1"/>
  <c r="E453" i="6"/>
  <c r="B453" i="7" s="1"/>
  <c r="D453" i="6"/>
  <c r="C453" i="6"/>
  <c r="C453" i="7" s="1"/>
  <c r="AM452" i="6"/>
  <c r="AL452" i="6"/>
  <c r="AI452" i="6"/>
  <c r="S452" i="6"/>
  <c r="Q452" i="6"/>
  <c r="P452" i="6"/>
  <c r="O452" i="6"/>
  <c r="N452" i="6"/>
  <c r="M452" i="6"/>
  <c r="L452" i="6"/>
  <c r="K452" i="6"/>
  <c r="J452" i="6"/>
  <c r="AK452" i="6" s="1"/>
  <c r="I452" i="6"/>
  <c r="AJ452" i="6" s="1"/>
  <c r="H452" i="6"/>
  <c r="G452" i="6"/>
  <c r="F452" i="6"/>
  <c r="AG452" i="6" s="1"/>
  <c r="AH452" i="6" s="1"/>
  <c r="E452" i="6"/>
  <c r="D452" i="6"/>
  <c r="V452" i="6" s="1"/>
  <c r="AL451" i="6"/>
  <c r="AI451" i="6"/>
  <c r="AG451" i="6"/>
  <c r="AH451" i="6" s="1"/>
  <c r="AF451" i="6"/>
  <c r="W451" i="6"/>
  <c r="E451" i="7" s="1"/>
  <c r="V451" i="6"/>
  <c r="U451" i="6"/>
  <c r="Q451" i="6"/>
  <c r="P451" i="6"/>
  <c r="O451" i="6"/>
  <c r="AM451" i="6" s="1"/>
  <c r="N451" i="6"/>
  <c r="M451" i="6"/>
  <c r="L451" i="6"/>
  <c r="K451" i="6"/>
  <c r="J451" i="6"/>
  <c r="AK451" i="6" s="1"/>
  <c r="I451" i="6"/>
  <c r="AJ451" i="6" s="1"/>
  <c r="H451" i="6"/>
  <c r="G451" i="6"/>
  <c r="F451" i="6"/>
  <c r="E451" i="6"/>
  <c r="B451" i="7" s="1"/>
  <c r="D451" i="6"/>
  <c r="S451" i="6" s="1"/>
  <c r="AL450" i="6"/>
  <c r="AJ450" i="6"/>
  <c r="AI450" i="6"/>
  <c r="AG450" i="6"/>
  <c r="AH450" i="6" s="1"/>
  <c r="AF450" i="6"/>
  <c r="W450" i="6"/>
  <c r="E450" i="7" s="1"/>
  <c r="S450" i="6"/>
  <c r="Q450" i="6"/>
  <c r="P450" i="6"/>
  <c r="O450" i="6"/>
  <c r="AM450" i="6" s="1"/>
  <c r="N450" i="6"/>
  <c r="M450" i="6"/>
  <c r="L450" i="6"/>
  <c r="K450" i="6"/>
  <c r="J450" i="6"/>
  <c r="AK450" i="6" s="1"/>
  <c r="I450" i="6"/>
  <c r="H450" i="6"/>
  <c r="G450" i="6"/>
  <c r="F450" i="6"/>
  <c r="E450" i="6"/>
  <c r="B450" i="7" s="1"/>
  <c r="D450" i="6"/>
  <c r="C450" i="6"/>
  <c r="C450" i="7" s="1"/>
  <c r="AL449" i="6"/>
  <c r="AJ449" i="6"/>
  <c r="AI449" i="6"/>
  <c r="Q449" i="6"/>
  <c r="P449" i="6"/>
  <c r="O449" i="6"/>
  <c r="AM449" i="6" s="1"/>
  <c r="N449" i="6"/>
  <c r="M449" i="6"/>
  <c r="L449" i="6"/>
  <c r="K449" i="6"/>
  <c r="J449" i="6"/>
  <c r="AK449" i="6" s="1"/>
  <c r="I449" i="6"/>
  <c r="H449" i="6"/>
  <c r="G449" i="6"/>
  <c r="F449" i="6"/>
  <c r="AG449" i="6" s="1"/>
  <c r="AH449" i="6" s="1"/>
  <c r="E449" i="6"/>
  <c r="B449" i="7" s="1"/>
  <c r="D449" i="6"/>
  <c r="C449" i="6"/>
  <c r="C449" i="7" s="1"/>
  <c r="AM448" i="6"/>
  <c r="AL448" i="6"/>
  <c r="AI448" i="6"/>
  <c r="Q448" i="6"/>
  <c r="P448" i="6"/>
  <c r="O448" i="6"/>
  <c r="N448" i="6"/>
  <c r="M448" i="6"/>
  <c r="L448" i="6"/>
  <c r="K448" i="6"/>
  <c r="J448" i="6"/>
  <c r="AK448" i="6" s="1"/>
  <c r="I448" i="6"/>
  <c r="AJ448" i="6" s="1"/>
  <c r="H448" i="6"/>
  <c r="G448" i="6"/>
  <c r="F448" i="6"/>
  <c r="AG448" i="6" s="1"/>
  <c r="AH448" i="6" s="1"/>
  <c r="E448" i="6"/>
  <c r="D448" i="6"/>
  <c r="AL447" i="6"/>
  <c r="AI447" i="6"/>
  <c r="AG447" i="6"/>
  <c r="AH447" i="6" s="1"/>
  <c r="AF447" i="6"/>
  <c r="W447" i="6"/>
  <c r="E447" i="7" s="1"/>
  <c r="U447" i="6"/>
  <c r="Q447" i="6"/>
  <c r="P447" i="6"/>
  <c r="O447" i="6"/>
  <c r="AM447" i="6" s="1"/>
  <c r="N447" i="6"/>
  <c r="M447" i="6"/>
  <c r="L447" i="6"/>
  <c r="K447" i="6"/>
  <c r="J447" i="6"/>
  <c r="AK447" i="6" s="1"/>
  <c r="I447" i="6"/>
  <c r="AJ447" i="6" s="1"/>
  <c r="H447" i="6"/>
  <c r="G447" i="6"/>
  <c r="F447" i="6"/>
  <c r="E447" i="6"/>
  <c r="B447" i="7" s="1"/>
  <c r="D447" i="6"/>
  <c r="V447" i="6" s="1"/>
  <c r="AL446" i="6"/>
  <c r="AJ446" i="6"/>
  <c r="AI446" i="6"/>
  <c r="AG446" i="6"/>
  <c r="AH446" i="6" s="1"/>
  <c r="AF446" i="6"/>
  <c r="W446" i="6"/>
  <c r="E446" i="7" s="1"/>
  <c r="S446" i="6"/>
  <c r="Q446" i="6"/>
  <c r="P446" i="6"/>
  <c r="O446" i="6"/>
  <c r="AM446" i="6" s="1"/>
  <c r="N446" i="6"/>
  <c r="M446" i="6"/>
  <c r="L446" i="6"/>
  <c r="K446" i="6"/>
  <c r="J446" i="6"/>
  <c r="AK446" i="6" s="1"/>
  <c r="I446" i="6"/>
  <c r="H446" i="6"/>
  <c r="G446" i="6"/>
  <c r="F446" i="6"/>
  <c r="E446" i="6"/>
  <c r="B446" i="7" s="1"/>
  <c r="D446" i="6"/>
  <c r="C446" i="6"/>
  <c r="C446" i="7" s="1"/>
  <c r="AL445" i="6"/>
  <c r="AJ445" i="6"/>
  <c r="AI445" i="6"/>
  <c r="Q445" i="6"/>
  <c r="P445" i="6"/>
  <c r="O445" i="6"/>
  <c r="AM445" i="6" s="1"/>
  <c r="N445" i="6"/>
  <c r="M445" i="6"/>
  <c r="L445" i="6"/>
  <c r="K445" i="6"/>
  <c r="J445" i="6"/>
  <c r="AK445" i="6" s="1"/>
  <c r="I445" i="6"/>
  <c r="H445" i="6"/>
  <c r="G445" i="6"/>
  <c r="F445" i="6"/>
  <c r="AG445" i="6" s="1"/>
  <c r="AH445" i="6" s="1"/>
  <c r="E445" i="6"/>
  <c r="B445" i="7" s="1"/>
  <c r="D445" i="6"/>
  <c r="AM444" i="6"/>
  <c r="AL444" i="6"/>
  <c r="AI444" i="6"/>
  <c r="S444" i="6"/>
  <c r="Q444" i="6"/>
  <c r="P444" i="6"/>
  <c r="O444" i="6"/>
  <c r="N444" i="6"/>
  <c r="M444" i="6"/>
  <c r="L444" i="6"/>
  <c r="K444" i="6"/>
  <c r="J444" i="6"/>
  <c r="AK444" i="6" s="1"/>
  <c r="I444" i="6"/>
  <c r="AJ444" i="6" s="1"/>
  <c r="H444" i="6"/>
  <c r="G444" i="6"/>
  <c r="F444" i="6"/>
  <c r="AG444" i="6" s="1"/>
  <c r="AH444" i="6" s="1"/>
  <c r="E444" i="6"/>
  <c r="D444" i="6"/>
  <c r="AL443" i="6"/>
  <c r="AI443" i="6"/>
  <c r="AG443" i="6"/>
  <c r="AH443" i="6" s="1"/>
  <c r="AF443" i="6"/>
  <c r="W443" i="6"/>
  <c r="E443" i="7" s="1"/>
  <c r="Q443" i="6"/>
  <c r="P443" i="6"/>
  <c r="O443" i="6"/>
  <c r="AM443" i="6" s="1"/>
  <c r="N443" i="6"/>
  <c r="M443" i="6"/>
  <c r="L443" i="6"/>
  <c r="K443" i="6"/>
  <c r="J443" i="6"/>
  <c r="AK443" i="6" s="1"/>
  <c r="I443" i="6"/>
  <c r="AJ443" i="6" s="1"/>
  <c r="H443" i="6"/>
  <c r="G443" i="6"/>
  <c r="F443" i="6"/>
  <c r="E443" i="6"/>
  <c r="B443" i="7" s="1"/>
  <c r="D443" i="6"/>
  <c r="AL442" i="6"/>
  <c r="AJ442" i="6"/>
  <c r="AI442" i="6"/>
  <c r="AG442" i="6"/>
  <c r="AH442" i="6" s="1"/>
  <c r="AF442" i="6"/>
  <c r="W442" i="6"/>
  <c r="E442" i="7" s="1"/>
  <c r="S442" i="6"/>
  <c r="Q442" i="6"/>
  <c r="P442" i="6"/>
  <c r="O442" i="6"/>
  <c r="AM442" i="6" s="1"/>
  <c r="N442" i="6"/>
  <c r="M442" i="6"/>
  <c r="L442" i="6"/>
  <c r="K442" i="6"/>
  <c r="J442" i="6"/>
  <c r="AK442" i="6" s="1"/>
  <c r="I442" i="6"/>
  <c r="H442" i="6"/>
  <c r="G442" i="6"/>
  <c r="F442" i="6"/>
  <c r="E442" i="6"/>
  <c r="B442" i="7" s="1"/>
  <c r="D442" i="6"/>
  <c r="C442" i="6"/>
  <c r="C442" i="7" s="1"/>
  <c r="AL441" i="6"/>
  <c r="AJ441" i="6"/>
  <c r="AI441" i="6"/>
  <c r="W441" i="6"/>
  <c r="E441" i="7" s="1"/>
  <c r="R441" i="6"/>
  <c r="D441" i="7" s="1"/>
  <c r="Q441" i="6"/>
  <c r="P441" i="6"/>
  <c r="O441" i="6"/>
  <c r="AM441" i="6" s="1"/>
  <c r="N441" i="6"/>
  <c r="M441" i="6"/>
  <c r="L441" i="6"/>
  <c r="K441" i="6"/>
  <c r="J441" i="6"/>
  <c r="AK441" i="6" s="1"/>
  <c r="I441" i="6"/>
  <c r="H441" i="6"/>
  <c r="G441" i="6"/>
  <c r="F441" i="6"/>
  <c r="AG441" i="6" s="1"/>
  <c r="AH441" i="6" s="1"/>
  <c r="E441" i="6"/>
  <c r="B441" i="7" s="1"/>
  <c r="D441" i="6"/>
  <c r="AM440" i="6"/>
  <c r="AL440" i="6"/>
  <c r="AI440" i="6"/>
  <c r="Q440" i="6"/>
  <c r="P440" i="6"/>
  <c r="O440" i="6"/>
  <c r="N440" i="6"/>
  <c r="M440" i="6"/>
  <c r="L440" i="6"/>
  <c r="K440" i="6"/>
  <c r="J440" i="6"/>
  <c r="AK440" i="6" s="1"/>
  <c r="I440" i="6"/>
  <c r="AJ440" i="6" s="1"/>
  <c r="H440" i="6"/>
  <c r="G440" i="6"/>
  <c r="F440" i="6"/>
  <c r="AG440" i="6" s="1"/>
  <c r="AH440" i="6" s="1"/>
  <c r="E440" i="6"/>
  <c r="D440" i="6"/>
  <c r="AL439" i="6"/>
  <c r="AG439" i="6"/>
  <c r="AH439" i="6" s="1"/>
  <c r="AF439" i="6"/>
  <c r="S439" i="6"/>
  <c r="Q439" i="6"/>
  <c r="P439" i="6"/>
  <c r="O439" i="6"/>
  <c r="AM439" i="6" s="1"/>
  <c r="N439" i="6"/>
  <c r="M439" i="6"/>
  <c r="L439" i="6"/>
  <c r="K439" i="6"/>
  <c r="J439" i="6"/>
  <c r="AK439" i="6" s="1"/>
  <c r="I439" i="6"/>
  <c r="AJ439" i="6" s="1"/>
  <c r="H439" i="6"/>
  <c r="AI439" i="6" s="1"/>
  <c r="G439" i="6"/>
  <c r="F439" i="6"/>
  <c r="E439" i="6"/>
  <c r="B439" i="7" s="1"/>
  <c r="D439" i="6"/>
  <c r="AL438" i="6"/>
  <c r="AJ438" i="6"/>
  <c r="AI438" i="6"/>
  <c r="V438" i="6"/>
  <c r="R438" i="6"/>
  <c r="D438" i="7" s="1"/>
  <c r="Q438" i="6"/>
  <c r="P438" i="6"/>
  <c r="O438" i="6"/>
  <c r="AM438" i="6" s="1"/>
  <c r="N438" i="6"/>
  <c r="M438" i="6"/>
  <c r="L438" i="6"/>
  <c r="K438" i="6"/>
  <c r="J438" i="6"/>
  <c r="AK438" i="6" s="1"/>
  <c r="I438" i="6"/>
  <c r="H438" i="6"/>
  <c r="G438" i="6"/>
  <c r="F438" i="6"/>
  <c r="AG438" i="6" s="1"/>
  <c r="AH438" i="6" s="1"/>
  <c r="E438" i="6"/>
  <c r="B438" i="7" s="1"/>
  <c r="D438" i="6"/>
  <c r="C438" i="6"/>
  <c r="C438" i="7" s="1"/>
  <c r="B438" i="6"/>
  <c r="AM437" i="6"/>
  <c r="AG437" i="6"/>
  <c r="AH437" i="6" s="1"/>
  <c r="AF437" i="6"/>
  <c r="V437" i="6"/>
  <c r="T437" i="6"/>
  <c r="Q437" i="6"/>
  <c r="P437" i="6"/>
  <c r="O437" i="6"/>
  <c r="N437" i="6"/>
  <c r="AL437" i="6" s="1"/>
  <c r="M437" i="6"/>
  <c r="L437" i="6"/>
  <c r="K437" i="6"/>
  <c r="J437" i="6"/>
  <c r="AK437" i="6" s="1"/>
  <c r="I437" i="6"/>
  <c r="AJ437" i="6" s="1"/>
  <c r="H437" i="6"/>
  <c r="AI437" i="6" s="1"/>
  <c r="G437" i="6"/>
  <c r="F437" i="6"/>
  <c r="E437" i="6"/>
  <c r="B437" i="7" s="1"/>
  <c r="D437" i="6"/>
  <c r="U437" i="6" s="1"/>
  <c r="AL436" i="6"/>
  <c r="AJ436" i="6"/>
  <c r="AI436" i="6"/>
  <c r="V436" i="6"/>
  <c r="R436" i="6"/>
  <c r="D436" i="7" s="1"/>
  <c r="Q436" i="6"/>
  <c r="P436" i="6"/>
  <c r="O436" i="6"/>
  <c r="AM436" i="6" s="1"/>
  <c r="N436" i="6"/>
  <c r="M436" i="6"/>
  <c r="L436" i="6"/>
  <c r="K436" i="6"/>
  <c r="J436" i="6"/>
  <c r="AK436" i="6" s="1"/>
  <c r="I436" i="6"/>
  <c r="H436" i="6"/>
  <c r="G436" i="6"/>
  <c r="F436" i="6"/>
  <c r="AG436" i="6" s="1"/>
  <c r="AH436" i="6" s="1"/>
  <c r="E436" i="6"/>
  <c r="B436" i="7" s="1"/>
  <c r="D436" i="6"/>
  <c r="AM435" i="6"/>
  <c r="AL435" i="6"/>
  <c r="AG435" i="6"/>
  <c r="AH435" i="6" s="1"/>
  <c r="AF435" i="6"/>
  <c r="V435" i="6"/>
  <c r="U435" i="6"/>
  <c r="T435" i="6"/>
  <c r="Q435" i="6"/>
  <c r="P435" i="6"/>
  <c r="O435" i="6"/>
  <c r="N435" i="6"/>
  <c r="M435" i="6"/>
  <c r="L435" i="6"/>
  <c r="K435" i="6"/>
  <c r="J435" i="6"/>
  <c r="AK435" i="6" s="1"/>
  <c r="I435" i="6"/>
  <c r="AJ435" i="6" s="1"/>
  <c r="H435" i="6"/>
  <c r="AI435" i="6" s="1"/>
  <c r="G435" i="6"/>
  <c r="F435" i="6"/>
  <c r="E435" i="6"/>
  <c r="B435" i="7" s="1"/>
  <c r="D435" i="6"/>
  <c r="S435" i="6" s="1"/>
  <c r="AJ434" i="6"/>
  <c r="AI434" i="6"/>
  <c r="AG434" i="6"/>
  <c r="AH434" i="6" s="1"/>
  <c r="Q434" i="6"/>
  <c r="P434" i="6"/>
  <c r="O434" i="6"/>
  <c r="AM434" i="6" s="1"/>
  <c r="N434" i="6"/>
  <c r="AL434" i="6" s="1"/>
  <c r="M434" i="6"/>
  <c r="L434" i="6"/>
  <c r="K434" i="6"/>
  <c r="J434" i="6"/>
  <c r="AK434" i="6" s="1"/>
  <c r="I434" i="6"/>
  <c r="H434" i="6"/>
  <c r="G434" i="6"/>
  <c r="F434" i="6"/>
  <c r="E434" i="6"/>
  <c r="B434" i="7" s="1"/>
  <c r="D434" i="6"/>
  <c r="AM433" i="6"/>
  <c r="AL433" i="6"/>
  <c r="AG433" i="6"/>
  <c r="AH433" i="6" s="1"/>
  <c r="AF433" i="6"/>
  <c r="V433" i="6"/>
  <c r="U433" i="6"/>
  <c r="T433" i="6"/>
  <c r="S433" i="6"/>
  <c r="Q433" i="6"/>
  <c r="P433" i="6"/>
  <c r="O433" i="6"/>
  <c r="N433" i="6"/>
  <c r="M433" i="6"/>
  <c r="L433" i="6"/>
  <c r="K433" i="6"/>
  <c r="J433" i="6"/>
  <c r="AK433" i="6" s="1"/>
  <c r="I433" i="6"/>
  <c r="AJ433" i="6" s="1"/>
  <c r="H433" i="6"/>
  <c r="AI433" i="6" s="1"/>
  <c r="G433" i="6"/>
  <c r="F433" i="6"/>
  <c r="E433" i="6"/>
  <c r="B433" i="7" s="1"/>
  <c r="D433" i="6"/>
  <c r="AJ432" i="6"/>
  <c r="AI432" i="6"/>
  <c r="R432" i="6"/>
  <c r="D432" i="7" s="1"/>
  <c r="Q432" i="6"/>
  <c r="P432" i="6"/>
  <c r="O432" i="6"/>
  <c r="AM432" i="6" s="1"/>
  <c r="N432" i="6"/>
  <c r="AL432" i="6" s="1"/>
  <c r="M432" i="6"/>
  <c r="L432" i="6"/>
  <c r="K432" i="6"/>
  <c r="J432" i="6"/>
  <c r="AK432" i="6" s="1"/>
  <c r="I432" i="6"/>
  <c r="H432" i="6"/>
  <c r="G432" i="6"/>
  <c r="F432" i="6"/>
  <c r="AG432" i="6" s="1"/>
  <c r="AH432" i="6" s="1"/>
  <c r="E432" i="6"/>
  <c r="B432" i="7" s="1"/>
  <c r="D432" i="6"/>
  <c r="C432" i="6"/>
  <c r="C432" i="7" s="1"/>
  <c r="B432" i="6"/>
  <c r="AM431" i="6"/>
  <c r="AL431" i="6"/>
  <c r="AG431" i="6"/>
  <c r="AH431" i="6" s="1"/>
  <c r="AF431" i="6"/>
  <c r="Q431" i="6"/>
  <c r="P431" i="6"/>
  <c r="O431" i="6"/>
  <c r="N431" i="6"/>
  <c r="M431" i="6"/>
  <c r="L431" i="6"/>
  <c r="K431" i="6"/>
  <c r="J431" i="6"/>
  <c r="AK431" i="6" s="1"/>
  <c r="I431" i="6"/>
  <c r="AJ431" i="6" s="1"/>
  <c r="H431" i="6"/>
  <c r="AI431" i="6" s="1"/>
  <c r="G431" i="6"/>
  <c r="F431" i="6"/>
  <c r="E431" i="6"/>
  <c r="B431" i="7" s="1"/>
  <c r="D431" i="6"/>
  <c r="AL430" i="6"/>
  <c r="AJ430" i="6"/>
  <c r="AI430" i="6"/>
  <c r="Q430" i="6"/>
  <c r="P430" i="6"/>
  <c r="O430" i="6"/>
  <c r="AM430" i="6" s="1"/>
  <c r="N430" i="6"/>
  <c r="M430" i="6"/>
  <c r="L430" i="6"/>
  <c r="K430" i="6"/>
  <c r="J430" i="6"/>
  <c r="AK430" i="6" s="1"/>
  <c r="I430" i="6"/>
  <c r="H430" i="6"/>
  <c r="G430" i="6"/>
  <c r="F430" i="6"/>
  <c r="AG430" i="6" s="1"/>
  <c r="AH430" i="6" s="1"/>
  <c r="E430" i="6"/>
  <c r="B430" i="7" s="1"/>
  <c r="D430" i="6"/>
  <c r="AM429" i="6"/>
  <c r="AL429" i="6"/>
  <c r="AJ429" i="6"/>
  <c r="AG429" i="6"/>
  <c r="AH429" i="6" s="1"/>
  <c r="AF429" i="6"/>
  <c r="T429" i="6"/>
  <c r="Q429" i="6"/>
  <c r="P429" i="6"/>
  <c r="O429" i="6"/>
  <c r="N429" i="6"/>
  <c r="M429" i="6"/>
  <c r="L429" i="6"/>
  <c r="K429" i="6"/>
  <c r="J429" i="6"/>
  <c r="AK429" i="6" s="1"/>
  <c r="I429" i="6"/>
  <c r="H429" i="6"/>
  <c r="AI429" i="6" s="1"/>
  <c r="G429" i="6"/>
  <c r="F429" i="6"/>
  <c r="E429" i="6"/>
  <c r="B429" i="7" s="1"/>
  <c r="D429" i="6"/>
  <c r="AJ428" i="6"/>
  <c r="AI428" i="6"/>
  <c r="AG428" i="6"/>
  <c r="AH428" i="6" s="1"/>
  <c r="Q428" i="6"/>
  <c r="P428" i="6"/>
  <c r="O428" i="6"/>
  <c r="AM428" i="6" s="1"/>
  <c r="N428" i="6"/>
  <c r="AL428" i="6" s="1"/>
  <c r="M428" i="6"/>
  <c r="L428" i="6"/>
  <c r="K428" i="6"/>
  <c r="J428" i="6"/>
  <c r="AK428" i="6" s="1"/>
  <c r="I428" i="6"/>
  <c r="H428" i="6"/>
  <c r="G428" i="6"/>
  <c r="F428" i="6"/>
  <c r="E428" i="6"/>
  <c r="B428" i="7" s="1"/>
  <c r="D428" i="6"/>
  <c r="C428" i="6" s="1"/>
  <c r="C428" i="7" s="1"/>
  <c r="B428" i="6"/>
  <c r="AM427" i="6"/>
  <c r="AL427" i="6"/>
  <c r="AJ427" i="6"/>
  <c r="AG427" i="6"/>
  <c r="AH427" i="6" s="1"/>
  <c r="AF427" i="6"/>
  <c r="V427" i="6"/>
  <c r="S427" i="6"/>
  <c r="Q427" i="6"/>
  <c r="P427" i="6"/>
  <c r="O427" i="6"/>
  <c r="N427" i="6"/>
  <c r="M427" i="6"/>
  <c r="L427" i="6"/>
  <c r="K427" i="6"/>
  <c r="J427" i="6"/>
  <c r="AK427" i="6" s="1"/>
  <c r="I427" i="6"/>
  <c r="H427" i="6"/>
  <c r="AI427" i="6" s="1"/>
  <c r="G427" i="6"/>
  <c r="F427" i="6"/>
  <c r="E427" i="6"/>
  <c r="B427" i="7" s="1"/>
  <c r="D427" i="6"/>
  <c r="AL426" i="6"/>
  <c r="AJ426" i="6"/>
  <c r="AI426" i="6"/>
  <c r="AG426" i="6"/>
  <c r="AH426" i="6" s="1"/>
  <c r="V426" i="6"/>
  <c r="R426" i="6"/>
  <c r="D426" i="7" s="1"/>
  <c r="Q426" i="6"/>
  <c r="P426" i="6"/>
  <c r="O426" i="6"/>
  <c r="AM426" i="6" s="1"/>
  <c r="N426" i="6"/>
  <c r="M426" i="6"/>
  <c r="L426" i="6"/>
  <c r="K426" i="6"/>
  <c r="J426" i="6"/>
  <c r="AK426" i="6" s="1"/>
  <c r="I426" i="6"/>
  <c r="H426" i="6"/>
  <c r="G426" i="6"/>
  <c r="F426" i="6"/>
  <c r="E426" i="6"/>
  <c r="B426" i="7" s="1"/>
  <c r="D426" i="6"/>
  <c r="C426" i="6"/>
  <c r="C426" i="7" s="1"/>
  <c r="B426" i="6"/>
  <c r="AM425" i="6"/>
  <c r="AL425" i="6"/>
  <c r="AG425" i="6"/>
  <c r="AH425" i="6" s="1"/>
  <c r="AF425" i="6"/>
  <c r="V425" i="6"/>
  <c r="T425" i="6"/>
  <c r="Q425" i="6"/>
  <c r="P425" i="6"/>
  <c r="O425" i="6"/>
  <c r="N425" i="6"/>
  <c r="M425" i="6"/>
  <c r="L425" i="6"/>
  <c r="K425" i="6"/>
  <c r="J425" i="6"/>
  <c r="AK425" i="6" s="1"/>
  <c r="I425" i="6"/>
  <c r="AJ425" i="6" s="1"/>
  <c r="H425" i="6"/>
  <c r="AI425" i="6" s="1"/>
  <c r="G425" i="6"/>
  <c r="F425" i="6"/>
  <c r="E425" i="6"/>
  <c r="B425" i="7" s="1"/>
  <c r="D425" i="6"/>
  <c r="U425" i="6" s="1"/>
  <c r="AL424" i="6"/>
  <c r="AJ424" i="6"/>
  <c r="AI424" i="6"/>
  <c r="V424" i="6"/>
  <c r="R424" i="6"/>
  <c r="D424" i="7" s="1"/>
  <c r="Q424" i="6"/>
  <c r="P424" i="6"/>
  <c r="O424" i="6"/>
  <c r="AM424" i="6" s="1"/>
  <c r="N424" i="6"/>
  <c r="M424" i="6"/>
  <c r="L424" i="6"/>
  <c r="K424" i="6"/>
  <c r="J424" i="6"/>
  <c r="AK424" i="6" s="1"/>
  <c r="I424" i="6"/>
  <c r="H424" i="6"/>
  <c r="G424" i="6"/>
  <c r="F424" i="6"/>
  <c r="AG424" i="6" s="1"/>
  <c r="AH424" i="6" s="1"/>
  <c r="E424" i="6"/>
  <c r="B424" i="7" s="1"/>
  <c r="D424" i="6"/>
  <c r="AM423" i="6"/>
  <c r="AL423" i="6"/>
  <c r="AG423" i="6"/>
  <c r="AH423" i="6" s="1"/>
  <c r="AF423" i="6"/>
  <c r="V423" i="6"/>
  <c r="U423" i="6"/>
  <c r="T423" i="6"/>
  <c r="Q423" i="6"/>
  <c r="P423" i="6"/>
  <c r="O423" i="6"/>
  <c r="N423" i="6"/>
  <c r="M423" i="6"/>
  <c r="L423" i="6"/>
  <c r="K423" i="6"/>
  <c r="J423" i="6"/>
  <c r="AK423" i="6" s="1"/>
  <c r="I423" i="6"/>
  <c r="AJ423" i="6" s="1"/>
  <c r="H423" i="6"/>
  <c r="AI423" i="6" s="1"/>
  <c r="G423" i="6"/>
  <c r="F423" i="6"/>
  <c r="E423" i="6"/>
  <c r="B423" i="7" s="1"/>
  <c r="D423" i="6"/>
  <c r="S423" i="6" s="1"/>
  <c r="AJ422" i="6"/>
  <c r="AI422" i="6"/>
  <c r="AG422" i="6"/>
  <c r="AH422" i="6" s="1"/>
  <c r="Q422" i="6"/>
  <c r="P422" i="6"/>
  <c r="O422" i="6"/>
  <c r="AM422" i="6" s="1"/>
  <c r="N422" i="6"/>
  <c r="AL422" i="6" s="1"/>
  <c r="M422" i="6"/>
  <c r="L422" i="6"/>
  <c r="K422" i="6"/>
  <c r="J422" i="6"/>
  <c r="AK422" i="6" s="1"/>
  <c r="I422" i="6"/>
  <c r="H422" i="6"/>
  <c r="G422" i="6"/>
  <c r="F422" i="6"/>
  <c r="E422" i="6"/>
  <c r="B422" i="7" s="1"/>
  <c r="D422" i="6"/>
  <c r="AM421" i="6"/>
  <c r="AL421" i="6"/>
  <c r="AG421" i="6"/>
  <c r="AH421" i="6" s="1"/>
  <c r="AF421" i="6"/>
  <c r="V421" i="6"/>
  <c r="U421" i="6"/>
  <c r="T421" i="6"/>
  <c r="S421" i="6"/>
  <c r="Q421" i="6"/>
  <c r="P421" i="6"/>
  <c r="O421" i="6"/>
  <c r="N421" i="6"/>
  <c r="M421" i="6"/>
  <c r="L421" i="6"/>
  <c r="K421" i="6"/>
  <c r="J421" i="6"/>
  <c r="AK421" i="6" s="1"/>
  <c r="I421" i="6"/>
  <c r="AJ421" i="6" s="1"/>
  <c r="H421" i="6"/>
  <c r="AI421" i="6" s="1"/>
  <c r="G421" i="6"/>
  <c r="F421" i="6"/>
  <c r="E421" i="6"/>
  <c r="B421" i="7" s="1"/>
  <c r="D421" i="6"/>
  <c r="AJ420" i="6"/>
  <c r="AI420" i="6"/>
  <c r="R420" i="6"/>
  <c r="D420" i="7" s="1"/>
  <c r="Q420" i="6"/>
  <c r="P420" i="6"/>
  <c r="O420" i="6"/>
  <c r="AM420" i="6" s="1"/>
  <c r="N420" i="6"/>
  <c r="AL420" i="6" s="1"/>
  <c r="M420" i="6"/>
  <c r="L420" i="6"/>
  <c r="K420" i="6"/>
  <c r="J420" i="6"/>
  <c r="AK420" i="6" s="1"/>
  <c r="I420" i="6"/>
  <c r="H420" i="6"/>
  <c r="G420" i="6"/>
  <c r="F420" i="6"/>
  <c r="AG420" i="6" s="1"/>
  <c r="AH420" i="6" s="1"/>
  <c r="E420" i="6"/>
  <c r="B420" i="7" s="1"/>
  <c r="D420" i="6"/>
  <c r="C420" i="6"/>
  <c r="C420" i="7" s="1"/>
  <c r="B420" i="6"/>
  <c r="AM419" i="6"/>
  <c r="AL419" i="6"/>
  <c r="AG419" i="6"/>
  <c r="AH419" i="6" s="1"/>
  <c r="AF419" i="6"/>
  <c r="Q419" i="6"/>
  <c r="P419" i="6"/>
  <c r="O419" i="6"/>
  <c r="N419" i="6"/>
  <c r="M419" i="6"/>
  <c r="L419" i="6"/>
  <c r="K419" i="6"/>
  <c r="J419" i="6"/>
  <c r="AK419" i="6" s="1"/>
  <c r="I419" i="6"/>
  <c r="AJ419" i="6" s="1"/>
  <c r="H419" i="6"/>
  <c r="AI419" i="6" s="1"/>
  <c r="G419" i="6"/>
  <c r="F419" i="6"/>
  <c r="E419" i="6"/>
  <c r="B419" i="7" s="1"/>
  <c r="D419" i="6"/>
  <c r="AL418" i="6"/>
  <c r="AJ418" i="6"/>
  <c r="AI418" i="6"/>
  <c r="Q418" i="6"/>
  <c r="P418" i="6"/>
  <c r="O418" i="6"/>
  <c r="AM418" i="6" s="1"/>
  <c r="N418" i="6"/>
  <c r="M418" i="6"/>
  <c r="L418" i="6"/>
  <c r="K418" i="6"/>
  <c r="J418" i="6"/>
  <c r="AK418" i="6" s="1"/>
  <c r="I418" i="6"/>
  <c r="H418" i="6"/>
  <c r="G418" i="6"/>
  <c r="F418" i="6"/>
  <c r="AG418" i="6" s="1"/>
  <c r="AH418" i="6" s="1"/>
  <c r="E418" i="6"/>
  <c r="B418" i="7" s="1"/>
  <c r="D418" i="6"/>
  <c r="AM417" i="6"/>
  <c r="AL417" i="6"/>
  <c r="AJ417" i="6"/>
  <c r="AG417" i="6"/>
  <c r="AH417" i="6" s="1"/>
  <c r="AF417" i="6"/>
  <c r="T417" i="6"/>
  <c r="Q417" i="6"/>
  <c r="P417" i="6"/>
  <c r="O417" i="6"/>
  <c r="N417" i="6"/>
  <c r="M417" i="6"/>
  <c r="L417" i="6"/>
  <c r="K417" i="6"/>
  <c r="J417" i="6"/>
  <c r="AK417" i="6" s="1"/>
  <c r="I417" i="6"/>
  <c r="H417" i="6"/>
  <c r="AI417" i="6" s="1"/>
  <c r="G417" i="6"/>
  <c r="F417" i="6"/>
  <c r="E417" i="6"/>
  <c r="B417" i="7" s="1"/>
  <c r="D417" i="6"/>
  <c r="AJ416" i="6"/>
  <c r="AI416" i="6"/>
  <c r="AG416" i="6"/>
  <c r="AH416" i="6" s="1"/>
  <c r="Q416" i="6"/>
  <c r="P416" i="6"/>
  <c r="O416" i="6"/>
  <c r="AM416" i="6" s="1"/>
  <c r="N416" i="6"/>
  <c r="AL416" i="6" s="1"/>
  <c r="M416" i="6"/>
  <c r="L416" i="6"/>
  <c r="K416" i="6"/>
  <c r="J416" i="6"/>
  <c r="AK416" i="6" s="1"/>
  <c r="I416" i="6"/>
  <c r="H416" i="6"/>
  <c r="G416" i="6"/>
  <c r="F416" i="6"/>
  <c r="E416" i="6"/>
  <c r="B416" i="7" s="1"/>
  <c r="D416" i="6"/>
  <c r="C416" i="6" s="1"/>
  <c r="C416" i="7" s="1"/>
  <c r="B416" i="6"/>
  <c r="AM415" i="6"/>
  <c r="AL415" i="6"/>
  <c r="AJ415" i="6"/>
  <c r="AG415" i="6"/>
  <c r="AH415" i="6" s="1"/>
  <c r="AF415" i="6"/>
  <c r="V415" i="6"/>
  <c r="S415" i="6"/>
  <c r="Q415" i="6"/>
  <c r="P415" i="6"/>
  <c r="O415" i="6"/>
  <c r="N415" i="6"/>
  <c r="M415" i="6"/>
  <c r="L415" i="6"/>
  <c r="K415" i="6"/>
  <c r="J415" i="6"/>
  <c r="AK415" i="6" s="1"/>
  <c r="I415" i="6"/>
  <c r="H415" i="6"/>
  <c r="AI415" i="6" s="1"/>
  <c r="G415" i="6"/>
  <c r="F415" i="6"/>
  <c r="E415" i="6"/>
  <c r="B415" i="7" s="1"/>
  <c r="D415" i="6"/>
  <c r="AL414" i="6"/>
  <c r="AJ414" i="6"/>
  <c r="AI414" i="6"/>
  <c r="AG414" i="6"/>
  <c r="AH414" i="6" s="1"/>
  <c r="V414" i="6"/>
  <c r="R414" i="6"/>
  <c r="D414" i="7" s="1"/>
  <c r="Q414" i="6"/>
  <c r="P414" i="6"/>
  <c r="O414" i="6"/>
  <c r="AM414" i="6" s="1"/>
  <c r="N414" i="6"/>
  <c r="M414" i="6"/>
  <c r="L414" i="6"/>
  <c r="K414" i="6"/>
  <c r="J414" i="6"/>
  <c r="AK414" i="6" s="1"/>
  <c r="I414" i="6"/>
  <c r="H414" i="6"/>
  <c r="G414" i="6"/>
  <c r="F414" i="6"/>
  <c r="E414" i="6"/>
  <c r="B414" i="7" s="1"/>
  <c r="D414" i="6"/>
  <c r="C414" i="6"/>
  <c r="C414" i="7" s="1"/>
  <c r="B414" i="6"/>
  <c r="AM413" i="6"/>
  <c r="AL413" i="6"/>
  <c r="AG413" i="6"/>
  <c r="AH413" i="6" s="1"/>
  <c r="AF413" i="6"/>
  <c r="V413" i="6"/>
  <c r="T413" i="6"/>
  <c r="Q413" i="6"/>
  <c r="P413" i="6"/>
  <c r="O413" i="6"/>
  <c r="N413" i="6"/>
  <c r="M413" i="6"/>
  <c r="L413" i="6"/>
  <c r="K413" i="6"/>
  <c r="J413" i="6"/>
  <c r="AK413" i="6" s="1"/>
  <c r="I413" i="6"/>
  <c r="AJ413" i="6" s="1"/>
  <c r="H413" i="6"/>
  <c r="AI413" i="6" s="1"/>
  <c r="G413" i="6"/>
  <c r="F413" i="6"/>
  <c r="E413" i="6"/>
  <c r="B413" i="7" s="1"/>
  <c r="D413" i="6"/>
  <c r="U413" i="6" s="1"/>
  <c r="AL412" i="6"/>
  <c r="AJ412" i="6"/>
  <c r="AI412" i="6"/>
  <c r="V412" i="6"/>
  <c r="R412" i="6"/>
  <c r="D412" i="7" s="1"/>
  <c r="Q412" i="6"/>
  <c r="P412" i="6"/>
  <c r="O412" i="6"/>
  <c r="AM412" i="6" s="1"/>
  <c r="N412" i="6"/>
  <c r="M412" i="6"/>
  <c r="L412" i="6"/>
  <c r="K412" i="6"/>
  <c r="J412" i="6"/>
  <c r="AK412" i="6" s="1"/>
  <c r="I412" i="6"/>
  <c r="H412" i="6"/>
  <c r="G412" i="6"/>
  <c r="F412" i="6"/>
  <c r="AG412" i="6" s="1"/>
  <c r="AH412" i="6" s="1"/>
  <c r="E412" i="6"/>
  <c r="B412" i="7" s="1"/>
  <c r="D412" i="6"/>
  <c r="AM411" i="6"/>
  <c r="AL411" i="6"/>
  <c r="AG411" i="6"/>
  <c r="AH411" i="6" s="1"/>
  <c r="AF411" i="6"/>
  <c r="V411" i="6"/>
  <c r="U411" i="6"/>
  <c r="T411" i="6"/>
  <c r="Q411" i="6"/>
  <c r="P411" i="6"/>
  <c r="O411" i="6"/>
  <c r="N411" i="6"/>
  <c r="M411" i="6"/>
  <c r="L411" i="6"/>
  <c r="K411" i="6"/>
  <c r="J411" i="6"/>
  <c r="AK411" i="6" s="1"/>
  <c r="I411" i="6"/>
  <c r="AJ411" i="6" s="1"/>
  <c r="H411" i="6"/>
  <c r="AI411" i="6" s="1"/>
  <c r="G411" i="6"/>
  <c r="F411" i="6"/>
  <c r="E411" i="6"/>
  <c r="B411" i="7" s="1"/>
  <c r="D411" i="6"/>
  <c r="S411" i="6" s="1"/>
  <c r="AJ410" i="6"/>
  <c r="AI410" i="6"/>
  <c r="AG410" i="6"/>
  <c r="AH410" i="6" s="1"/>
  <c r="Q410" i="6"/>
  <c r="P410" i="6"/>
  <c r="O410" i="6"/>
  <c r="AM410" i="6" s="1"/>
  <c r="N410" i="6"/>
  <c r="AL410" i="6" s="1"/>
  <c r="M410" i="6"/>
  <c r="L410" i="6"/>
  <c r="K410" i="6"/>
  <c r="J410" i="6"/>
  <c r="AK410" i="6" s="1"/>
  <c r="I410" i="6"/>
  <c r="H410" i="6"/>
  <c r="G410" i="6"/>
  <c r="F410" i="6"/>
  <c r="E410" i="6"/>
  <c r="B410" i="7" s="1"/>
  <c r="D410" i="6"/>
  <c r="B410" i="6"/>
  <c r="AM409" i="6"/>
  <c r="AL409" i="6"/>
  <c r="AG409" i="6"/>
  <c r="AH409" i="6" s="1"/>
  <c r="AF409" i="6"/>
  <c r="V409" i="6"/>
  <c r="U409" i="6"/>
  <c r="T409" i="6"/>
  <c r="S409" i="6"/>
  <c r="Q409" i="6"/>
  <c r="P409" i="6"/>
  <c r="O409" i="6"/>
  <c r="N409" i="6"/>
  <c r="M409" i="6"/>
  <c r="L409" i="6"/>
  <c r="K409" i="6"/>
  <c r="J409" i="6"/>
  <c r="AK409" i="6" s="1"/>
  <c r="I409" i="6"/>
  <c r="AJ409" i="6" s="1"/>
  <c r="H409" i="6"/>
  <c r="AI409" i="6" s="1"/>
  <c r="G409" i="6"/>
  <c r="F409" i="6"/>
  <c r="E409" i="6"/>
  <c r="B409" i="7" s="1"/>
  <c r="D409" i="6"/>
  <c r="AJ408" i="6"/>
  <c r="AI408" i="6"/>
  <c r="R408" i="6"/>
  <c r="D408" i="7" s="1"/>
  <c r="Q408" i="6"/>
  <c r="P408" i="6"/>
  <c r="O408" i="6"/>
  <c r="AM408" i="6" s="1"/>
  <c r="N408" i="6"/>
  <c r="AL408" i="6" s="1"/>
  <c r="M408" i="6"/>
  <c r="L408" i="6"/>
  <c r="K408" i="6"/>
  <c r="J408" i="6"/>
  <c r="AK408" i="6" s="1"/>
  <c r="I408" i="6"/>
  <c r="H408" i="6"/>
  <c r="G408" i="6"/>
  <c r="F408" i="6"/>
  <c r="AG408" i="6" s="1"/>
  <c r="AH408" i="6" s="1"/>
  <c r="E408" i="6"/>
  <c r="B408" i="7" s="1"/>
  <c r="D408" i="6"/>
  <c r="C408" i="6"/>
  <c r="C408" i="7" s="1"/>
  <c r="B408" i="6"/>
  <c r="AM407" i="6"/>
  <c r="AL407" i="6"/>
  <c r="AG407" i="6"/>
  <c r="AH407" i="6" s="1"/>
  <c r="AF407" i="6"/>
  <c r="Q407" i="6"/>
  <c r="P407" i="6"/>
  <c r="O407" i="6"/>
  <c r="N407" i="6"/>
  <c r="M407" i="6"/>
  <c r="L407" i="6"/>
  <c r="K407" i="6"/>
  <c r="J407" i="6"/>
  <c r="AK407" i="6" s="1"/>
  <c r="I407" i="6"/>
  <c r="AJ407" i="6" s="1"/>
  <c r="H407" i="6"/>
  <c r="AI407" i="6" s="1"/>
  <c r="G407" i="6"/>
  <c r="F407" i="6"/>
  <c r="E407" i="6"/>
  <c r="B407" i="7" s="1"/>
  <c r="D407" i="6"/>
  <c r="AL406" i="6"/>
  <c r="AJ406" i="6"/>
  <c r="AI406" i="6"/>
  <c r="V406" i="6"/>
  <c r="Q406" i="6"/>
  <c r="P406" i="6"/>
  <c r="O406" i="6"/>
  <c r="AM406" i="6" s="1"/>
  <c r="N406" i="6"/>
  <c r="M406" i="6"/>
  <c r="L406" i="6"/>
  <c r="K406" i="6"/>
  <c r="J406" i="6"/>
  <c r="AK406" i="6" s="1"/>
  <c r="I406" i="6"/>
  <c r="H406" i="6"/>
  <c r="G406" i="6"/>
  <c r="F406" i="6"/>
  <c r="AG406" i="6" s="1"/>
  <c r="AH406" i="6" s="1"/>
  <c r="E406" i="6"/>
  <c r="B406" i="7" s="1"/>
  <c r="D406" i="6"/>
  <c r="C406" i="6" s="1"/>
  <c r="C406" i="7" s="1"/>
  <c r="B406" i="6"/>
  <c r="AM405" i="6"/>
  <c r="AL405" i="6"/>
  <c r="AK405" i="6"/>
  <c r="AG405" i="6"/>
  <c r="AH405" i="6" s="1"/>
  <c r="Q405" i="6"/>
  <c r="P405" i="6"/>
  <c r="O405" i="6"/>
  <c r="N405" i="6"/>
  <c r="M405" i="6"/>
  <c r="L405" i="6"/>
  <c r="K405" i="6"/>
  <c r="J405" i="6"/>
  <c r="I405" i="6"/>
  <c r="AJ405" i="6" s="1"/>
  <c r="H405" i="6"/>
  <c r="AI405" i="6" s="1"/>
  <c r="G405" i="6"/>
  <c r="F405" i="6"/>
  <c r="E405" i="6"/>
  <c r="B405" i="7" s="1"/>
  <c r="D405" i="6"/>
  <c r="AL404" i="6"/>
  <c r="AJ404" i="6"/>
  <c r="AI404" i="6"/>
  <c r="V404" i="6"/>
  <c r="Q404" i="6"/>
  <c r="P404" i="6"/>
  <c r="O404" i="6"/>
  <c r="AM404" i="6" s="1"/>
  <c r="N404" i="6"/>
  <c r="M404" i="6"/>
  <c r="L404" i="6"/>
  <c r="K404" i="6"/>
  <c r="J404" i="6"/>
  <c r="AK404" i="6" s="1"/>
  <c r="I404" i="6"/>
  <c r="H404" i="6"/>
  <c r="G404" i="6"/>
  <c r="F404" i="6"/>
  <c r="AG404" i="6" s="1"/>
  <c r="AH404" i="6" s="1"/>
  <c r="E404" i="6"/>
  <c r="D404" i="6"/>
  <c r="C404" i="6"/>
  <c r="C404" i="7" s="1"/>
  <c r="B404" i="6"/>
  <c r="AM403" i="6"/>
  <c r="AL403" i="6"/>
  <c r="AK403" i="6"/>
  <c r="AG403" i="6"/>
  <c r="AH403" i="6" s="1"/>
  <c r="Q403" i="6"/>
  <c r="P403" i="6"/>
  <c r="O403" i="6"/>
  <c r="N403" i="6"/>
  <c r="M403" i="6"/>
  <c r="L403" i="6"/>
  <c r="K403" i="6"/>
  <c r="J403" i="6"/>
  <c r="I403" i="6"/>
  <c r="AJ403" i="6" s="1"/>
  <c r="H403" i="6"/>
  <c r="AI403" i="6" s="1"/>
  <c r="G403" i="6"/>
  <c r="F403" i="6"/>
  <c r="E403" i="6"/>
  <c r="D403" i="6"/>
  <c r="AK402" i="6"/>
  <c r="AJ402" i="6"/>
  <c r="AI402" i="6"/>
  <c r="AG402" i="6"/>
  <c r="AH402" i="6" s="1"/>
  <c r="Q402" i="6"/>
  <c r="P402" i="6"/>
  <c r="O402" i="6"/>
  <c r="AM402" i="6" s="1"/>
  <c r="N402" i="6"/>
  <c r="AL402" i="6" s="1"/>
  <c r="M402" i="6"/>
  <c r="L402" i="6"/>
  <c r="K402" i="6"/>
  <c r="J402" i="6"/>
  <c r="I402" i="6"/>
  <c r="H402" i="6"/>
  <c r="G402" i="6"/>
  <c r="F402" i="6"/>
  <c r="E402" i="6"/>
  <c r="D402" i="6"/>
  <c r="C402" i="6"/>
  <c r="C402" i="7" s="1"/>
  <c r="AM401" i="6"/>
  <c r="AL401" i="6"/>
  <c r="AG401" i="6"/>
  <c r="AH401" i="6" s="1"/>
  <c r="AF401" i="6"/>
  <c r="W401" i="6"/>
  <c r="E401" i="7" s="1"/>
  <c r="T401" i="6"/>
  <c r="Q401" i="6"/>
  <c r="P401" i="6"/>
  <c r="O401" i="6"/>
  <c r="N401" i="6"/>
  <c r="M401" i="6"/>
  <c r="L401" i="6"/>
  <c r="K401" i="6"/>
  <c r="J401" i="6"/>
  <c r="AK401" i="6" s="1"/>
  <c r="I401" i="6"/>
  <c r="AJ401" i="6" s="1"/>
  <c r="H401" i="6"/>
  <c r="AI401" i="6" s="1"/>
  <c r="G401" i="6"/>
  <c r="F401" i="6"/>
  <c r="E401" i="6"/>
  <c r="B401" i="7" s="1"/>
  <c r="D401" i="6"/>
  <c r="AM400" i="6"/>
  <c r="AJ400" i="6"/>
  <c r="AI400" i="6"/>
  <c r="AH400" i="6"/>
  <c r="AG400" i="6"/>
  <c r="W400" i="6"/>
  <c r="E400" i="7" s="1"/>
  <c r="V400" i="6"/>
  <c r="S400" i="6"/>
  <c r="Q400" i="6"/>
  <c r="P400" i="6"/>
  <c r="O400" i="6"/>
  <c r="N400" i="6"/>
  <c r="AL400" i="6" s="1"/>
  <c r="M400" i="6"/>
  <c r="L400" i="6"/>
  <c r="K400" i="6"/>
  <c r="J400" i="6"/>
  <c r="AK400" i="6" s="1"/>
  <c r="I400" i="6"/>
  <c r="H400" i="6"/>
  <c r="G400" i="6"/>
  <c r="F400" i="6"/>
  <c r="E400" i="6"/>
  <c r="D400" i="6"/>
  <c r="C400" i="6" s="1"/>
  <c r="C400" i="7" s="1"/>
  <c r="B400" i="6"/>
  <c r="AM399" i="6"/>
  <c r="AL399" i="6"/>
  <c r="AJ399" i="6"/>
  <c r="AG399" i="6"/>
  <c r="AH399" i="6" s="1"/>
  <c r="AF399" i="6"/>
  <c r="W399" i="6"/>
  <c r="E399" i="7" s="1"/>
  <c r="U399" i="6"/>
  <c r="Q399" i="6"/>
  <c r="P399" i="6"/>
  <c r="O399" i="6"/>
  <c r="N399" i="6"/>
  <c r="M399" i="6"/>
  <c r="L399" i="6"/>
  <c r="K399" i="6"/>
  <c r="J399" i="6"/>
  <c r="AK399" i="6" s="1"/>
  <c r="I399" i="6"/>
  <c r="H399" i="6"/>
  <c r="AI399" i="6" s="1"/>
  <c r="G399" i="6"/>
  <c r="F399" i="6"/>
  <c r="E399" i="6"/>
  <c r="B399" i="7" s="1"/>
  <c r="D399" i="6"/>
  <c r="V399" i="6" s="1"/>
  <c r="AL398" i="6"/>
  <c r="AK398" i="6"/>
  <c r="AJ398" i="6"/>
  <c r="AI398" i="6"/>
  <c r="W398" i="6"/>
  <c r="E398" i="7" s="1"/>
  <c r="R398" i="6"/>
  <c r="D398" i="7" s="1"/>
  <c r="Q398" i="6"/>
  <c r="P398" i="6"/>
  <c r="O398" i="6"/>
  <c r="AM398" i="6" s="1"/>
  <c r="N398" i="6"/>
  <c r="M398" i="6"/>
  <c r="L398" i="6"/>
  <c r="K398" i="6"/>
  <c r="J398" i="6"/>
  <c r="I398" i="6"/>
  <c r="H398" i="6"/>
  <c r="G398" i="6"/>
  <c r="F398" i="6"/>
  <c r="AG398" i="6" s="1"/>
  <c r="AH398" i="6" s="1"/>
  <c r="E398" i="6"/>
  <c r="D398" i="6"/>
  <c r="C398" i="6"/>
  <c r="C398" i="7" s="1"/>
  <c r="B398" i="6"/>
  <c r="AM397" i="6"/>
  <c r="AL397" i="6"/>
  <c r="AK397" i="6"/>
  <c r="AG397" i="6"/>
  <c r="AH397" i="6" s="1"/>
  <c r="V397" i="6"/>
  <c r="U397" i="6"/>
  <c r="S397" i="6"/>
  <c r="Q397" i="6"/>
  <c r="P397" i="6"/>
  <c r="O397" i="6"/>
  <c r="N397" i="6"/>
  <c r="M397" i="6"/>
  <c r="L397" i="6"/>
  <c r="K397" i="6"/>
  <c r="J397" i="6"/>
  <c r="I397" i="6"/>
  <c r="AJ397" i="6" s="1"/>
  <c r="H397" i="6"/>
  <c r="AI397" i="6" s="1"/>
  <c r="G397" i="6"/>
  <c r="F397" i="6"/>
  <c r="E397" i="6"/>
  <c r="B397" i="7" s="1"/>
  <c r="D397" i="6"/>
  <c r="AM396" i="6"/>
  <c r="AL396" i="6"/>
  <c r="AJ396" i="6"/>
  <c r="AI396" i="6"/>
  <c r="AG396" i="6"/>
  <c r="AH396" i="6" s="1"/>
  <c r="Q396" i="6"/>
  <c r="P396" i="6"/>
  <c r="O396" i="6"/>
  <c r="N396" i="6"/>
  <c r="M396" i="6"/>
  <c r="L396" i="6"/>
  <c r="K396" i="6"/>
  <c r="J396" i="6"/>
  <c r="AK396" i="6" s="1"/>
  <c r="I396" i="6"/>
  <c r="H396" i="6"/>
  <c r="G396" i="6"/>
  <c r="F396" i="6"/>
  <c r="E396" i="6"/>
  <c r="D396" i="6"/>
  <c r="C396" i="6" s="1"/>
  <c r="C396" i="7" s="1"/>
  <c r="AM395" i="6"/>
  <c r="AL395" i="6"/>
  <c r="AJ395" i="6"/>
  <c r="AG395" i="6"/>
  <c r="AH395" i="6" s="1"/>
  <c r="AF395" i="6"/>
  <c r="W395" i="6"/>
  <c r="E395" i="7" s="1"/>
  <c r="T395" i="6"/>
  <c r="Q395" i="6"/>
  <c r="P395" i="6"/>
  <c r="O395" i="6"/>
  <c r="N395" i="6"/>
  <c r="M395" i="6"/>
  <c r="L395" i="6"/>
  <c r="K395" i="6"/>
  <c r="J395" i="6"/>
  <c r="AK395" i="6" s="1"/>
  <c r="I395" i="6"/>
  <c r="H395" i="6"/>
  <c r="AI395" i="6" s="1"/>
  <c r="G395" i="6"/>
  <c r="F395" i="6"/>
  <c r="E395" i="6"/>
  <c r="B395" i="7" s="1"/>
  <c r="D395" i="6"/>
  <c r="AM394" i="6"/>
  <c r="AK394" i="6"/>
  <c r="AJ394" i="6"/>
  <c r="AI394" i="6"/>
  <c r="AH394" i="6"/>
  <c r="AG394" i="6"/>
  <c r="W394" i="6"/>
  <c r="E394" i="7" s="1"/>
  <c r="V394" i="6"/>
  <c r="S394" i="6"/>
  <c r="Q394" i="6"/>
  <c r="P394" i="6"/>
  <c r="O394" i="6"/>
  <c r="N394" i="6"/>
  <c r="AL394" i="6" s="1"/>
  <c r="M394" i="6"/>
  <c r="L394" i="6"/>
  <c r="K394" i="6"/>
  <c r="J394" i="6"/>
  <c r="I394" i="6"/>
  <c r="H394" i="6"/>
  <c r="G394" i="6"/>
  <c r="F394" i="6"/>
  <c r="E394" i="6"/>
  <c r="D394" i="6"/>
  <c r="C394" i="6" s="1"/>
  <c r="C394" i="7" s="1"/>
  <c r="B394" i="6"/>
  <c r="AM393" i="6"/>
  <c r="AL393" i="6"/>
  <c r="AK393" i="6"/>
  <c r="AJ393" i="6"/>
  <c r="AG393" i="6"/>
  <c r="AH393" i="6" s="1"/>
  <c r="AF393" i="6"/>
  <c r="W393" i="6"/>
  <c r="E393" i="7" s="1"/>
  <c r="U393" i="6"/>
  <c r="Q393" i="6"/>
  <c r="P393" i="6"/>
  <c r="O393" i="6"/>
  <c r="N393" i="6"/>
  <c r="M393" i="6"/>
  <c r="L393" i="6"/>
  <c r="K393" i="6"/>
  <c r="J393" i="6"/>
  <c r="I393" i="6"/>
  <c r="H393" i="6"/>
  <c r="AI393" i="6" s="1"/>
  <c r="G393" i="6"/>
  <c r="F393" i="6"/>
  <c r="E393" i="6"/>
  <c r="B393" i="7" s="1"/>
  <c r="D393" i="6"/>
  <c r="V393" i="6" s="1"/>
  <c r="AL392" i="6"/>
  <c r="AK392" i="6"/>
  <c r="AJ392" i="6"/>
  <c r="AI392" i="6"/>
  <c r="AH392" i="6"/>
  <c r="W392" i="6"/>
  <c r="E392" i="7" s="1"/>
  <c r="V392" i="6"/>
  <c r="R392" i="6"/>
  <c r="D392" i="7" s="1"/>
  <c r="Q392" i="6"/>
  <c r="P392" i="6"/>
  <c r="O392" i="6"/>
  <c r="AM392" i="6" s="1"/>
  <c r="N392" i="6"/>
  <c r="M392" i="6"/>
  <c r="L392" i="6"/>
  <c r="K392" i="6"/>
  <c r="J392" i="6"/>
  <c r="I392" i="6"/>
  <c r="H392" i="6"/>
  <c r="G392" i="6"/>
  <c r="F392" i="6"/>
  <c r="AG392" i="6" s="1"/>
  <c r="E392" i="6"/>
  <c r="D392" i="6"/>
  <c r="C392" i="6"/>
  <c r="C392" i="7" s="1"/>
  <c r="B392" i="6"/>
  <c r="AM391" i="6"/>
  <c r="AL391" i="6"/>
  <c r="AK391" i="6"/>
  <c r="AG391" i="6"/>
  <c r="AH391" i="6" s="1"/>
  <c r="V391" i="6"/>
  <c r="U391" i="6"/>
  <c r="S391" i="6"/>
  <c r="Q391" i="6"/>
  <c r="P391" i="6"/>
  <c r="O391" i="6"/>
  <c r="N391" i="6"/>
  <c r="M391" i="6"/>
  <c r="L391" i="6"/>
  <c r="K391" i="6"/>
  <c r="J391" i="6"/>
  <c r="I391" i="6"/>
  <c r="AJ391" i="6" s="1"/>
  <c r="H391" i="6"/>
  <c r="AI391" i="6" s="1"/>
  <c r="G391" i="6"/>
  <c r="F391" i="6"/>
  <c r="E391" i="6"/>
  <c r="B391" i="7" s="1"/>
  <c r="D391" i="6"/>
  <c r="AM390" i="6"/>
  <c r="AL390" i="6"/>
  <c r="AJ390" i="6"/>
  <c r="AI390" i="6"/>
  <c r="AG390" i="6"/>
  <c r="AH390" i="6" s="1"/>
  <c r="Q390" i="6"/>
  <c r="P390" i="6"/>
  <c r="O390" i="6"/>
  <c r="N390" i="6"/>
  <c r="M390" i="6"/>
  <c r="L390" i="6"/>
  <c r="K390" i="6"/>
  <c r="J390" i="6"/>
  <c r="AK390" i="6" s="1"/>
  <c r="I390" i="6"/>
  <c r="H390" i="6"/>
  <c r="G390" i="6"/>
  <c r="F390" i="6"/>
  <c r="E390" i="6"/>
  <c r="D390" i="6"/>
  <c r="AM389" i="6"/>
  <c r="AL389" i="6"/>
  <c r="AK389" i="6"/>
  <c r="AF389" i="6"/>
  <c r="W389" i="6"/>
  <c r="E389" i="7" s="1"/>
  <c r="V389" i="6"/>
  <c r="U389" i="6"/>
  <c r="T389" i="6"/>
  <c r="S389" i="6"/>
  <c r="R389" i="6"/>
  <c r="D389" i="7" s="1"/>
  <c r="Q389" i="6"/>
  <c r="P389" i="6"/>
  <c r="O389" i="6"/>
  <c r="N389" i="6"/>
  <c r="M389" i="6"/>
  <c r="L389" i="6"/>
  <c r="K389" i="6"/>
  <c r="J389" i="6"/>
  <c r="I389" i="6"/>
  <c r="AJ389" i="6" s="1"/>
  <c r="H389" i="6"/>
  <c r="AI389" i="6" s="1"/>
  <c r="G389" i="6"/>
  <c r="F389" i="6"/>
  <c r="AG389" i="6" s="1"/>
  <c r="AH389" i="6" s="1"/>
  <c r="E389" i="6"/>
  <c r="B389" i="7" s="1"/>
  <c r="D389" i="6"/>
  <c r="B389" i="6"/>
  <c r="AM388" i="6"/>
  <c r="AK388" i="6"/>
  <c r="AJ388" i="6"/>
  <c r="AI388" i="6"/>
  <c r="AG388" i="6"/>
  <c r="AH388" i="6" s="1"/>
  <c r="Q388" i="6"/>
  <c r="P388" i="6"/>
  <c r="O388" i="6"/>
  <c r="N388" i="6"/>
  <c r="AL388" i="6" s="1"/>
  <c r="M388" i="6"/>
  <c r="L388" i="6"/>
  <c r="K388" i="6"/>
  <c r="J388" i="6"/>
  <c r="I388" i="6"/>
  <c r="H388" i="6"/>
  <c r="G388" i="6"/>
  <c r="F388" i="6"/>
  <c r="E388" i="6"/>
  <c r="B388" i="7" s="1"/>
  <c r="D388" i="6"/>
  <c r="AM387" i="6"/>
  <c r="AL387" i="6"/>
  <c r="W387" i="6"/>
  <c r="E387" i="7" s="1"/>
  <c r="V387" i="6"/>
  <c r="U387" i="6"/>
  <c r="T387" i="6"/>
  <c r="S387" i="6"/>
  <c r="R387" i="6"/>
  <c r="D387" i="7" s="1"/>
  <c r="Q387" i="6"/>
  <c r="P387" i="6"/>
  <c r="O387" i="6"/>
  <c r="N387" i="6"/>
  <c r="M387" i="6"/>
  <c r="L387" i="6"/>
  <c r="K387" i="6"/>
  <c r="J387" i="6"/>
  <c r="AK387" i="6" s="1"/>
  <c r="I387" i="6"/>
  <c r="AJ387" i="6" s="1"/>
  <c r="H387" i="6"/>
  <c r="AI387" i="6" s="1"/>
  <c r="G387" i="6"/>
  <c r="F387" i="6"/>
  <c r="AG387" i="6" s="1"/>
  <c r="AH387" i="6" s="1"/>
  <c r="E387" i="6"/>
  <c r="D387" i="6"/>
  <c r="B387" i="6"/>
  <c r="AJ386" i="6"/>
  <c r="AI386" i="6"/>
  <c r="AH386" i="6"/>
  <c r="AG386" i="6"/>
  <c r="AF386" i="6"/>
  <c r="W386" i="6"/>
  <c r="E386" i="7" s="1"/>
  <c r="V386" i="6"/>
  <c r="S386" i="6"/>
  <c r="Q386" i="6"/>
  <c r="P386" i="6"/>
  <c r="O386" i="6"/>
  <c r="AM386" i="6" s="1"/>
  <c r="N386" i="6"/>
  <c r="AL386" i="6" s="1"/>
  <c r="M386" i="6"/>
  <c r="L386" i="6"/>
  <c r="K386" i="6"/>
  <c r="J386" i="6"/>
  <c r="AK386" i="6" s="1"/>
  <c r="I386" i="6"/>
  <c r="H386" i="6"/>
  <c r="G386" i="6"/>
  <c r="F386" i="6"/>
  <c r="E386" i="6"/>
  <c r="B386" i="7" s="1"/>
  <c r="D386" i="6"/>
  <c r="C386" i="6" s="1"/>
  <c r="C386" i="7" s="1"/>
  <c r="AM385" i="6"/>
  <c r="AK385" i="6"/>
  <c r="AJ385" i="6"/>
  <c r="AF385" i="6"/>
  <c r="U385" i="6"/>
  <c r="T385" i="6"/>
  <c r="R385" i="6"/>
  <c r="D385" i="7" s="1"/>
  <c r="Q385" i="6"/>
  <c r="P385" i="6"/>
  <c r="O385" i="6"/>
  <c r="N385" i="6"/>
  <c r="AL385" i="6" s="1"/>
  <c r="M385" i="6"/>
  <c r="L385" i="6"/>
  <c r="K385" i="6"/>
  <c r="J385" i="6"/>
  <c r="I385" i="6"/>
  <c r="H385" i="6"/>
  <c r="AI385" i="6" s="1"/>
  <c r="G385" i="6"/>
  <c r="F385" i="6"/>
  <c r="AG385" i="6" s="1"/>
  <c r="AH385" i="6" s="1"/>
  <c r="E385" i="6"/>
  <c r="B385" i="7" s="1"/>
  <c r="D385" i="6"/>
  <c r="B385" i="6"/>
  <c r="AM384" i="6"/>
  <c r="AL384" i="6"/>
  <c r="AJ384" i="6"/>
  <c r="AF384" i="6"/>
  <c r="W384" i="6"/>
  <c r="E384" i="7" s="1"/>
  <c r="S384" i="6"/>
  <c r="R384" i="6"/>
  <c r="D384" i="7" s="1"/>
  <c r="Q384" i="6"/>
  <c r="P384" i="6"/>
  <c r="O384" i="6"/>
  <c r="N384" i="6"/>
  <c r="M384" i="6"/>
  <c r="L384" i="6"/>
  <c r="K384" i="6"/>
  <c r="J384" i="6"/>
  <c r="AK384" i="6" s="1"/>
  <c r="I384" i="6"/>
  <c r="H384" i="6"/>
  <c r="AI384" i="6" s="1"/>
  <c r="G384" i="6"/>
  <c r="F384" i="6"/>
  <c r="AG384" i="6" s="1"/>
  <c r="AH384" i="6" s="1"/>
  <c r="E384" i="6"/>
  <c r="B384" i="7" s="1"/>
  <c r="D384" i="6"/>
  <c r="AM383" i="6"/>
  <c r="AL383" i="6"/>
  <c r="AK383" i="6"/>
  <c r="W383" i="6"/>
  <c r="E383" i="7" s="1"/>
  <c r="U383" i="6"/>
  <c r="R383" i="6"/>
  <c r="D383" i="7" s="1"/>
  <c r="Q383" i="6"/>
  <c r="P383" i="6"/>
  <c r="O383" i="6"/>
  <c r="N383" i="6"/>
  <c r="M383" i="6"/>
  <c r="L383" i="6"/>
  <c r="K383" i="6"/>
  <c r="J383" i="6"/>
  <c r="I383" i="6"/>
  <c r="AJ383" i="6" s="1"/>
  <c r="H383" i="6"/>
  <c r="AI383" i="6" s="1"/>
  <c r="G383" i="6"/>
  <c r="F383" i="6"/>
  <c r="AG383" i="6" s="1"/>
  <c r="AH383" i="6" s="1"/>
  <c r="E383" i="6"/>
  <c r="D383" i="6"/>
  <c r="V383" i="6" s="1"/>
  <c r="B383" i="6"/>
  <c r="AL382" i="6"/>
  <c r="AJ382" i="6"/>
  <c r="V382" i="6"/>
  <c r="Q382" i="6"/>
  <c r="P382" i="6"/>
  <c r="O382" i="6"/>
  <c r="AM382" i="6" s="1"/>
  <c r="N382" i="6"/>
  <c r="M382" i="6"/>
  <c r="L382" i="6"/>
  <c r="K382" i="6"/>
  <c r="J382" i="6"/>
  <c r="AK382" i="6" s="1"/>
  <c r="I382" i="6"/>
  <c r="H382" i="6"/>
  <c r="AI382" i="6" s="1"/>
  <c r="G382" i="6"/>
  <c r="F382" i="6"/>
  <c r="AG382" i="6" s="1"/>
  <c r="AH382" i="6" s="1"/>
  <c r="E382" i="6"/>
  <c r="B382" i="7" s="1"/>
  <c r="D382" i="6"/>
  <c r="C382" i="6"/>
  <c r="C382" i="7" s="1"/>
  <c r="AM381" i="6"/>
  <c r="AJ381" i="6"/>
  <c r="AF381" i="6"/>
  <c r="W381" i="6"/>
  <c r="E381" i="7" s="1"/>
  <c r="V381" i="6"/>
  <c r="U381" i="6"/>
  <c r="T381" i="6"/>
  <c r="S381" i="6"/>
  <c r="R381" i="6"/>
  <c r="D381" i="7" s="1"/>
  <c r="Q381" i="6"/>
  <c r="P381" i="6"/>
  <c r="O381" i="6"/>
  <c r="N381" i="6"/>
  <c r="AL381" i="6" s="1"/>
  <c r="M381" i="6"/>
  <c r="L381" i="6"/>
  <c r="K381" i="6"/>
  <c r="J381" i="6"/>
  <c r="AK381" i="6" s="1"/>
  <c r="I381" i="6"/>
  <c r="H381" i="6"/>
  <c r="AI381" i="6" s="1"/>
  <c r="G381" i="6"/>
  <c r="F381" i="6"/>
  <c r="AG381" i="6" s="1"/>
  <c r="AH381" i="6" s="1"/>
  <c r="E381" i="6"/>
  <c r="B381" i="7" s="1"/>
  <c r="D381" i="6"/>
  <c r="B381" i="6"/>
  <c r="AM380" i="6"/>
  <c r="AJ380" i="6"/>
  <c r="AI380" i="6"/>
  <c r="W380" i="6"/>
  <c r="E380" i="7" s="1"/>
  <c r="Q380" i="6"/>
  <c r="P380" i="6"/>
  <c r="O380" i="6"/>
  <c r="N380" i="6"/>
  <c r="AL380" i="6" s="1"/>
  <c r="M380" i="6"/>
  <c r="L380" i="6"/>
  <c r="K380" i="6"/>
  <c r="J380" i="6"/>
  <c r="AK380" i="6" s="1"/>
  <c r="I380" i="6"/>
  <c r="H380" i="6"/>
  <c r="G380" i="6"/>
  <c r="F380" i="6"/>
  <c r="AG380" i="6" s="1"/>
  <c r="AH380" i="6" s="1"/>
  <c r="E380" i="6"/>
  <c r="B380" i="7" s="1"/>
  <c r="D380" i="6"/>
  <c r="AM379" i="6"/>
  <c r="AL379" i="6"/>
  <c r="W379" i="6"/>
  <c r="E379" i="7" s="1"/>
  <c r="V379" i="6"/>
  <c r="U379" i="6"/>
  <c r="T379" i="6"/>
  <c r="S379" i="6"/>
  <c r="R379" i="6"/>
  <c r="D379" i="7" s="1"/>
  <c r="Q379" i="6"/>
  <c r="P379" i="6"/>
  <c r="O379" i="6"/>
  <c r="N379" i="6"/>
  <c r="M379" i="6"/>
  <c r="L379" i="6"/>
  <c r="K379" i="6"/>
  <c r="J379" i="6"/>
  <c r="AK379" i="6" s="1"/>
  <c r="I379" i="6"/>
  <c r="AJ379" i="6" s="1"/>
  <c r="H379" i="6"/>
  <c r="AI379" i="6" s="1"/>
  <c r="G379" i="6"/>
  <c r="F379" i="6"/>
  <c r="AG379" i="6" s="1"/>
  <c r="AH379" i="6" s="1"/>
  <c r="E379" i="6"/>
  <c r="B379" i="7" s="1"/>
  <c r="D379" i="6"/>
  <c r="B379" i="6"/>
  <c r="AK378" i="6"/>
  <c r="AJ378" i="6"/>
  <c r="AI378" i="6"/>
  <c r="AH378" i="6"/>
  <c r="AG378" i="6"/>
  <c r="AF378" i="6"/>
  <c r="W378" i="6"/>
  <c r="E378" i="7" s="1"/>
  <c r="Q378" i="6"/>
  <c r="P378" i="6"/>
  <c r="O378" i="6"/>
  <c r="AM378" i="6" s="1"/>
  <c r="N378" i="6"/>
  <c r="AL378" i="6" s="1"/>
  <c r="M378" i="6"/>
  <c r="L378" i="6"/>
  <c r="K378" i="6"/>
  <c r="J378" i="6"/>
  <c r="I378" i="6"/>
  <c r="H378" i="6"/>
  <c r="G378" i="6"/>
  <c r="F378" i="6"/>
  <c r="E378" i="6"/>
  <c r="B378" i="7" s="1"/>
  <c r="D378" i="6"/>
  <c r="AM377" i="6"/>
  <c r="AK377" i="6"/>
  <c r="AF377" i="6"/>
  <c r="U377" i="6"/>
  <c r="T377" i="6"/>
  <c r="R377" i="6"/>
  <c r="D377" i="7" s="1"/>
  <c r="Q377" i="6"/>
  <c r="P377" i="6"/>
  <c r="O377" i="6"/>
  <c r="N377" i="6"/>
  <c r="AL377" i="6" s="1"/>
  <c r="M377" i="6"/>
  <c r="L377" i="6"/>
  <c r="K377" i="6"/>
  <c r="J377" i="6"/>
  <c r="I377" i="6"/>
  <c r="AJ377" i="6" s="1"/>
  <c r="H377" i="6"/>
  <c r="AI377" i="6" s="1"/>
  <c r="G377" i="6"/>
  <c r="F377" i="6"/>
  <c r="AG377" i="6" s="1"/>
  <c r="AH377" i="6" s="1"/>
  <c r="E377" i="6"/>
  <c r="B377" i="7" s="1"/>
  <c r="D377" i="6"/>
  <c r="B377" i="6"/>
  <c r="AM376" i="6"/>
  <c r="AK376" i="6"/>
  <c r="AG376" i="6"/>
  <c r="AH376" i="6" s="1"/>
  <c r="W376" i="6"/>
  <c r="E376" i="7" s="1"/>
  <c r="V376" i="6"/>
  <c r="U376" i="6"/>
  <c r="T376" i="6"/>
  <c r="S376" i="6"/>
  <c r="Q376" i="6"/>
  <c r="P376" i="6"/>
  <c r="O376" i="6"/>
  <c r="N376" i="6"/>
  <c r="AL376" i="6" s="1"/>
  <c r="M376" i="6"/>
  <c r="L376" i="6"/>
  <c r="K376" i="6"/>
  <c r="J376" i="6"/>
  <c r="I376" i="6"/>
  <c r="AJ376" i="6" s="1"/>
  <c r="H376" i="6"/>
  <c r="AI376" i="6" s="1"/>
  <c r="G376" i="6"/>
  <c r="F376" i="6"/>
  <c r="E376" i="6"/>
  <c r="D376" i="6"/>
  <c r="A376" i="7" s="1"/>
  <c r="B376" i="6"/>
  <c r="AM375" i="6"/>
  <c r="AK375" i="6"/>
  <c r="AJ375" i="6"/>
  <c r="AG375" i="6"/>
  <c r="AH375" i="6" s="1"/>
  <c r="W375" i="6"/>
  <c r="E375" i="7" s="1"/>
  <c r="T375" i="6"/>
  <c r="S375" i="6"/>
  <c r="Q375" i="6"/>
  <c r="P375" i="6"/>
  <c r="O375" i="6"/>
  <c r="N375" i="6"/>
  <c r="AL375" i="6" s="1"/>
  <c r="M375" i="6"/>
  <c r="L375" i="6"/>
  <c r="K375" i="6"/>
  <c r="J375" i="6"/>
  <c r="I375" i="6"/>
  <c r="H375" i="6"/>
  <c r="AI375" i="6" s="1"/>
  <c r="G375" i="6"/>
  <c r="F375" i="6"/>
  <c r="E375" i="6"/>
  <c r="B375" i="7" s="1"/>
  <c r="D375" i="6"/>
  <c r="A375" i="7" s="1"/>
  <c r="B375" i="6"/>
  <c r="AM374" i="6"/>
  <c r="AL374" i="6"/>
  <c r="AK374" i="6"/>
  <c r="W374" i="6"/>
  <c r="E374" i="7" s="1"/>
  <c r="V374" i="6"/>
  <c r="U374" i="6"/>
  <c r="T374" i="6"/>
  <c r="S374" i="6"/>
  <c r="R374" i="6"/>
  <c r="D374" i="7" s="1"/>
  <c r="Q374" i="6"/>
  <c r="P374" i="6"/>
  <c r="O374" i="6"/>
  <c r="N374" i="6"/>
  <c r="M374" i="6"/>
  <c r="L374" i="6"/>
  <c r="K374" i="6"/>
  <c r="J374" i="6"/>
  <c r="I374" i="6"/>
  <c r="AJ374" i="6" s="1"/>
  <c r="H374" i="6"/>
  <c r="AI374" i="6" s="1"/>
  <c r="G374" i="6"/>
  <c r="F374" i="6"/>
  <c r="AG374" i="6" s="1"/>
  <c r="AH374" i="6" s="1"/>
  <c r="E374" i="6"/>
  <c r="D374" i="6"/>
  <c r="A374" i="7" s="1"/>
  <c r="B374" i="6"/>
  <c r="AM373" i="6"/>
  <c r="AK373" i="6"/>
  <c r="AJ373" i="6"/>
  <c r="AH373" i="6"/>
  <c r="AG373" i="6"/>
  <c r="W373" i="6"/>
  <c r="E373" i="7" s="1"/>
  <c r="T373" i="6"/>
  <c r="S373" i="6"/>
  <c r="Q373" i="6"/>
  <c r="P373" i="6"/>
  <c r="O373" i="6"/>
  <c r="N373" i="6"/>
  <c r="AL373" i="6" s="1"/>
  <c r="M373" i="6"/>
  <c r="L373" i="6"/>
  <c r="K373" i="6"/>
  <c r="J373" i="6"/>
  <c r="I373" i="6"/>
  <c r="H373" i="6"/>
  <c r="AI373" i="6" s="1"/>
  <c r="G373" i="6"/>
  <c r="F373" i="6"/>
  <c r="E373" i="6"/>
  <c r="B373" i="7" s="1"/>
  <c r="D373" i="6"/>
  <c r="A373" i="7" s="1"/>
  <c r="B373" i="6"/>
  <c r="AM372" i="6"/>
  <c r="AK372" i="6"/>
  <c r="W372" i="6"/>
  <c r="E372" i="7" s="1"/>
  <c r="V372" i="6"/>
  <c r="U372" i="6"/>
  <c r="T372" i="6"/>
  <c r="S372" i="6"/>
  <c r="R372" i="6"/>
  <c r="D372" i="7" s="1"/>
  <c r="Q372" i="6"/>
  <c r="P372" i="6"/>
  <c r="O372" i="6"/>
  <c r="N372" i="6"/>
  <c r="AL372" i="6" s="1"/>
  <c r="M372" i="6"/>
  <c r="L372" i="6"/>
  <c r="K372" i="6"/>
  <c r="J372" i="6"/>
  <c r="I372" i="6"/>
  <c r="AJ372" i="6" s="1"/>
  <c r="H372" i="6"/>
  <c r="AI372" i="6" s="1"/>
  <c r="G372" i="6"/>
  <c r="F372" i="6"/>
  <c r="AG372" i="6" s="1"/>
  <c r="AH372" i="6" s="1"/>
  <c r="E372" i="6"/>
  <c r="D372" i="6"/>
  <c r="A372" i="7" s="1"/>
  <c r="B372" i="6"/>
  <c r="AM371" i="6"/>
  <c r="AK371" i="6"/>
  <c r="AJ371" i="6"/>
  <c r="AH371" i="6"/>
  <c r="AG371" i="6"/>
  <c r="W371" i="6"/>
  <c r="E371" i="7" s="1"/>
  <c r="T371" i="6"/>
  <c r="S371" i="6"/>
  <c r="Q371" i="6"/>
  <c r="P371" i="6"/>
  <c r="O371" i="6"/>
  <c r="N371" i="6"/>
  <c r="AL371" i="6" s="1"/>
  <c r="M371" i="6"/>
  <c r="L371" i="6"/>
  <c r="K371" i="6"/>
  <c r="J371" i="6"/>
  <c r="I371" i="6"/>
  <c r="H371" i="6"/>
  <c r="AI371" i="6" s="1"/>
  <c r="G371" i="6"/>
  <c r="F371" i="6"/>
  <c r="E371" i="6"/>
  <c r="B371" i="7" s="1"/>
  <c r="D371" i="6"/>
  <c r="A371" i="7" s="1"/>
  <c r="B371" i="6"/>
  <c r="AM370" i="6"/>
  <c r="AL370" i="6"/>
  <c r="AK370" i="6"/>
  <c r="AH370" i="6"/>
  <c r="AG370" i="6"/>
  <c r="W370" i="6"/>
  <c r="E370" i="7" s="1"/>
  <c r="V370" i="6"/>
  <c r="U370" i="6"/>
  <c r="T370" i="6"/>
  <c r="S370" i="6"/>
  <c r="R370" i="6"/>
  <c r="D370" i="7" s="1"/>
  <c r="Q370" i="6"/>
  <c r="P370" i="6"/>
  <c r="O370" i="6"/>
  <c r="N370" i="6"/>
  <c r="M370" i="6"/>
  <c r="L370" i="6"/>
  <c r="K370" i="6"/>
  <c r="J370" i="6"/>
  <c r="I370" i="6"/>
  <c r="AJ370" i="6" s="1"/>
  <c r="H370" i="6"/>
  <c r="AI370" i="6" s="1"/>
  <c r="G370" i="6"/>
  <c r="F370" i="6"/>
  <c r="E370" i="6"/>
  <c r="D370" i="6"/>
  <c r="A370" i="7" s="1"/>
  <c r="B370" i="6"/>
  <c r="AM369" i="6"/>
  <c r="AK369" i="6"/>
  <c r="AJ369" i="6"/>
  <c r="AH369" i="6"/>
  <c r="AG369" i="6"/>
  <c r="AF369" i="6"/>
  <c r="W369" i="6"/>
  <c r="E369" i="7" s="1"/>
  <c r="T369" i="6"/>
  <c r="S369" i="6"/>
  <c r="Q369" i="6"/>
  <c r="P369" i="6"/>
  <c r="O369" i="6"/>
  <c r="N369" i="6"/>
  <c r="AL369" i="6" s="1"/>
  <c r="M369" i="6"/>
  <c r="L369" i="6"/>
  <c r="K369" i="6"/>
  <c r="J369" i="6"/>
  <c r="I369" i="6"/>
  <c r="H369" i="6"/>
  <c r="AI369" i="6" s="1"/>
  <c r="G369" i="6"/>
  <c r="F369" i="6"/>
  <c r="E369" i="6"/>
  <c r="B369" i="7" s="1"/>
  <c r="D369" i="6"/>
  <c r="A369" i="7" s="1"/>
  <c r="B369" i="6"/>
  <c r="AM368" i="6"/>
  <c r="AL368" i="6"/>
  <c r="AK368" i="6"/>
  <c r="AH368" i="6"/>
  <c r="AG368" i="6"/>
  <c r="W368" i="6"/>
  <c r="E368" i="7" s="1"/>
  <c r="V368" i="6"/>
  <c r="U368" i="6"/>
  <c r="T368" i="6"/>
  <c r="S368" i="6"/>
  <c r="R368" i="6"/>
  <c r="D368" i="7" s="1"/>
  <c r="Q368" i="6"/>
  <c r="P368" i="6"/>
  <c r="O368" i="6"/>
  <c r="N368" i="6"/>
  <c r="M368" i="6"/>
  <c r="L368" i="6"/>
  <c r="K368" i="6"/>
  <c r="J368" i="6"/>
  <c r="I368" i="6"/>
  <c r="AJ368" i="6" s="1"/>
  <c r="H368" i="6"/>
  <c r="AI368" i="6" s="1"/>
  <c r="G368" i="6"/>
  <c r="F368" i="6"/>
  <c r="E368" i="6"/>
  <c r="D368" i="6"/>
  <c r="A368" i="7" s="1"/>
  <c r="B368" i="6"/>
  <c r="AM367" i="6"/>
  <c r="AK367" i="6"/>
  <c r="AJ367" i="6"/>
  <c r="AH367" i="6"/>
  <c r="AG367" i="6"/>
  <c r="AF367" i="6"/>
  <c r="W367" i="6"/>
  <c r="E367" i="7" s="1"/>
  <c r="T367" i="6"/>
  <c r="S367" i="6"/>
  <c r="Q367" i="6"/>
  <c r="P367" i="6"/>
  <c r="O367" i="6"/>
  <c r="N367" i="6"/>
  <c r="AL367" i="6" s="1"/>
  <c r="M367" i="6"/>
  <c r="L367" i="6"/>
  <c r="K367" i="6"/>
  <c r="J367" i="6"/>
  <c r="I367" i="6"/>
  <c r="H367" i="6"/>
  <c r="AI367" i="6" s="1"/>
  <c r="G367" i="6"/>
  <c r="F367" i="6"/>
  <c r="E367" i="6"/>
  <c r="B367" i="7" s="1"/>
  <c r="D367" i="6"/>
  <c r="A367" i="7" s="1"/>
  <c r="B367" i="6"/>
  <c r="AM366" i="6"/>
  <c r="AL366" i="6"/>
  <c r="AK366" i="6"/>
  <c r="AH366" i="6"/>
  <c r="AG366" i="6"/>
  <c r="W366" i="6"/>
  <c r="E366" i="7" s="1"/>
  <c r="V366" i="6"/>
  <c r="U366" i="6"/>
  <c r="T366" i="6"/>
  <c r="S366" i="6"/>
  <c r="R366" i="6"/>
  <c r="D366" i="7" s="1"/>
  <c r="Q366" i="6"/>
  <c r="P366" i="6"/>
  <c r="O366" i="6"/>
  <c r="N366" i="6"/>
  <c r="M366" i="6"/>
  <c r="L366" i="6"/>
  <c r="K366" i="6"/>
  <c r="J366" i="6"/>
  <c r="I366" i="6"/>
  <c r="AJ366" i="6" s="1"/>
  <c r="H366" i="6"/>
  <c r="AI366" i="6" s="1"/>
  <c r="G366" i="6"/>
  <c r="F366" i="6"/>
  <c r="E366" i="6"/>
  <c r="D366" i="6"/>
  <c r="A366" i="7" s="1"/>
  <c r="B366" i="6"/>
  <c r="AM365" i="6"/>
  <c r="AK365" i="6"/>
  <c r="AJ365" i="6"/>
  <c r="AH365" i="6"/>
  <c r="AG365" i="6"/>
  <c r="W365" i="6"/>
  <c r="E365" i="7" s="1"/>
  <c r="T365" i="6"/>
  <c r="S365" i="6"/>
  <c r="Q365" i="6"/>
  <c r="P365" i="6"/>
  <c r="O365" i="6"/>
  <c r="N365" i="6"/>
  <c r="AL365" i="6" s="1"/>
  <c r="M365" i="6"/>
  <c r="L365" i="6"/>
  <c r="K365" i="6"/>
  <c r="J365" i="6"/>
  <c r="I365" i="6"/>
  <c r="H365" i="6"/>
  <c r="AI365" i="6" s="1"/>
  <c r="G365" i="6"/>
  <c r="F365" i="6"/>
  <c r="E365" i="6"/>
  <c r="D365" i="6"/>
  <c r="A365" i="7" s="1"/>
  <c r="B365" i="6"/>
  <c r="AM364" i="6"/>
  <c r="AL364" i="6"/>
  <c r="AK364" i="6"/>
  <c r="W364" i="6"/>
  <c r="E364" i="7" s="1"/>
  <c r="V364" i="6"/>
  <c r="U364" i="6"/>
  <c r="T364" i="6"/>
  <c r="S364" i="6"/>
  <c r="R364" i="6"/>
  <c r="D364" i="7" s="1"/>
  <c r="Q364" i="6"/>
  <c r="P364" i="6"/>
  <c r="O364" i="6"/>
  <c r="N364" i="6"/>
  <c r="M364" i="6"/>
  <c r="L364" i="6"/>
  <c r="K364" i="6"/>
  <c r="J364" i="6"/>
  <c r="I364" i="6"/>
  <c r="AJ364" i="6" s="1"/>
  <c r="H364" i="6"/>
  <c r="AI364" i="6" s="1"/>
  <c r="G364" i="6"/>
  <c r="F364" i="6"/>
  <c r="AG364" i="6" s="1"/>
  <c r="AH364" i="6" s="1"/>
  <c r="E364" i="6"/>
  <c r="D364" i="6"/>
  <c r="A364" i="7" s="1"/>
  <c r="B364" i="6"/>
  <c r="AM363" i="6"/>
  <c r="AK363" i="6"/>
  <c r="AJ363" i="6"/>
  <c r="AG363" i="6"/>
  <c r="AH363" i="6" s="1"/>
  <c r="AF363" i="6"/>
  <c r="W363" i="6"/>
  <c r="E363" i="7" s="1"/>
  <c r="T363" i="6"/>
  <c r="S363" i="6"/>
  <c r="Q363" i="6"/>
  <c r="P363" i="6"/>
  <c r="O363" i="6"/>
  <c r="N363" i="6"/>
  <c r="AL363" i="6" s="1"/>
  <c r="M363" i="6"/>
  <c r="L363" i="6"/>
  <c r="K363" i="6"/>
  <c r="J363" i="6"/>
  <c r="I363" i="6"/>
  <c r="H363" i="6"/>
  <c r="AI363" i="6" s="1"/>
  <c r="G363" i="6"/>
  <c r="F363" i="6"/>
  <c r="E363" i="6"/>
  <c r="B363" i="7" s="1"/>
  <c r="D363" i="6"/>
  <c r="A363" i="7" s="1"/>
  <c r="B363" i="6"/>
  <c r="AM362" i="6"/>
  <c r="AL362" i="6"/>
  <c r="AK362" i="6"/>
  <c r="W362" i="6"/>
  <c r="E362" i="7" s="1"/>
  <c r="V362" i="6"/>
  <c r="U362" i="6"/>
  <c r="T362" i="6"/>
  <c r="S362" i="6"/>
  <c r="R362" i="6"/>
  <c r="D362" i="7" s="1"/>
  <c r="Q362" i="6"/>
  <c r="P362" i="6"/>
  <c r="O362" i="6"/>
  <c r="N362" i="6"/>
  <c r="M362" i="6"/>
  <c r="L362" i="6"/>
  <c r="K362" i="6"/>
  <c r="J362" i="6"/>
  <c r="I362" i="6"/>
  <c r="AJ362" i="6" s="1"/>
  <c r="H362" i="6"/>
  <c r="AI362" i="6" s="1"/>
  <c r="G362" i="6"/>
  <c r="F362" i="6"/>
  <c r="AG362" i="6" s="1"/>
  <c r="AH362" i="6" s="1"/>
  <c r="E362" i="6"/>
  <c r="D362" i="6"/>
  <c r="A362" i="7" s="1"/>
  <c r="B362" i="6"/>
  <c r="AM361" i="6"/>
  <c r="AK361" i="6"/>
  <c r="AJ361" i="6"/>
  <c r="AH361" i="6"/>
  <c r="AG361" i="6"/>
  <c r="AF361" i="6"/>
  <c r="W361" i="6"/>
  <c r="E361" i="7" s="1"/>
  <c r="T361" i="6"/>
  <c r="S361" i="6"/>
  <c r="Q361" i="6"/>
  <c r="P361" i="6"/>
  <c r="O361" i="6"/>
  <c r="N361" i="6"/>
  <c r="AL361" i="6" s="1"/>
  <c r="M361" i="6"/>
  <c r="L361" i="6"/>
  <c r="K361" i="6"/>
  <c r="J361" i="6"/>
  <c r="I361" i="6"/>
  <c r="H361" i="6"/>
  <c r="AI361" i="6" s="1"/>
  <c r="G361" i="6"/>
  <c r="F361" i="6"/>
  <c r="E361" i="6"/>
  <c r="B361" i="7" s="1"/>
  <c r="D361" i="6"/>
  <c r="A361" i="7" s="1"/>
  <c r="B361" i="6"/>
  <c r="AM360" i="6"/>
  <c r="W360" i="6"/>
  <c r="E360" i="7" s="1"/>
  <c r="V360" i="6"/>
  <c r="U360" i="6"/>
  <c r="T360" i="6"/>
  <c r="S360" i="6"/>
  <c r="R360" i="6"/>
  <c r="D360" i="7" s="1"/>
  <c r="Q360" i="6"/>
  <c r="P360" i="6"/>
  <c r="O360" i="6"/>
  <c r="N360" i="6"/>
  <c r="AL360" i="6" s="1"/>
  <c r="M360" i="6"/>
  <c r="L360" i="6"/>
  <c r="K360" i="6"/>
  <c r="J360" i="6"/>
  <c r="AK360" i="6" s="1"/>
  <c r="I360" i="6"/>
  <c r="AJ360" i="6" s="1"/>
  <c r="H360" i="6"/>
  <c r="AI360" i="6" s="1"/>
  <c r="G360" i="6"/>
  <c r="F360" i="6"/>
  <c r="AG360" i="6" s="1"/>
  <c r="AH360" i="6" s="1"/>
  <c r="E360" i="6"/>
  <c r="D360" i="6"/>
  <c r="A360" i="7" s="1"/>
  <c r="B360" i="6"/>
  <c r="AM359" i="6"/>
  <c r="AK359" i="6"/>
  <c r="AJ359" i="6"/>
  <c r="AH359" i="6"/>
  <c r="AG359" i="6"/>
  <c r="W359" i="6"/>
  <c r="E359" i="7" s="1"/>
  <c r="T359" i="6"/>
  <c r="S359" i="6"/>
  <c r="Q359" i="6"/>
  <c r="P359" i="6"/>
  <c r="O359" i="6"/>
  <c r="N359" i="6"/>
  <c r="AL359" i="6" s="1"/>
  <c r="M359" i="6"/>
  <c r="L359" i="6"/>
  <c r="K359" i="6"/>
  <c r="J359" i="6"/>
  <c r="I359" i="6"/>
  <c r="H359" i="6"/>
  <c r="AI359" i="6" s="1"/>
  <c r="G359" i="6"/>
  <c r="F359" i="6"/>
  <c r="E359" i="6"/>
  <c r="B359" i="7" s="1"/>
  <c r="D359" i="6"/>
  <c r="B359" i="6"/>
  <c r="AM358" i="6"/>
  <c r="AL358" i="6"/>
  <c r="AH358" i="6"/>
  <c r="AG358" i="6"/>
  <c r="W358" i="6"/>
  <c r="E358" i="7" s="1"/>
  <c r="V358" i="6"/>
  <c r="U358" i="6"/>
  <c r="T358" i="6"/>
  <c r="S358" i="6"/>
  <c r="R358" i="6"/>
  <c r="D358" i="7" s="1"/>
  <c r="Q358" i="6"/>
  <c r="P358" i="6"/>
  <c r="O358" i="6"/>
  <c r="N358" i="6"/>
  <c r="M358" i="6"/>
  <c r="L358" i="6"/>
  <c r="K358" i="6"/>
  <c r="J358" i="6"/>
  <c r="AK358" i="6" s="1"/>
  <c r="I358" i="6"/>
  <c r="AJ358" i="6" s="1"/>
  <c r="H358" i="6"/>
  <c r="AI358" i="6" s="1"/>
  <c r="G358" i="6"/>
  <c r="F358" i="6"/>
  <c r="E358" i="6"/>
  <c r="D358" i="6"/>
  <c r="A358" i="7" s="1"/>
  <c r="B358" i="6"/>
  <c r="AM357" i="6"/>
  <c r="AK357" i="6"/>
  <c r="AJ357" i="6"/>
  <c r="AG357" i="6"/>
  <c r="AH357" i="6" s="1"/>
  <c r="AF357" i="6"/>
  <c r="W357" i="6"/>
  <c r="E357" i="7" s="1"/>
  <c r="T357" i="6"/>
  <c r="Q357" i="6"/>
  <c r="P357" i="6"/>
  <c r="O357" i="6"/>
  <c r="N357" i="6"/>
  <c r="AL357" i="6" s="1"/>
  <c r="M357" i="6"/>
  <c r="L357" i="6"/>
  <c r="K357" i="6"/>
  <c r="J357" i="6"/>
  <c r="I357" i="6"/>
  <c r="H357" i="6"/>
  <c r="AI357" i="6" s="1"/>
  <c r="G357" i="6"/>
  <c r="F357" i="6"/>
  <c r="E357" i="6"/>
  <c r="B357" i="7" s="1"/>
  <c r="D357" i="6"/>
  <c r="B357" i="6"/>
  <c r="AM356" i="6"/>
  <c r="AL356" i="6"/>
  <c r="AG356" i="6"/>
  <c r="AH356" i="6" s="1"/>
  <c r="W356" i="6"/>
  <c r="E356" i="7" s="1"/>
  <c r="V356" i="6"/>
  <c r="U356" i="6"/>
  <c r="T356" i="6"/>
  <c r="S356" i="6"/>
  <c r="R356" i="6"/>
  <c r="D356" i="7" s="1"/>
  <c r="Q356" i="6"/>
  <c r="P356" i="6"/>
  <c r="O356" i="6"/>
  <c r="N356" i="6"/>
  <c r="M356" i="6"/>
  <c r="L356" i="6"/>
  <c r="K356" i="6"/>
  <c r="J356" i="6"/>
  <c r="AK356" i="6" s="1"/>
  <c r="I356" i="6"/>
  <c r="AJ356" i="6" s="1"/>
  <c r="H356" i="6"/>
  <c r="AI356" i="6" s="1"/>
  <c r="G356" i="6"/>
  <c r="F356" i="6"/>
  <c r="E356" i="6"/>
  <c r="D356" i="6"/>
  <c r="A356" i="7" s="1"/>
  <c r="B356" i="6"/>
  <c r="AM355" i="6"/>
  <c r="AK355" i="6"/>
  <c r="AJ355" i="6"/>
  <c r="AH355" i="6"/>
  <c r="AG355" i="6"/>
  <c r="AF355" i="6"/>
  <c r="Q355" i="6"/>
  <c r="P355" i="6"/>
  <c r="O355" i="6"/>
  <c r="N355" i="6"/>
  <c r="AL355" i="6" s="1"/>
  <c r="M355" i="6"/>
  <c r="L355" i="6"/>
  <c r="K355" i="6"/>
  <c r="J355" i="6"/>
  <c r="I355" i="6"/>
  <c r="H355" i="6"/>
  <c r="AI355" i="6" s="1"/>
  <c r="G355" i="6"/>
  <c r="F355" i="6"/>
  <c r="E355" i="6"/>
  <c r="B355" i="7" s="1"/>
  <c r="D355" i="6"/>
  <c r="B355" i="6"/>
  <c r="AM354" i="6"/>
  <c r="AK354" i="6"/>
  <c r="AH354" i="6"/>
  <c r="AG354" i="6"/>
  <c r="W354" i="6"/>
  <c r="E354" i="7" s="1"/>
  <c r="V354" i="6"/>
  <c r="U354" i="6"/>
  <c r="T354" i="6"/>
  <c r="S354" i="6"/>
  <c r="R354" i="6"/>
  <c r="D354" i="7" s="1"/>
  <c r="Q354" i="6"/>
  <c r="P354" i="6"/>
  <c r="O354" i="6"/>
  <c r="N354" i="6"/>
  <c r="AL354" i="6" s="1"/>
  <c r="M354" i="6"/>
  <c r="L354" i="6"/>
  <c r="K354" i="6"/>
  <c r="J354" i="6"/>
  <c r="I354" i="6"/>
  <c r="AJ354" i="6" s="1"/>
  <c r="H354" i="6"/>
  <c r="AI354" i="6" s="1"/>
  <c r="G354" i="6"/>
  <c r="F354" i="6"/>
  <c r="E354" i="6"/>
  <c r="D354" i="6"/>
  <c r="A354" i="7" s="1"/>
  <c r="B354" i="6"/>
  <c r="AM353" i="6"/>
  <c r="AK353" i="6"/>
  <c r="AJ353" i="6"/>
  <c r="AH353" i="6"/>
  <c r="AG353" i="6"/>
  <c r="T353" i="6"/>
  <c r="Q353" i="6"/>
  <c r="P353" i="6"/>
  <c r="O353" i="6"/>
  <c r="N353" i="6"/>
  <c r="AL353" i="6" s="1"/>
  <c r="M353" i="6"/>
  <c r="L353" i="6"/>
  <c r="K353" i="6"/>
  <c r="J353" i="6"/>
  <c r="I353" i="6"/>
  <c r="H353" i="6"/>
  <c r="AI353" i="6" s="1"/>
  <c r="G353" i="6"/>
  <c r="F353" i="6"/>
  <c r="E353" i="6"/>
  <c r="D353" i="6"/>
  <c r="B353" i="6"/>
  <c r="AM352" i="6"/>
  <c r="AL352" i="6"/>
  <c r="AK352" i="6"/>
  <c r="W352" i="6"/>
  <c r="E352" i="7" s="1"/>
  <c r="V352" i="6"/>
  <c r="U352" i="6"/>
  <c r="T352" i="6"/>
  <c r="S352" i="6"/>
  <c r="R352" i="6"/>
  <c r="D352" i="7" s="1"/>
  <c r="Q352" i="6"/>
  <c r="P352" i="6"/>
  <c r="O352" i="6"/>
  <c r="N352" i="6"/>
  <c r="M352" i="6"/>
  <c r="L352" i="6"/>
  <c r="K352" i="6"/>
  <c r="J352" i="6"/>
  <c r="I352" i="6"/>
  <c r="AJ352" i="6" s="1"/>
  <c r="H352" i="6"/>
  <c r="AI352" i="6" s="1"/>
  <c r="G352" i="6"/>
  <c r="F352" i="6"/>
  <c r="AG352" i="6" s="1"/>
  <c r="AH352" i="6" s="1"/>
  <c r="E352" i="6"/>
  <c r="D352" i="6"/>
  <c r="A352" i="7" s="1"/>
  <c r="B352" i="6"/>
  <c r="AM351" i="6"/>
  <c r="AK351" i="6"/>
  <c r="AJ351" i="6"/>
  <c r="AG351" i="6"/>
  <c r="AH351" i="6" s="1"/>
  <c r="AF351" i="6"/>
  <c r="T351" i="6"/>
  <c r="Q351" i="6"/>
  <c r="P351" i="6"/>
  <c r="O351" i="6"/>
  <c r="N351" i="6"/>
  <c r="AL351" i="6" s="1"/>
  <c r="M351" i="6"/>
  <c r="L351" i="6"/>
  <c r="K351" i="6"/>
  <c r="J351" i="6"/>
  <c r="I351" i="6"/>
  <c r="H351" i="6"/>
  <c r="AI351" i="6" s="1"/>
  <c r="G351" i="6"/>
  <c r="F351" i="6"/>
  <c r="E351" i="6"/>
  <c r="B351" i="7" s="1"/>
  <c r="D351" i="6"/>
  <c r="B351" i="6"/>
  <c r="AM350" i="6"/>
  <c r="AL350" i="6"/>
  <c r="W350" i="6"/>
  <c r="E350" i="7" s="1"/>
  <c r="V350" i="6"/>
  <c r="U350" i="6"/>
  <c r="T350" i="6"/>
  <c r="S350" i="6"/>
  <c r="R350" i="6"/>
  <c r="D350" i="7" s="1"/>
  <c r="Q350" i="6"/>
  <c r="P350" i="6"/>
  <c r="O350" i="6"/>
  <c r="N350" i="6"/>
  <c r="M350" i="6"/>
  <c r="L350" i="6"/>
  <c r="K350" i="6"/>
  <c r="J350" i="6"/>
  <c r="AK350" i="6" s="1"/>
  <c r="I350" i="6"/>
  <c r="AJ350" i="6" s="1"/>
  <c r="H350" i="6"/>
  <c r="AI350" i="6" s="1"/>
  <c r="G350" i="6"/>
  <c r="F350" i="6"/>
  <c r="AG350" i="6" s="1"/>
  <c r="AH350" i="6" s="1"/>
  <c r="E350" i="6"/>
  <c r="D350" i="6"/>
  <c r="A350" i="7" s="1"/>
  <c r="B350" i="6"/>
  <c r="AM349" i="6"/>
  <c r="AK349" i="6"/>
  <c r="AJ349" i="6"/>
  <c r="AH349" i="6"/>
  <c r="AG349" i="6"/>
  <c r="S349" i="6"/>
  <c r="Q349" i="6"/>
  <c r="P349" i="6"/>
  <c r="O349" i="6"/>
  <c r="N349" i="6"/>
  <c r="AL349" i="6" s="1"/>
  <c r="M349" i="6"/>
  <c r="L349" i="6"/>
  <c r="K349" i="6"/>
  <c r="J349" i="6"/>
  <c r="I349" i="6"/>
  <c r="H349" i="6"/>
  <c r="AI349" i="6" s="1"/>
  <c r="G349" i="6"/>
  <c r="F349" i="6"/>
  <c r="E349" i="6"/>
  <c r="B349" i="7" s="1"/>
  <c r="D349" i="6"/>
  <c r="B349" i="6"/>
  <c r="AM348" i="6"/>
  <c r="W348" i="6"/>
  <c r="E348" i="7" s="1"/>
  <c r="V348" i="6"/>
  <c r="U348" i="6"/>
  <c r="T348" i="6"/>
  <c r="S348" i="6"/>
  <c r="R348" i="6"/>
  <c r="D348" i="7" s="1"/>
  <c r="Q348" i="6"/>
  <c r="P348" i="6"/>
  <c r="O348" i="6"/>
  <c r="N348" i="6"/>
  <c r="AL348" i="6" s="1"/>
  <c r="M348" i="6"/>
  <c r="L348" i="6"/>
  <c r="K348" i="6"/>
  <c r="J348" i="6"/>
  <c r="AK348" i="6" s="1"/>
  <c r="I348" i="6"/>
  <c r="AJ348" i="6" s="1"/>
  <c r="H348" i="6"/>
  <c r="AI348" i="6" s="1"/>
  <c r="G348" i="6"/>
  <c r="F348" i="6"/>
  <c r="AG348" i="6" s="1"/>
  <c r="AH348" i="6" s="1"/>
  <c r="E348" i="6"/>
  <c r="D348" i="6"/>
  <c r="A348" i="7" s="1"/>
  <c r="B348" i="6"/>
  <c r="AM347" i="6"/>
  <c r="AK347" i="6"/>
  <c r="AJ347" i="6"/>
  <c r="AH347" i="6"/>
  <c r="AG347" i="6"/>
  <c r="W347" i="6"/>
  <c r="E347" i="7" s="1"/>
  <c r="T347" i="6"/>
  <c r="S347" i="6"/>
  <c r="Q347" i="6"/>
  <c r="P347" i="6"/>
  <c r="O347" i="6"/>
  <c r="N347" i="6"/>
  <c r="AL347" i="6" s="1"/>
  <c r="M347" i="6"/>
  <c r="L347" i="6"/>
  <c r="K347" i="6"/>
  <c r="J347" i="6"/>
  <c r="I347" i="6"/>
  <c r="H347" i="6"/>
  <c r="AI347" i="6" s="1"/>
  <c r="G347" i="6"/>
  <c r="F347" i="6"/>
  <c r="E347" i="6"/>
  <c r="B347" i="7" s="1"/>
  <c r="D347" i="6"/>
  <c r="B347" i="6"/>
  <c r="AM346" i="6"/>
  <c r="AL346" i="6"/>
  <c r="AH346" i="6"/>
  <c r="AG346" i="6"/>
  <c r="W346" i="6"/>
  <c r="E346" i="7" s="1"/>
  <c r="V346" i="6"/>
  <c r="U346" i="6"/>
  <c r="T346" i="6"/>
  <c r="S346" i="6"/>
  <c r="R346" i="6"/>
  <c r="D346" i="7" s="1"/>
  <c r="Q346" i="6"/>
  <c r="P346" i="6"/>
  <c r="O346" i="6"/>
  <c r="N346" i="6"/>
  <c r="M346" i="6"/>
  <c r="L346" i="6"/>
  <c r="K346" i="6"/>
  <c r="J346" i="6"/>
  <c r="AK346" i="6" s="1"/>
  <c r="I346" i="6"/>
  <c r="AJ346" i="6" s="1"/>
  <c r="H346" i="6"/>
  <c r="AI346" i="6" s="1"/>
  <c r="G346" i="6"/>
  <c r="F346" i="6"/>
  <c r="E346" i="6"/>
  <c r="D346" i="6"/>
  <c r="A346" i="7" s="1"/>
  <c r="B346" i="6"/>
  <c r="AM345" i="6"/>
  <c r="AK345" i="6"/>
  <c r="AJ345" i="6"/>
  <c r="AG345" i="6"/>
  <c r="AH345" i="6" s="1"/>
  <c r="AF345" i="6"/>
  <c r="W345" i="6"/>
  <c r="E345" i="7" s="1"/>
  <c r="T345" i="6"/>
  <c r="Q345" i="6"/>
  <c r="P345" i="6"/>
  <c r="O345" i="6"/>
  <c r="N345" i="6"/>
  <c r="AL345" i="6" s="1"/>
  <c r="M345" i="6"/>
  <c r="L345" i="6"/>
  <c r="K345" i="6"/>
  <c r="J345" i="6"/>
  <c r="I345" i="6"/>
  <c r="H345" i="6"/>
  <c r="AI345" i="6" s="1"/>
  <c r="G345" i="6"/>
  <c r="F345" i="6"/>
  <c r="E345" i="6"/>
  <c r="B345" i="7" s="1"/>
  <c r="D345" i="6"/>
  <c r="B345" i="6"/>
  <c r="AM344" i="6"/>
  <c r="AL344" i="6"/>
  <c r="AG344" i="6"/>
  <c r="AH344" i="6" s="1"/>
  <c r="W344" i="6"/>
  <c r="E344" i="7" s="1"/>
  <c r="V344" i="6"/>
  <c r="U344" i="6"/>
  <c r="T344" i="6"/>
  <c r="S344" i="6"/>
  <c r="R344" i="6"/>
  <c r="D344" i="7" s="1"/>
  <c r="Q344" i="6"/>
  <c r="P344" i="6"/>
  <c r="O344" i="6"/>
  <c r="N344" i="6"/>
  <c r="M344" i="6"/>
  <c r="L344" i="6"/>
  <c r="K344" i="6"/>
  <c r="J344" i="6"/>
  <c r="AK344" i="6" s="1"/>
  <c r="I344" i="6"/>
  <c r="AJ344" i="6" s="1"/>
  <c r="H344" i="6"/>
  <c r="AI344" i="6" s="1"/>
  <c r="G344" i="6"/>
  <c r="F344" i="6"/>
  <c r="E344" i="6"/>
  <c r="D344" i="6"/>
  <c r="A344" i="7" s="1"/>
  <c r="B344" i="6"/>
  <c r="AM343" i="6"/>
  <c r="AK343" i="6"/>
  <c r="AJ343" i="6"/>
  <c r="AH343" i="6"/>
  <c r="AG343" i="6"/>
  <c r="AF343" i="6"/>
  <c r="Q343" i="6"/>
  <c r="P343" i="6"/>
  <c r="O343" i="6"/>
  <c r="N343" i="6"/>
  <c r="AL343" i="6" s="1"/>
  <c r="M343" i="6"/>
  <c r="L343" i="6"/>
  <c r="K343" i="6"/>
  <c r="J343" i="6"/>
  <c r="I343" i="6"/>
  <c r="H343" i="6"/>
  <c r="AI343" i="6" s="1"/>
  <c r="G343" i="6"/>
  <c r="F343" i="6"/>
  <c r="E343" i="6"/>
  <c r="B343" i="7" s="1"/>
  <c r="D343" i="6"/>
  <c r="C343" i="6"/>
  <c r="C343" i="7" s="1"/>
  <c r="B343" i="6"/>
  <c r="AM342" i="6"/>
  <c r="AK342" i="6"/>
  <c r="W342" i="6"/>
  <c r="E342" i="7" s="1"/>
  <c r="V342" i="6"/>
  <c r="U342" i="6"/>
  <c r="T342" i="6"/>
  <c r="S342" i="6"/>
  <c r="R342" i="6"/>
  <c r="D342" i="7" s="1"/>
  <c r="Q342" i="6"/>
  <c r="P342" i="6"/>
  <c r="O342" i="6"/>
  <c r="N342" i="6"/>
  <c r="AL342" i="6" s="1"/>
  <c r="M342" i="6"/>
  <c r="L342" i="6"/>
  <c r="K342" i="6"/>
  <c r="J342" i="6"/>
  <c r="I342" i="6"/>
  <c r="AJ342" i="6" s="1"/>
  <c r="H342" i="6"/>
  <c r="AI342" i="6" s="1"/>
  <c r="G342" i="6"/>
  <c r="F342" i="6"/>
  <c r="AG342" i="6" s="1"/>
  <c r="AH342" i="6" s="1"/>
  <c r="E342" i="6"/>
  <c r="D342" i="6"/>
  <c r="A342" i="7" s="1"/>
  <c r="B342" i="6"/>
  <c r="AM341" i="6"/>
  <c r="AK341" i="6"/>
  <c r="AJ341" i="6"/>
  <c r="AG341" i="6"/>
  <c r="AH341" i="6" s="1"/>
  <c r="AF341" i="6"/>
  <c r="T341" i="6"/>
  <c r="Q341" i="6"/>
  <c r="P341" i="6"/>
  <c r="O341" i="6"/>
  <c r="N341" i="6"/>
  <c r="AL341" i="6" s="1"/>
  <c r="M341" i="6"/>
  <c r="L341" i="6"/>
  <c r="K341" i="6"/>
  <c r="J341" i="6"/>
  <c r="I341" i="6"/>
  <c r="H341" i="6"/>
  <c r="AI341" i="6" s="1"/>
  <c r="G341" i="6"/>
  <c r="F341" i="6"/>
  <c r="E341" i="6"/>
  <c r="B341" i="7" s="1"/>
  <c r="D341" i="6"/>
  <c r="C341" i="6"/>
  <c r="C341" i="7" s="1"/>
  <c r="AM340" i="6"/>
  <c r="W340" i="6"/>
  <c r="E340" i="7" s="1"/>
  <c r="V340" i="6"/>
  <c r="U340" i="6"/>
  <c r="T340" i="6"/>
  <c r="S340" i="6"/>
  <c r="R340" i="6"/>
  <c r="D340" i="7" s="1"/>
  <c r="Q340" i="6"/>
  <c r="P340" i="6"/>
  <c r="O340" i="6"/>
  <c r="N340" i="6"/>
  <c r="AL340" i="6" s="1"/>
  <c r="M340" i="6"/>
  <c r="L340" i="6"/>
  <c r="K340" i="6"/>
  <c r="J340" i="6"/>
  <c r="AK340" i="6" s="1"/>
  <c r="I340" i="6"/>
  <c r="AJ340" i="6" s="1"/>
  <c r="H340" i="6"/>
  <c r="AI340" i="6" s="1"/>
  <c r="G340" i="6"/>
  <c r="F340" i="6"/>
  <c r="AG340" i="6" s="1"/>
  <c r="AH340" i="6" s="1"/>
  <c r="E340" i="6"/>
  <c r="D340" i="6"/>
  <c r="A340" i="7" s="1"/>
  <c r="B340" i="6"/>
  <c r="AJ339" i="6"/>
  <c r="AH339" i="6"/>
  <c r="AG339" i="6"/>
  <c r="AF339" i="6"/>
  <c r="W339" i="6"/>
  <c r="E339" i="7" s="1"/>
  <c r="V339" i="6"/>
  <c r="T339" i="6"/>
  <c r="S339" i="6"/>
  <c r="Q339" i="6"/>
  <c r="P339" i="6"/>
  <c r="O339" i="6"/>
  <c r="AM339" i="6" s="1"/>
  <c r="N339" i="6"/>
  <c r="AL339" i="6" s="1"/>
  <c r="M339" i="6"/>
  <c r="L339" i="6"/>
  <c r="K339" i="6"/>
  <c r="J339" i="6"/>
  <c r="AK339" i="6" s="1"/>
  <c r="I339" i="6"/>
  <c r="H339" i="6"/>
  <c r="AI339" i="6" s="1"/>
  <c r="G339" i="6"/>
  <c r="F339" i="6"/>
  <c r="E339" i="6"/>
  <c r="B339" i="7" s="1"/>
  <c r="D339" i="6"/>
  <c r="C339" i="6"/>
  <c r="C339" i="7" s="1"/>
  <c r="B339" i="6"/>
  <c r="AM338" i="6"/>
  <c r="AL338" i="6"/>
  <c r="AJ338" i="6"/>
  <c r="AG338" i="6"/>
  <c r="AH338" i="6" s="1"/>
  <c r="Q338" i="6"/>
  <c r="P338" i="6"/>
  <c r="O338" i="6"/>
  <c r="N338" i="6"/>
  <c r="M338" i="6"/>
  <c r="L338" i="6"/>
  <c r="K338" i="6"/>
  <c r="J338" i="6"/>
  <c r="AK338" i="6" s="1"/>
  <c r="I338" i="6"/>
  <c r="H338" i="6"/>
  <c r="AI338" i="6" s="1"/>
  <c r="G338" i="6"/>
  <c r="F338" i="6"/>
  <c r="E338" i="6"/>
  <c r="D338" i="6"/>
  <c r="AK337" i="6"/>
  <c r="AJ337" i="6"/>
  <c r="AI337" i="6"/>
  <c r="AH337" i="6"/>
  <c r="AG337" i="6"/>
  <c r="V337" i="6"/>
  <c r="S337" i="6"/>
  <c r="Q337" i="6"/>
  <c r="P337" i="6"/>
  <c r="O337" i="6"/>
  <c r="AM337" i="6" s="1"/>
  <c r="N337" i="6"/>
  <c r="AL337" i="6" s="1"/>
  <c r="M337" i="6"/>
  <c r="L337" i="6"/>
  <c r="K337" i="6"/>
  <c r="J337" i="6"/>
  <c r="I337" i="6"/>
  <c r="H337" i="6"/>
  <c r="G337" i="6"/>
  <c r="F337" i="6"/>
  <c r="E337" i="6"/>
  <c r="B337" i="7" s="1"/>
  <c r="D337" i="6"/>
  <c r="C337" i="6"/>
  <c r="C337" i="7" s="1"/>
  <c r="B337" i="6"/>
  <c r="AM336" i="6"/>
  <c r="AL336" i="6"/>
  <c r="V336" i="6"/>
  <c r="S336" i="6"/>
  <c r="R336" i="6"/>
  <c r="D336" i="7" s="1"/>
  <c r="Q336" i="6"/>
  <c r="P336" i="6"/>
  <c r="O336" i="6"/>
  <c r="N336" i="6"/>
  <c r="M336" i="6"/>
  <c r="L336" i="6"/>
  <c r="K336" i="6"/>
  <c r="J336" i="6"/>
  <c r="AK336" i="6" s="1"/>
  <c r="I336" i="6"/>
  <c r="AJ336" i="6" s="1"/>
  <c r="H336" i="6"/>
  <c r="AI336" i="6" s="1"/>
  <c r="G336" i="6"/>
  <c r="F336" i="6"/>
  <c r="AG336" i="6" s="1"/>
  <c r="AH336" i="6" s="1"/>
  <c r="E336" i="6"/>
  <c r="D336" i="6"/>
  <c r="AJ335" i="6"/>
  <c r="AH335" i="6"/>
  <c r="AG335" i="6"/>
  <c r="AF335" i="6"/>
  <c r="W335" i="6"/>
  <c r="E335" i="7" s="1"/>
  <c r="V335" i="6"/>
  <c r="T335" i="6"/>
  <c r="S335" i="6"/>
  <c r="Q335" i="6"/>
  <c r="P335" i="6"/>
  <c r="O335" i="6"/>
  <c r="AM335" i="6" s="1"/>
  <c r="N335" i="6"/>
  <c r="AL335" i="6" s="1"/>
  <c r="M335" i="6"/>
  <c r="L335" i="6"/>
  <c r="K335" i="6"/>
  <c r="J335" i="6"/>
  <c r="AK335" i="6" s="1"/>
  <c r="I335" i="6"/>
  <c r="H335" i="6"/>
  <c r="AI335" i="6" s="1"/>
  <c r="G335" i="6"/>
  <c r="F335" i="6"/>
  <c r="E335" i="6"/>
  <c r="B335" i="7" s="1"/>
  <c r="D335" i="6"/>
  <c r="C335" i="6" s="1"/>
  <c r="C335" i="7" s="1"/>
  <c r="B335" i="6"/>
  <c r="AM334" i="6"/>
  <c r="AL334" i="6"/>
  <c r="AJ334" i="6"/>
  <c r="AG334" i="6"/>
  <c r="AH334" i="6" s="1"/>
  <c r="Q334" i="6"/>
  <c r="P334" i="6"/>
  <c r="O334" i="6"/>
  <c r="N334" i="6"/>
  <c r="M334" i="6"/>
  <c r="L334" i="6"/>
  <c r="K334" i="6"/>
  <c r="J334" i="6"/>
  <c r="AK334" i="6" s="1"/>
  <c r="I334" i="6"/>
  <c r="H334" i="6"/>
  <c r="AI334" i="6" s="1"/>
  <c r="G334" i="6"/>
  <c r="F334" i="6"/>
  <c r="E334" i="6"/>
  <c r="D334" i="6"/>
  <c r="AK333" i="6"/>
  <c r="AJ333" i="6"/>
  <c r="AI333" i="6"/>
  <c r="AH333" i="6"/>
  <c r="AG333" i="6"/>
  <c r="V333" i="6"/>
  <c r="S333" i="6"/>
  <c r="Q333" i="6"/>
  <c r="P333" i="6"/>
  <c r="O333" i="6"/>
  <c r="AM333" i="6" s="1"/>
  <c r="N333" i="6"/>
  <c r="AL333" i="6" s="1"/>
  <c r="M333" i="6"/>
  <c r="L333" i="6"/>
  <c r="K333" i="6"/>
  <c r="J333" i="6"/>
  <c r="I333" i="6"/>
  <c r="H333" i="6"/>
  <c r="G333" i="6"/>
  <c r="F333" i="6"/>
  <c r="E333" i="6"/>
  <c r="B333" i="7" s="1"/>
  <c r="D333" i="6"/>
  <c r="C333" i="6"/>
  <c r="C333" i="7" s="1"/>
  <c r="B333" i="6"/>
  <c r="AM332" i="6"/>
  <c r="AL332" i="6"/>
  <c r="V332" i="6"/>
  <c r="S332" i="6"/>
  <c r="R332" i="6"/>
  <c r="D332" i="7" s="1"/>
  <c r="Q332" i="6"/>
  <c r="P332" i="6"/>
  <c r="O332" i="6"/>
  <c r="N332" i="6"/>
  <c r="M332" i="6"/>
  <c r="L332" i="6"/>
  <c r="K332" i="6"/>
  <c r="J332" i="6"/>
  <c r="AK332" i="6" s="1"/>
  <c r="I332" i="6"/>
  <c r="AJ332" i="6" s="1"/>
  <c r="H332" i="6"/>
  <c r="AI332" i="6" s="1"/>
  <c r="G332" i="6"/>
  <c r="F332" i="6"/>
  <c r="AG332" i="6" s="1"/>
  <c r="AH332" i="6" s="1"/>
  <c r="E332" i="6"/>
  <c r="D332" i="6"/>
  <c r="AM331" i="6"/>
  <c r="AJ331" i="6"/>
  <c r="AH331" i="6"/>
  <c r="AG331" i="6"/>
  <c r="AF331" i="6"/>
  <c r="W331" i="6"/>
  <c r="E331" i="7" s="1"/>
  <c r="V331" i="6"/>
  <c r="T331" i="6"/>
  <c r="S331" i="6"/>
  <c r="Q331" i="6"/>
  <c r="P331" i="6"/>
  <c r="O331" i="6"/>
  <c r="N331" i="6"/>
  <c r="AL331" i="6" s="1"/>
  <c r="M331" i="6"/>
  <c r="L331" i="6"/>
  <c r="K331" i="6"/>
  <c r="J331" i="6"/>
  <c r="AK331" i="6" s="1"/>
  <c r="I331" i="6"/>
  <c r="H331" i="6"/>
  <c r="AI331" i="6" s="1"/>
  <c r="G331" i="6"/>
  <c r="F331" i="6"/>
  <c r="E331" i="6"/>
  <c r="B331" i="7" s="1"/>
  <c r="D331" i="6"/>
  <c r="C331" i="6" s="1"/>
  <c r="C331" i="7" s="1"/>
  <c r="B331" i="6"/>
  <c r="AM330" i="6"/>
  <c r="AL330" i="6"/>
  <c r="AJ330" i="6"/>
  <c r="AH330" i="6"/>
  <c r="AG330" i="6"/>
  <c r="Q330" i="6"/>
  <c r="P330" i="6"/>
  <c r="O330" i="6"/>
  <c r="N330" i="6"/>
  <c r="M330" i="6"/>
  <c r="L330" i="6"/>
  <c r="K330" i="6"/>
  <c r="J330" i="6"/>
  <c r="AK330" i="6" s="1"/>
  <c r="I330" i="6"/>
  <c r="H330" i="6"/>
  <c r="AI330" i="6" s="1"/>
  <c r="G330" i="6"/>
  <c r="F330" i="6"/>
  <c r="E330" i="6"/>
  <c r="D330" i="6"/>
  <c r="AK329" i="6"/>
  <c r="AJ329" i="6"/>
  <c r="AI329" i="6"/>
  <c r="AH329" i="6"/>
  <c r="AG329" i="6"/>
  <c r="V329" i="6"/>
  <c r="S329" i="6"/>
  <c r="Q329" i="6"/>
  <c r="P329" i="6"/>
  <c r="O329" i="6"/>
  <c r="AM329" i="6" s="1"/>
  <c r="N329" i="6"/>
  <c r="AL329" i="6" s="1"/>
  <c r="M329" i="6"/>
  <c r="L329" i="6"/>
  <c r="K329" i="6"/>
  <c r="J329" i="6"/>
  <c r="I329" i="6"/>
  <c r="H329" i="6"/>
  <c r="G329" i="6"/>
  <c r="F329" i="6"/>
  <c r="E329" i="6"/>
  <c r="B329" i="7" s="1"/>
  <c r="D329" i="6"/>
  <c r="C329" i="6"/>
  <c r="C329" i="7" s="1"/>
  <c r="B329" i="6"/>
  <c r="AM328" i="6"/>
  <c r="AL328" i="6"/>
  <c r="V328" i="6"/>
  <c r="S328" i="6"/>
  <c r="R328" i="6"/>
  <c r="D328" i="7" s="1"/>
  <c r="Q328" i="6"/>
  <c r="P328" i="6"/>
  <c r="O328" i="6"/>
  <c r="N328" i="6"/>
  <c r="M328" i="6"/>
  <c r="L328" i="6"/>
  <c r="K328" i="6"/>
  <c r="J328" i="6"/>
  <c r="AK328" i="6" s="1"/>
  <c r="I328" i="6"/>
  <c r="AJ328" i="6" s="1"/>
  <c r="H328" i="6"/>
  <c r="AI328" i="6" s="1"/>
  <c r="G328" i="6"/>
  <c r="F328" i="6"/>
  <c r="AG328" i="6" s="1"/>
  <c r="AH328" i="6" s="1"/>
  <c r="E328" i="6"/>
  <c r="D328" i="6"/>
  <c r="AJ327" i="6"/>
  <c r="AH327" i="6"/>
  <c r="AG327" i="6"/>
  <c r="AF327" i="6"/>
  <c r="W327" i="6"/>
  <c r="E327" i="7" s="1"/>
  <c r="V327" i="6"/>
  <c r="T327" i="6"/>
  <c r="S327" i="6"/>
  <c r="Q327" i="6"/>
  <c r="P327" i="6"/>
  <c r="O327" i="6"/>
  <c r="AM327" i="6" s="1"/>
  <c r="N327" i="6"/>
  <c r="AL327" i="6" s="1"/>
  <c r="M327" i="6"/>
  <c r="L327" i="6"/>
  <c r="K327" i="6"/>
  <c r="J327" i="6"/>
  <c r="AK327" i="6" s="1"/>
  <c r="I327" i="6"/>
  <c r="H327" i="6"/>
  <c r="AI327" i="6" s="1"/>
  <c r="G327" i="6"/>
  <c r="F327" i="6"/>
  <c r="E327" i="6"/>
  <c r="B327" i="7" s="1"/>
  <c r="D327" i="6"/>
  <c r="C327" i="6"/>
  <c r="C327" i="7" s="1"/>
  <c r="B327" i="6"/>
  <c r="AM326" i="6"/>
  <c r="AK326" i="6"/>
  <c r="AJ326" i="6"/>
  <c r="AF326" i="6"/>
  <c r="T326" i="6"/>
  <c r="R326" i="6"/>
  <c r="D326" i="7" s="1"/>
  <c r="Q326" i="6"/>
  <c r="P326" i="6"/>
  <c r="O326" i="6"/>
  <c r="N326" i="6"/>
  <c r="AL326" i="6" s="1"/>
  <c r="M326" i="6"/>
  <c r="L326" i="6"/>
  <c r="K326" i="6"/>
  <c r="J326" i="6"/>
  <c r="I326" i="6"/>
  <c r="H326" i="6"/>
  <c r="AI326" i="6" s="1"/>
  <c r="G326" i="6"/>
  <c r="F326" i="6"/>
  <c r="AG326" i="6" s="1"/>
  <c r="AH326" i="6" s="1"/>
  <c r="E326" i="6"/>
  <c r="B326" i="7" s="1"/>
  <c r="D326" i="6"/>
  <c r="B326" i="6"/>
  <c r="AM325" i="6"/>
  <c r="AL325" i="6"/>
  <c r="AJ325" i="6"/>
  <c r="W325" i="6"/>
  <c r="E325" i="7" s="1"/>
  <c r="S325" i="6"/>
  <c r="R325" i="6"/>
  <c r="D325" i="7" s="1"/>
  <c r="Q325" i="6"/>
  <c r="P325" i="6"/>
  <c r="O325" i="6"/>
  <c r="N325" i="6"/>
  <c r="M325" i="6"/>
  <c r="L325" i="6"/>
  <c r="K325" i="6"/>
  <c r="J325" i="6"/>
  <c r="AK325" i="6" s="1"/>
  <c r="I325" i="6"/>
  <c r="H325" i="6"/>
  <c r="AI325" i="6" s="1"/>
  <c r="G325" i="6"/>
  <c r="F325" i="6"/>
  <c r="AG325" i="6" s="1"/>
  <c r="AH325" i="6" s="1"/>
  <c r="E325" i="6"/>
  <c r="B325" i="7" s="1"/>
  <c r="D325" i="6"/>
  <c r="AM324" i="6"/>
  <c r="AL324" i="6"/>
  <c r="AJ324" i="6"/>
  <c r="AG324" i="6"/>
  <c r="AH324" i="6" s="1"/>
  <c r="AF324" i="6"/>
  <c r="W324" i="6"/>
  <c r="E324" i="7" s="1"/>
  <c r="V324" i="6"/>
  <c r="U324" i="6"/>
  <c r="Q324" i="6"/>
  <c r="P324" i="6"/>
  <c r="O324" i="6"/>
  <c r="N324" i="6"/>
  <c r="M324" i="6"/>
  <c r="L324" i="6"/>
  <c r="K324" i="6"/>
  <c r="J324" i="6"/>
  <c r="AK324" i="6" s="1"/>
  <c r="I324" i="6"/>
  <c r="H324" i="6"/>
  <c r="AI324" i="6" s="1"/>
  <c r="G324" i="6"/>
  <c r="F324" i="6"/>
  <c r="E324" i="6"/>
  <c r="B324" i="7" s="1"/>
  <c r="D324" i="6"/>
  <c r="B324" i="6"/>
  <c r="AK323" i="6"/>
  <c r="AJ323" i="6"/>
  <c r="AI323" i="6"/>
  <c r="S323" i="6"/>
  <c r="Q323" i="6"/>
  <c r="P323" i="6"/>
  <c r="O323" i="6"/>
  <c r="AM323" i="6" s="1"/>
  <c r="N323" i="6"/>
  <c r="AL323" i="6" s="1"/>
  <c r="M323" i="6"/>
  <c r="L323" i="6"/>
  <c r="K323" i="6"/>
  <c r="J323" i="6"/>
  <c r="I323" i="6"/>
  <c r="H323" i="6"/>
  <c r="G323" i="6"/>
  <c r="F323" i="6"/>
  <c r="AG323" i="6" s="1"/>
  <c r="AH323" i="6" s="1"/>
  <c r="E323" i="6"/>
  <c r="B323" i="7" s="1"/>
  <c r="D323" i="6"/>
  <c r="C323" i="6"/>
  <c r="C323" i="7" s="1"/>
  <c r="AM322" i="6"/>
  <c r="AF322" i="6"/>
  <c r="W322" i="6"/>
  <c r="E322" i="7" s="1"/>
  <c r="V322" i="6"/>
  <c r="U322" i="6"/>
  <c r="T322" i="6"/>
  <c r="S322" i="6"/>
  <c r="R322" i="6"/>
  <c r="D322" i="7" s="1"/>
  <c r="Q322" i="6"/>
  <c r="P322" i="6"/>
  <c r="O322" i="6"/>
  <c r="N322" i="6"/>
  <c r="AL322" i="6" s="1"/>
  <c r="M322" i="6"/>
  <c r="L322" i="6"/>
  <c r="K322" i="6"/>
  <c r="J322" i="6"/>
  <c r="AK322" i="6" s="1"/>
  <c r="I322" i="6"/>
  <c r="AJ322" i="6" s="1"/>
  <c r="H322" i="6"/>
  <c r="AI322" i="6" s="1"/>
  <c r="G322" i="6"/>
  <c r="F322" i="6"/>
  <c r="AG322" i="6" s="1"/>
  <c r="AH322" i="6" s="1"/>
  <c r="E322" i="6"/>
  <c r="B322" i="7" s="1"/>
  <c r="D322" i="6"/>
  <c r="B322" i="6" s="1"/>
  <c r="AM321" i="6"/>
  <c r="AK321" i="6"/>
  <c r="AJ321" i="6"/>
  <c r="AI321" i="6"/>
  <c r="AH321" i="6"/>
  <c r="AG321" i="6"/>
  <c r="AF321" i="6"/>
  <c r="Q321" i="6"/>
  <c r="P321" i="6"/>
  <c r="O321" i="6"/>
  <c r="N321" i="6"/>
  <c r="AL321" i="6" s="1"/>
  <c r="M321" i="6"/>
  <c r="L321" i="6"/>
  <c r="K321" i="6"/>
  <c r="J321" i="6"/>
  <c r="I321" i="6"/>
  <c r="H321" i="6"/>
  <c r="G321" i="6"/>
  <c r="F321" i="6"/>
  <c r="E321" i="6"/>
  <c r="B321" i="7" s="1"/>
  <c r="D321" i="6"/>
  <c r="AM320" i="6"/>
  <c r="AL320" i="6"/>
  <c r="AK320" i="6"/>
  <c r="U320" i="6"/>
  <c r="R320" i="6"/>
  <c r="D320" i="7" s="1"/>
  <c r="Q320" i="6"/>
  <c r="P320" i="6"/>
  <c r="O320" i="6"/>
  <c r="N320" i="6"/>
  <c r="M320" i="6"/>
  <c r="L320" i="6"/>
  <c r="K320" i="6"/>
  <c r="J320" i="6"/>
  <c r="I320" i="6"/>
  <c r="AJ320" i="6" s="1"/>
  <c r="H320" i="6"/>
  <c r="AI320" i="6" s="1"/>
  <c r="G320" i="6"/>
  <c r="F320" i="6"/>
  <c r="AG320" i="6" s="1"/>
  <c r="AH320" i="6" s="1"/>
  <c r="E320" i="6"/>
  <c r="D320" i="6"/>
  <c r="B320" i="6"/>
  <c r="AJ319" i="6"/>
  <c r="AH319" i="6"/>
  <c r="AG319" i="6"/>
  <c r="AF319" i="6"/>
  <c r="W319" i="6"/>
  <c r="E319" i="7" s="1"/>
  <c r="V319" i="6"/>
  <c r="T319" i="6"/>
  <c r="S319" i="6"/>
  <c r="Q319" i="6"/>
  <c r="P319" i="6"/>
  <c r="O319" i="6"/>
  <c r="AM319" i="6" s="1"/>
  <c r="N319" i="6"/>
  <c r="AL319" i="6" s="1"/>
  <c r="M319" i="6"/>
  <c r="L319" i="6"/>
  <c r="K319" i="6"/>
  <c r="J319" i="6"/>
  <c r="AK319" i="6" s="1"/>
  <c r="I319" i="6"/>
  <c r="H319" i="6"/>
  <c r="AI319" i="6" s="1"/>
  <c r="G319" i="6"/>
  <c r="F319" i="6"/>
  <c r="E319" i="6"/>
  <c r="B319" i="7" s="1"/>
  <c r="D319" i="6"/>
  <c r="C319" i="6"/>
  <c r="C319" i="7" s="1"/>
  <c r="B319" i="6"/>
  <c r="AM318" i="6"/>
  <c r="AK318" i="6"/>
  <c r="AJ318" i="6"/>
  <c r="AF318" i="6"/>
  <c r="T318" i="6"/>
  <c r="R318" i="6"/>
  <c r="D318" i="7" s="1"/>
  <c r="Q318" i="6"/>
  <c r="P318" i="6"/>
  <c r="O318" i="6"/>
  <c r="N318" i="6"/>
  <c r="AL318" i="6" s="1"/>
  <c r="M318" i="6"/>
  <c r="L318" i="6"/>
  <c r="K318" i="6"/>
  <c r="J318" i="6"/>
  <c r="I318" i="6"/>
  <c r="H318" i="6"/>
  <c r="AI318" i="6" s="1"/>
  <c r="G318" i="6"/>
  <c r="F318" i="6"/>
  <c r="AG318" i="6" s="1"/>
  <c r="AH318" i="6" s="1"/>
  <c r="E318" i="6"/>
  <c r="B318" i="7" s="1"/>
  <c r="D318" i="6"/>
  <c r="B318" i="6"/>
  <c r="AM317" i="6"/>
  <c r="AL317" i="6"/>
  <c r="AJ317" i="6"/>
  <c r="W317" i="6"/>
  <c r="E317" i="7" s="1"/>
  <c r="S317" i="6"/>
  <c r="R317" i="6"/>
  <c r="D317" i="7" s="1"/>
  <c r="Q317" i="6"/>
  <c r="P317" i="6"/>
  <c r="O317" i="6"/>
  <c r="N317" i="6"/>
  <c r="M317" i="6"/>
  <c r="L317" i="6"/>
  <c r="K317" i="6"/>
  <c r="J317" i="6"/>
  <c r="AK317" i="6" s="1"/>
  <c r="I317" i="6"/>
  <c r="H317" i="6"/>
  <c r="AI317" i="6" s="1"/>
  <c r="G317" i="6"/>
  <c r="F317" i="6"/>
  <c r="AG317" i="6" s="1"/>
  <c r="AH317" i="6" s="1"/>
  <c r="E317" i="6"/>
  <c r="B317" i="7" s="1"/>
  <c r="D317" i="6"/>
  <c r="AM316" i="6"/>
  <c r="AL316" i="6"/>
  <c r="AJ316" i="6"/>
  <c r="AG316" i="6"/>
  <c r="AH316" i="6" s="1"/>
  <c r="AF316" i="6"/>
  <c r="W316" i="6"/>
  <c r="E316" i="7" s="1"/>
  <c r="V316" i="6"/>
  <c r="U316" i="6"/>
  <c r="Q316" i="6"/>
  <c r="P316" i="6"/>
  <c r="O316" i="6"/>
  <c r="N316" i="6"/>
  <c r="M316" i="6"/>
  <c r="L316" i="6"/>
  <c r="K316" i="6"/>
  <c r="J316" i="6"/>
  <c r="AK316" i="6" s="1"/>
  <c r="I316" i="6"/>
  <c r="H316" i="6"/>
  <c r="AI316" i="6" s="1"/>
  <c r="G316" i="6"/>
  <c r="F316" i="6"/>
  <c r="E316" i="6"/>
  <c r="B316" i="7" s="1"/>
  <c r="D316" i="6"/>
  <c r="B316" i="6"/>
  <c r="AK315" i="6"/>
  <c r="AJ315" i="6"/>
  <c r="AI315" i="6"/>
  <c r="Q315" i="6"/>
  <c r="P315" i="6"/>
  <c r="O315" i="6"/>
  <c r="AM315" i="6" s="1"/>
  <c r="N315" i="6"/>
  <c r="AL315" i="6" s="1"/>
  <c r="M315" i="6"/>
  <c r="L315" i="6"/>
  <c r="K315" i="6"/>
  <c r="J315" i="6"/>
  <c r="I315" i="6"/>
  <c r="H315" i="6"/>
  <c r="G315" i="6"/>
  <c r="F315" i="6"/>
  <c r="AG315" i="6" s="1"/>
  <c r="AH315" i="6" s="1"/>
  <c r="E315" i="6"/>
  <c r="B315" i="7" s="1"/>
  <c r="D315" i="6"/>
  <c r="C315" i="6"/>
  <c r="C315" i="7" s="1"/>
  <c r="AM314" i="6"/>
  <c r="AF314" i="6"/>
  <c r="W314" i="6"/>
  <c r="E314" i="7" s="1"/>
  <c r="V314" i="6"/>
  <c r="U314" i="6"/>
  <c r="T314" i="6"/>
  <c r="S314" i="6"/>
  <c r="R314" i="6"/>
  <c r="D314" i="7" s="1"/>
  <c r="Q314" i="6"/>
  <c r="P314" i="6"/>
  <c r="O314" i="6"/>
  <c r="N314" i="6"/>
  <c r="AL314" i="6" s="1"/>
  <c r="M314" i="6"/>
  <c r="L314" i="6"/>
  <c r="K314" i="6"/>
  <c r="J314" i="6"/>
  <c r="AK314" i="6" s="1"/>
  <c r="I314" i="6"/>
  <c r="AJ314" i="6" s="1"/>
  <c r="H314" i="6"/>
  <c r="AI314" i="6" s="1"/>
  <c r="G314" i="6"/>
  <c r="F314" i="6"/>
  <c r="AG314" i="6" s="1"/>
  <c r="AH314" i="6" s="1"/>
  <c r="E314" i="6"/>
  <c r="B314" i="7" s="1"/>
  <c r="D314" i="6"/>
  <c r="B314" i="6" s="1"/>
  <c r="AM313" i="6"/>
  <c r="AK313" i="6"/>
  <c r="AJ313" i="6"/>
  <c r="AI313" i="6"/>
  <c r="AH313" i="6"/>
  <c r="AG313" i="6"/>
  <c r="AF313" i="6"/>
  <c r="Q313" i="6"/>
  <c r="P313" i="6"/>
  <c r="O313" i="6"/>
  <c r="N313" i="6"/>
  <c r="AL313" i="6" s="1"/>
  <c r="M313" i="6"/>
  <c r="L313" i="6"/>
  <c r="K313" i="6"/>
  <c r="J313" i="6"/>
  <c r="I313" i="6"/>
  <c r="H313" i="6"/>
  <c r="G313" i="6"/>
  <c r="F313" i="6"/>
  <c r="E313" i="6"/>
  <c r="B313" i="7" s="1"/>
  <c r="D313" i="6"/>
  <c r="AM312" i="6"/>
  <c r="AL312" i="6"/>
  <c r="AK312" i="6"/>
  <c r="U312" i="6"/>
  <c r="R312" i="6"/>
  <c r="D312" i="7" s="1"/>
  <c r="Q312" i="6"/>
  <c r="P312" i="6"/>
  <c r="O312" i="6"/>
  <c r="N312" i="6"/>
  <c r="M312" i="6"/>
  <c r="L312" i="6"/>
  <c r="K312" i="6"/>
  <c r="J312" i="6"/>
  <c r="I312" i="6"/>
  <c r="AJ312" i="6" s="1"/>
  <c r="H312" i="6"/>
  <c r="AI312" i="6" s="1"/>
  <c r="G312" i="6"/>
  <c r="F312" i="6"/>
  <c r="AG312" i="6" s="1"/>
  <c r="AH312" i="6" s="1"/>
  <c r="E312" i="6"/>
  <c r="D312" i="6"/>
  <c r="B312" i="6"/>
  <c r="AJ311" i="6"/>
  <c r="AH311" i="6"/>
  <c r="AG311" i="6"/>
  <c r="AF311" i="6"/>
  <c r="W311" i="6"/>
  <c r="E311" i="7" s="1"/>
  <c r="V311" i="6"/>
  <c r="T311" i="6"/>
  <c r="S311" i="6"/>
  <c r="Q311" i="6"/>
  <c r="P311" i="6"/>
  <c r="O311" i="6"/>
  <c r="AM311" i="6" s="1"/>
  <c r="N311" i="6"/>
  <c r="AL311" i="6" s="1"/>
  <c r="M311" i="6"/>
  <c r="L311" i="6"/>
  <c r="K311" i="6"/>
  <c r="J311" i="6"/>
  <c r="AK311" i="6" s="1"/>
  <c r="I311" i="6"/>
  <c r="H311" i="6"/>
  <c r="AI311" i="6" s="1"/>
  <c r="G311" i="6"/>
  <c r="F311" i="6"/>
  <c r="E311" i="6"/>
  <c r="B311" i="7" s="1"/>
  <c r="D311" i="6"/>
  <c r="C311" i="6"/>
  <c r="C311" i="7" s="1"/>
  <c r="B311" i="6"/>
  <c r="AM310" i="6"/>
  <c r="AK310" i="6"/>
  <c r="AJ310" i="6"/>
  <c r="AH310" i="6"/>
  <c r="AF310" i="6"/>
  <c r="T310" i="6"/>
  <c r="R310" i="6"/>
  <c r="D310" i="7" s="1"/>
  <c r="Q310" i="6"/>
  <c r="P310" i="6"/>
  <c r="O310" i="6"/>
  <c r="N310" i="6"/>
  <c r="AL310" i="6" s="1"/>
  <c r="M310" i="6"/>
  <c r="L310" i="6"/>
  <c r="K310" i="6"/>
  <c r="J310" i="6"/>
  <c r="I310" i="6"/>
  <c r="H310" i="6"/>
  <c r="AI310" i="6" s="1"/>
  <c r="G310" i="6"/>
  <c r="F310" i="6"/>
  <c r="AG310" i="6" s="1"/>
  <c r="E310" i="6"/>
  <c r="B310" i="7" s="1"/>
  <c r="D310" i="6"/>
  <c r="B310" i="6"/>
  <c r="AM309" i="6"/>
  <c r="AL309" i="6"/>
  <c r="AJ309" i="6"/>
  <c r="W309" i="6"/>
  <c r="E309" i="7" s="1"/>
  <c r="S309" i="6"/>
  <c r="R309" i="6"/>
  <c r="D309" i="7" s="1"/>
  <c r="Q309" i="6"/>
  <c r="P309" i="6"/>
  <c r="O309" i="6"/>
  <c r="N309" i="6"/>
  <c r="M309" i="6"/>
  <c r="L309" i="6"/>
  <c r="K309" i="6"/>
  <c r="J309" i="6"/>
  <c r="AK309" i="6" s="1"/>
  <c r="I309" i="6"/>
  <c r="H309" i="6"/>
  <c r="AI309" i="6" s="1"/>
  <c r="G309" i="6"/>
  <c r="F309" i="6"/>
  <c r="AG309" i="6" s="1"/>
  <c r="AH309" i="6" s="1"/>
  <c r="E309" i="6"/>
  <c r="B309" i="7" s="1"/>
  <c r="D309" i="6"/>
  <c r="AM308" i="6"/>
  <c r="AL308" i="6"/>
  <c r="AJ308" i="6"/>
  <c r="AG308" i="6"/>
  <c r="AH308" i="6" s="1"/>
  <c r="AF308" i="6"/>
  <c r="W308" i="6"/>
  <c r="E308" i="7" s="1"/>
  <c r="V308" i="6"/>
  <c r="U308" i="6"/>
  <c r="Q308" i="6"/>
  <c r="P308" i="6"/>
  <c r="O308" i="6"/>
  <c r="N308" i="6"/>
  <c r="M308" i="6"/>
  <c r="L308" i="6"/>
  <c r="K308" i="6"/>
  <c r="J308" i="6"/>
  <c r="AK308" i="6" s="1"/>
  <c r="I308" i="6"/>
  <c r="H308" i="6"/>
  <c r="AI308" i="6" s="1"/>
  <c r="G308" i="6"/>
  <c r="F308" i="6"/>
  <c r="E308" i="6"/>
  <c r="B308" i="7" s="1"/>
  <c r="D308" i="6"/>
  <c r="B308" i="6"/>
  <c r="AK307" i="6"/>
  <c r="AJ307" i="6"/>
  <c r="AI307" i="6"/>
  <c r="Q307" i="6"/>
  <c r="P307" i="6"/>
  <c r="O307" i="6"/>
  <c r="AM307" i="6" s="1"/>
  <c r="N307" i="6"/>
  <c r="AL307" i="6" s="1"/>
  <c r="M307" i="6"/>
  <c r="L307" i="6"/>
  <c r="K307" i="6"/>
  <c r="J307" i="6"/>
  <c r="I307" i="6"/>
  <c r="H307" i="6"/>
  <c r="G307" i="6"/>
  <c r="F307" i="6"/>
  <c r="AG307" i="6" s="1"/>
  <c r="AH307" i="6" s="1"/>
  <c r="E307" i="6"/>
  <c r="B307" i="7" s="1"/>
  <c r="D307" i="6"/>
  <c r="C307" i="6"/>
  <c r="C307" i="7" s="1"/>
  <c r="AM306" i="6"/>
  <c r="AF306" i="6"/>
  <c r="W306" i="6"/>
  <c r="E306" i="7" s="1"/>
  <c r="V306" i="6"/>
  <c r="U306" i="6"/>
  <c r="T306" i="6"/>
  <c r="S306" i="6"/>
  <c r="R306" i="6"/>
  <c r="D306" i="7" s="1"/>
  <c r="Q306" i="6"/>
  <c r="P306" i="6"/>
  <c r="O306" i="6"/>
  <c r="N306" i="6"/>
  <c r="AL306" i="6" s="1"/>
  <c r="M306" i="6"/>
  <c r="L306" i="6"/>
  <c r="K306" i="6"/>
  <c r="J306" i="6"/>
  <c r="AK306" i="6" s="1"/>
  <c r="I306" i="6"/>
  <c r="AJ306" i="6" s="1"/>
  <c r="H306" i="6"/>
  <c r="AI306" i="6" s="1"/>
  <c r="G306" i="6"/>
  <c r="F306" i="6"/>
  <c r="AG306" i="6" s="1"/>
  <c r="AH306" i="6" s="1"/>
  <c r="E306" i="6"/>
  <c r="B306" i="7" s="1"/>
  <c r="D306" i="6"/>
  <c r="B306" i="6" s="1"/>
  <c r="AM305" i="6"/>
  <c r="AK305" i="6"/>
  <c r="AJ305" i="6"/>
  <c r="AI305" i="6"/>
  <c r="AG305" i="6"/>
  <c r="AH305" i="6" s="1"/>
  <c r="AF305" i="6"/>
  <c r="Q305" i="6"/>
  <c r="P305" i="6"/>
  <c r="O305" i="6"/>
  <c r="N305" i="6"/>
  <c r="AL305" i="6" s="1"/>
  <c r="M305" i="6"/>
  <c r="L305" i="6"/>
  <c r="K305" i="6"/>
  <c r="J305" i="6"/>
  <c r="I305" i="6"/>
  <c r="H305" i="6"/>
  <c r="G305" i="6"/>
  <c r="F305" i="6"/>
  <c r="E305" i="6"/>
  <c r="B305" i="7" s="1"/>
  <c r="D305" i="6"/>
  <c r="AM304" i="6"/>
  <c r="AL304" i="6"/>
  <c r="AK304" i="6"/>
  <c r="U304" i="6"/>
  <c r="R304" i="6"/>
  <c r="D304" i="7" s="1"/>
  <c r="Q304" i="6"/>
  <c r="P304" i="6"/>
  <c r="O304" i="6"/>
  <c r="N304" i="6"/>
  <c r="M304" i="6"/>
  <c r="L304" i="6"/>
  <c r="K304" i="6"/>
  <c r="J304" i="6"/>
  <c r="I304" i="6"/>
  <c r="AJ304" i="6" s="1"/>
  <c r="H304" i="6"/>
  <c r="AI304" i="6" s="1"/>
  <c r="G304" i="6"/>
  <c r="F304" i="6"/>
  <c r="AG304" i="6" s="1"/>
  <c r="AH304" i="6" s="1"/>
  <c r="E304" i="6"/>
  <c r="D304" i="6"/>
  <c r="B304" i="6"/>
  <c r="AJ303" i="6"/>
  <c r="AH303" i="6"/>
  <c r="AG303" i="6"/>
  <c r="AF303" i="6"/>
  <c r="W303" i="6"/>
  <c r="E303" i="7" s="1"/>
  <c r="V303" i="6"/>
  <c r="T303" i="6"/>
  <c r="S303" i="6"/>
  <c r="Q303" i="6"/>
  <c r="P303" i="6"/>
  <c r="O303" i="6"/>
  <c r="AM303" i="6" s="1"/>
  <c r="N303" i="6"/>
  <c r="AL303" i="6" s="1"/>
  <c r="M303" i="6"/>
  <c r="L303" i="6"/>
  <c r="K303" i="6"/>
  <c r="J303" i="6"/>
  <c r="AK303" i="6" s="1"/>
  <c r="I303" i="6"/>
  <c r="H303" i="6"/>
  <c r="AI303" i="6" s="1"/>
  <c r="G303" i="6"/>
  <c r="F303" i="6"/>
  <c r="E303" i="6"/>
  <c r="B303" i="7" s="1"/>
  <c r="D303" i="6"/>
  <c r="C303" i="6"/>
  <c r="C303" i="7" s="1"/>
  <c r="B303" i="6"/>
  <c r="AM302" i="6"/>
  <c r="AK302" i="6"/>
  <c r="AJ302" i="6"/>
  <c r="AF302" i="6"/>
  <c r="Q302" i="6"/>
  <c r="P302" i="6"/>
  <c r="O302" i="6"/>
  <c r="N302" i="6"/>
  <c r="AL302" i="6" s="1"/>
  <c r="M302" i="6"/>
  <c r="L302" i="6"/>
  <c r="K302" i="6"/>
  <c r="J302" i="6"/>
  <c r="I302" i="6"/>
  <c r="H302" i="6"/>
  <c r="AI302" i="6" s="1"/>
  <c r="G302" i="6"/>
  <c r="F302" i="6"/>
  <c r="AG302" i="6" s="1"/>
  <c r="AH302" i="6" s="1"/>
  <c r="E302" i="6"/>
  <c r="B302" i="7" s="1"/>
  <c r="D302" i="6"/>
  <c r="B302" i="6"/>
  <c r="AM301" i="6"/>
  <c r="AL301" i="6"/>
  <c r="AJ301" i="6"/>
  <c r="W301" i="6"/>
  <c r="E301" i="7" s="1"/>
  <c r="T301" i="6"/>
  <c r="S301" i="6"/>
  <c r="R301" i="6"/>
  <c r="D301" i="7" s="1"/>
  <c r="Q301" i="6"/>
  <c r="P301" i="6"/>
  <c r="O301" i="6"/>
  <c r="N301" i="6"/>
  <c r="M301" i="6"/>
  <c r="L301" i="6"/>
  <c r="K301" i="6"/>
  <c r="J301" i="6"/>
  <c r="AK301" i="6" s="1"/>
  <c r="I301" i="6"/>
  <c r="H301" i="6"/>
  <c r="AI301" i="6" s="1"/>
  <c r="G301" i="6"/>
  <c r="F301" i="6"/>
  <c r="AG301" i="6" s="1"/>
  <c r="AH301" i="6" s="1"/>
  <c r="E301" i="6"/>
  <c r="B301" i="7" s="1"/>
  <c r="D301" i="6"/>
  <c r="AM300" i="6"/>
  <c r="AL300" i="6"/>
  <c r="AJ300" i="6"/>
  <c r="AG300" i="6"/>
  <c r="AH300" i="6" s="1"/>
  <c r="AF300" i="6"/>
  <c r="W300" i="6"/>
  <c r="E300" i="7" s="1"/>
  <c r="V300" i="6"/>
  <c r="U300" i="6"/>
  <c r="Q300" i="6"/>
  <c r="P300" i="6"/>
  <c r="O300" i="6"/>
  <c r="N300" i="6"/>
  <c r="M300" i="6"/>
  <c r="L300" i="6"/>
  <c r="K300" i="6"/>
  <c r="J300" i="6"/>
  <c r="AK300" i="6" s="1"/>
  <c r="I300" i="6"/>
  <c r="H300" i="6"/>
  <c r="AI300" i="6" s="1"/>
  <c r="G300" i="6"/>
  <c r="F300" i="6"/>
  <c r="E300" i="6"/>
  <c r="B300" i="7" s="1"/>
  <c r="D300" i="6"/>
  <c r="B300" i="6"/>
  <c r="AL299" i="6"/>
  <c r="AK299" i="6"/>
  <c r="AJ299" i="6"/>
  <c r="AI299" i="6"/>
  <c r="Q299" i="6"/>
  <c r="P299" i="6"/>
  <c r="O299" i="6"/>
  <c r="AM299" i="6" s="1"/>
  <c r="N299" i="6"/>
  <c r="M299" i="6"/>
  <c r="L299" i="6"/>
  <c r="K299" i="6"/>
  <c r="J299" i="6"/>
  <c r="I299" i="6"/>
  <c r="H299" i="6"/>
  <c r="G299" i="6"/>
  <c r="F299" i="6"/>
  <c r="AG299" i="6" s="1"/>
  <c r="AH299" i="6" s="1"/>
  <c r="E299" i="6"/>
  <c r="D299" i="6"/>
  <c r="C299" i="6"/>
  <c r="C299" i="7" s="1"/>
  <c r="AM298" i="6"/>
  <c r="AF298" i="6"/>
  <c r="W298" i="6"/>
  <c r="E298" i="7" s="1"/>
  <c r="V298" i="6"/>
  <c r="U298" i="6"/>
  <c r="T298" i="6"/>
  <c r="S298" i="6"/>
  <c r="R298" i="6"/>
  <c r="D298" i="7" s="1"/>
  <c r="Q298" i="6"/>
  <c r="P298" i="6"/>
  <c r="O298" i="6"/>
  <c r="N298" i="6"/>
  <c r="AL298" i="6" s="1"/>
  <c r="M298" i="6"/>
  <c r="L298" i="6"/>
  <c r="K298" i="6"/>
  <c r="J298" i="6"/>
  <c r="AK298" i="6" s="1"/>
  <c r="I298" i="6"/>
  <c r="AJ298" i="6" s="1"/>
  <c r="H298" i="6"/>
  <c r="AI298" i="6" s="1"/>
  <c r="G298" i="6"/>
  <c r="F298" i="6"/>
  <c r="AG298" i="6" s="1"/>
  <c r="AH298" i="6" s="1"/>
  <c r="E298" i="6"/>
  <c r="B298" i="7" s="1"/>
  <c r="D298" i="6"/>
  <c r="A298" i="7" s="1"/>
  <c r="B298" i="6"/>
  <c r="AL297" i="6"/>
  <c r="AK297" i="6"/>
  <c r="AJ297" i="6"/>
  <c r="AI297" i="6"/>
  <c r="AF297" i="6"/>
  <c r="Q297" i="6"/>
  <c r="P297" i="6"/>
  <c r="O297" i="6"/>
  <c r="AM297" i="6" s="1"/>
  <c r="N297" i="6"/>
  <c r="M297" i="6"/>
  <c r="L297" i="6"/>
  <c r="K297" i="6"/>
  <c r="J297" i="6"/>
  <c r="I297" i="6"/>
  <c r="H297" i="6"/>
  <c r="G297" i="6"/>
  <c r="F297" i="6"/>
  <c r="AG297" i="6" s="1"/>
  <c r="AH297" i="6" s="1"/>
  <c r="E297" i="6"/>
  <c r="B297" i="7" s="1"/>
  <c r="D297" i="6"/>
  <c r="B297" i="6" s="1"/>
  <c r="AM296" i="6"/>
  <c r="AL296" i="6"/>
  <c r="AF296" i="6"/>
  <c r="W296" i="6"/>
  <c r="E296" i="7" s="1"/>
  <c r="V296" i="6"/>
  <c r="U296" i="6"/>
  <c r="T296" i="6"/>
  <c r="S296" i="6"/>
  <c r="R296" i="6"/>
  <c r="D296" i="7" s="1"/>
  <c r="Q296" i="6"/>
  <c r="P296" i="6"/>
  <c r="O296" i="6"/>
  <c r="N296" i="6"/>
  <c r="M296" i="6"/>
  <c r="L296" i="6"/>
  <c r="K296" i="6"/>
  <c r="J296" i="6"/>
  <c r="AK296" i="6" s="1"/>
  <c r="I296" i="6"/>
  <c r="AJ296" i="6" s="1"/>
  <c r="H296" i="6"/>
  <c r="AI296" i="6" s="1"/>
  <c r="G296" i="6"/>
  <c r="F296" i="6"/>
  <c r="AG296" i="6" s="1"/>
  <c r="AH296" i="6" s="1"/>
  <c r="E296" i="6"/>
  <c r="B296" i="7" s="1"/>
  <c r="D296" i="6"/>
  <c r="A296" i="7" s="1"/>
  <c r="B296" i="6"/>
  <c r="AL295" i="6"/>
  <c r="AK295" i="6"/>
  <c r="AJ295" i="6"/>
  <c r="AI295" i="6"/>
  <c r="AF295" i="6"/>
  <c r="Q295" i="6"/>
  <c r="P295" i="6"/>
  <c r="O295" i="6"/>
  <c r="AM295" i="6" s="1"/>
  <c r="N295" i="6"/>
  <c r="M295" i="6"/>
  <c r="L295" i="6"/>
  <c r="K295" i="6"/>
  <c r="J295" i="6"/>
  <c r="I295" i="6"/>
  <c r="H295" i="6"/>
  <c r="G295" i="6"/>
  <c r="F295" i="6"/>
  <c r="AG295" i="6" s="1"/>
  <c r="AH295" i="6" s="1"/>
  <c r="E295" i="6"/>
  <c r="B295" i="7" s="1"/>
  <c r="D295" i="6"/>
  <c r="B295" i="6" s="1"/>
  <c r="C295" i="6"/>
  <c r="C295" i="7" s="1"/>
  <c r="AM294" i="6"/>
  <c r="AL294" i="6"/>
  <c r="AF294" i="6"/>
  <c r="W294" i="6"/>
  <c r="E294" i="7" s="1"/>
  <c r="V294" i="6"/>
  <c r="U294" i="6"/>
  <c r="T294" i="6"/>
  <c r="S294" i="6"/>
  <c r="R294" i="6"/>
  <c r="D294" i="7" s="1"/>
  <c r="Q294" i="6"/>
  <c r="P294" i="6"/>
  <c r="O294" i="6"/>
  <c r="N294" i="6"/>
  <c r="M294" i="6"/>
  <c r="L294" i="6"/>
  <c r="K294" i="6"/>
  <c r="J294" i="6"/>
  <c r="AK294" i="6" s="1"/>
  <c r="I294" i="6"/>
  <c r="AJ294" i="6" s="1"/>
  <c r="H294" i="6"/>
  <c r="AI294" i="6" s="1"/>
  <c r="G294" i="6"/>
  <c r="F294" i="6"/>
  <c r="AG294" i="6" s="1"/>
  <c r="AH294" i="6" s="1"/>
  <c r="E294" i="6"/>
  <c r="B294" i="7" s="1"/>
  <c r="D294" i="6"/>
  <c r="A294" i="7" s="1"/>
  <c r="B294" i="6"/>
  <c r="AK293" i="6"/>
  <c r="AJ293" i="6"/>
  <c r="AI293" i="6"/>
  <c r="AF293" i="6"/>
  <c r="Q293" i="6"/>
  <c r="P293" i="6"/>
  <c r="O293" i="6"/>
  <c r="AM293" i="6" s="1"/>
  <c r="N293" i="6"/>
  <c r="AL293" i="6" s="1"/>
  <c r="M293" i="6"/>
  <c r="L293" i="6"/>
  <c r="K293" i="6"/>
  <c r="J293" i="6"/>
  <c r="I293" i="6"/>
  <c r="H293" i="6"/>
  <c r="G293" i="6"/>
  <c r="F293" i="6"/>
  <c r="AG293" i="6" s="1"/>
  <c r="AH293" i="6" s="1"/>
  <c r="E293" i="6"/>
  <c r="B293" i="7" s="1"/>
  <c r="D293" i="6"/>
  <c r="C293" i="6"/>
  <c r="C293" i="7" s="1"/>
  <c r="B293" i="6"/>
  <c r="AM292" i="6"/>
  <c r="AL292" i="6"/>
  <c r="AF292" i="6"/>
  <c r="W292" i="6"/>
  <c r="E292" i="7" s="1"/>
  <c r="V292" i="6"/>
  <c r="U292" i="6"/>
  <c r="T292" i="6"/>
  <c r="S292" i="6"/>
  <c r="R292" i="6"/>
  <c r="D292" i="7" s="1"/>
  <c r="Q292" i="6"/>
  <c r="P292" i="6"/>
  <c r="O292" i="6"/>
  <c r="N292" i="6"/>
  <c r="M292" i="6"/>
  <c r="L292" i="6"/>
  <c r="K292" i="6"/>
  <c r="J292" i="6"/>
  <c r="AK292" i="6" s="1"/>
  <c r="I292" i="6"/>
  <c r="AJ292" i="6" s="1"/>
  <c r="H292" i="6"/>
  <c r="AI292" i="6" s="1"/>
  <c r="G292" i="6"/>
  <c r="F292" i="6"/>
  <c r="AG292" i="6" s="1"/>
  <c r="AH292" i="6" s="1"/>
  <c r="E292" i="6"/>
  <c r="B292" i="7" s="1"/>
  <c r="D292" i="6"/>
  <c r="A292" i="7" s="1"/>
  <c r="B292" i="6"/>
  <c r="AK291" i="6"/>
  <c r="AJ291" i="6"/>
  <c r="AI291" i="6"/>
  <c r="AF291" i="6"/>
  <c r="Q291" i="6"/>
  <c r="P291" i="6"/>
  <c r="O291" i="6"/>
  <c r="AM291" i="6" s="1"/>
  <c r="N291" i="6"/>
  <c r="AL291" i="6" s="1"/>
  <c r="M291" i="6"/>
  <c r="L291" i="6"/>
  <c r="K291" i="6"/>
  <c r="J291" i="6"/>
  <c r="I291" i="6"/>
  <c r="H291" i="6"/>
  <c r="G291" i="6"/>
  <c r="F291" i="6"/>
  <c r="AG291" i="6" s="1"/>
  <c r="AH291" i="6" s="1"/>
  <c r="E291" i="6"/>
  <c r="B291" i="7" s="1"/>
  <c r="D291" i="6"/>
  <c r="C291" i="6" s="1"/>
  <c r="C291" i="7" s="1"/>
  <c r="B291" i="6"/>
  <c r="AM290" i="6"/>
  <c r="AL290" i="6"/>
  <c r="AF290" i="6"/>
  <c r="W290" i="6"/>
  <c r="E290" i="7" s="1"/>
  <c r="V290" i="6"/>
  <c r="U290" i="6"/>
  <c r="T290" i="6"/>
  <c r="S290" i="6"/>
  <c r="R290" i="6"/>
  <c r="D290" i="7" s="1"/>
  <c r="Q290" i="6"/>
  <c r="P290" i="6"/>
  <c r="O290" i="6"/>
  <c r="N290" i="6"/>
  <c r="M290" i="6"/>
  <c r="L290" i="6"/>
  <c r="K290" i="6"/>
  <c r="J290" i="6"/>
  <c r="AK290" i="6" s="1"/>
  <c r="I290" i="6"/>
  <c r="AJ290" i="6" s="1"/>
  <c r="H290" i="6"/>
  <c r="AI290" i="6" s="1"/>
  <c r="G290" i="6"/>
  <c r="F290" i="6"/>
  <c r="AG290" i="6" s="1"/>
  <c r="AH290" i="6" s="1"/>
  <c r="E290" i="6"/>
  <c r="B290" i="7" s="1"/>
  <c r="D290" i="6"/>
  <c r="A290" i="7" s="1"/>
  <c r="B290" i="6"/>
  <c r="AL289" i="6"/>
  <c r="AK289" i="6"/>
  <c r="AJ289" i="6"/>
  <c r="AI289" i="6"/>
  <c r="AH289" i="6"/>
  <c r="AF289" i="6"/>
  <c r="Q289" i="6"/>
  <c r="P289" i="6"/>
  <c r="O289" i="6"/>
  <c r="AM289" i="6" s="1"/>
  <c r="N289" i="6"/>
  <c r="M289" i="6"/>
  <c r="L289" i="6"/>
  <c r="K289" i="6"/>
  <c r="J289" i="6"/>
  <c r="I289" i="6"/>
  <c r="H289" i="6"/>
  <c r="G289" i="6"/>
  <c r="F289" i="6"/>
  <c r="AG289" i="6" s="1"/>
  <c r="E289" i="6"/>
  <c r="B289" i="7" s="1"/>
  <c r="D289" i="6"/>
  <c r="C289" i="6"/>
  <c r="C289" i="7" s="1"/>
  <c r="B289" i="6"/>
  <c r="AM288" i="6"/>
  <c r="AL288" i="6"/>
  <c r="AF288" i="6"/>
  <c r="W288" i="6"/>
  <c r="E288" i="7" s="1"/>
  <c r="V288" i="6"/>
  <c r="U288" i="6"/>
  <c r="T288" i="6"/>
  <c r="S288" i="6"/>
  <c r="R288" i="6"/>
  <c r="D288" i="7" s="1"/>
  <c r="Q288" i="6"/>
  <c r="P288" i="6"/>
  <c r="O288" i="6"/>
  <c r="N288" i="6"/>
  <c r="M288" i="6"/>
  <c r="L288" i="6"/>
  <c r="K288" i="6"/>
  <c r="J288" i="6"/>
  <c r="AK288" i="6" s="1"/>
  <c r="I288" i="6"/>
  <c r="AJ288" i="6" s="1"/>
  <c r="H288" i="6"/>
  <c r="AI288" i="6" s="1"/>
  <c r="G288" i="6"/>
  <c r="F288" i="6"/>
  <c r="AG288" i="6" s="1"/>
  <c r="AH288" i="6" s="1"/>
  <c r="E288" i="6"/>
  <c r="B288" i="7" s="1"/>
  <c r="D288" i="6"/>
  <c r="A288" i="7" s="1"/>
  <c r="B288" i="6"/>
  <c r="AL287" i="6"/>
  <c r="AK287" i="6"/>
  <c r="AJ287" i="6"/>
  <c r="AI287" i="6"/>
  <c r="AH287" i="6"/>
  <c r="AF287" i="6"/>
  <c r="Q287" i="6"/>
  <c r="P287" i="6"/>
  <c r="O287" i="6"/>
  <c r="AM287" i="6" s="1"/>
  <c r="N287" i="6"/>
  <c r="M287" i="6"/>
  <c r="L287" i="6"/>
  <c r="K287" i="6"/>
  <c r="J287" i="6"/>
  <c r="I287" i="6"/>
  <c r="H287" i="6"/>
  <c r="G287" i="6"/>
  <c r="F287" i="6"/>
  <c r="AG287" i="6" s="1"/>
  <c r="E287" i="6"/>
  <c r="B287" i="7" s="1"/>
  <c r="D287" i="6"/>
  <c r="C287" i="6" s="1"/>
  <c r="C287" i="7" s="1"/>
  <c r="B287" i="6"/>
  <c r="AM286" i="6"/>
  <c r="AL286" i="6"/>
  <c r="AF286" i="6"/>
  <c r="W286" i="6"/>
  <c r="E286" i="7" s="1"/>
  <c r="V286" i="6"/>
  <c r="U286" i="6"/>
  <c r="T286" i="6"/>
  <c r="S286" i="6"/>
  <c r="R286" i="6"/>
  <c r="D286" i="7" s="1"/>
  <c r="Q286" i="6"/>
  <c r="P286" i="6"/>
  <c r="O286" i="6"/>
  <c r="N286" i="6"/>
  <c r="M286" i="6"/>
  <c r="L286" i="6"/>
  <c r="K286" i="6"/>
  <c r="J286" i="6"/>
  <c r="AK286" i="6" s="1"/>
  <c r="I286" i="6"/>
  <c r="AJ286" i="6" s="1"/>
  <c r="H286" i="6"/>
  <c r="AI286" i="6" s="1"/>
  <c r="G286" i="6"/>
  <c r="F286" i="6"/>
  <c r="AG286" i="6" s="1"/>
  <c r="AH286" i="6" s="1"/>
  <c r="E286" i="6"/>
  <c r="B286" i="7" s="1"/>
  <c r="D286" i="6"/>
  <c r="A286" i="7" s="1"/>
  <c r="B286" i="6"/>
  <c r="AL285" i="6"/>
  <c r="AK285" i="6"/>
  <c r="AJ285" i="6"/>
  <c r="AI285" i="6"/>
  <c r="AF285" i="6"/>
  <c r="R285" i="6"/>
  <c r="D285" i="7" s="1"/>
  <c r="Q285" i="6"/>
  <c r="P285" i="6"/>
  <c r="O285" i="6"/>
  <c r="AM285" i="6" s="1"/>
  <c r="N285" i="6"/>
  <c r="M285" i="6"/>
  <c r="L285" i="6"/>
  <c r="K285" i="6"/>
  <c r="J285" i="6"/>
  <c r="I285" i="6"/>
  <c r="H285" i="6"/>
  <c r="G285" i="6"/>
  <c r="F285" i="6"/>
  <c r="AG285" i="6" s="1"/>
  <c r="AH285" i="6" s="1"/>
  <c r="E285" i="6"/>
  <c r="B285" i="7" s="1"/>
  <c r="D285" i="6"/>
  <c r="C285" i="6"/>
  <c r="C285" i="7" s="1"/>
  <c r="B285" i="6"/>
  <c r="AM284" i="6"/>
  <c r="AL284" i="6"/>
  <c r="AF284" i="6"/>
  <c r="W284" i="6"/>
  <c r="E284" i="7" s="1"/>
  <c r="V284" i="6"/>
  <c r="U284" i="6"/>
  <c r="T284" i="6"/>
  <c r="S284" i="6"/>
  <c r="R284" i="6"/>
  <c r="D284" i="7" s="1"/>
  <c r="Q284" i="6"/>
  <c r="P284" i="6"/>
  <c r="O284" i="6"/>
  <c r="N284" i="6"/>
  <c r="M284" i="6"/>
  <c r="L284" i="6"/>
  <c r="K284" i="6"/>
  <c r="J284" i="6"/>
  <c r="AK284" i="6" s="1"/>
  <c r="I284" i="6"/>
  <c r="AJ284" i="6" s="1"/>
  <c r="H284" i="6"/>
  <c r="AI284" i="6" s="1"/>
  <c r="G284" i="6"/>
  <c r="F284" i="6"/>
  <c r="AG284" i="6" s="1"/>
  <c r="AH284" i="6" s="1"/>
  <c r="E284" i="6"/>
  <c r="B284" i="7" s="1"/>
  <c r="D284" i="6"/>
  <c r="A284" i="7" s="1"/>
  <c r="B284" i="6"/>
  <c r="AL283" i="6"/>
  <c r="AK283" i="6"/>
  <c r="AJ283" i="6"/>
  <c r="AI283" i="6"/>
  <c r="AF283" i="6"/>
  <c r="R283" i="6"/>
  <c r="D283" i="7" s="1"/>
  <c r="Q283" i="6"/>
  <c r="P283" i="6"/>
  <c r="O283" i="6"/>
  <c r="AM283" i="6" s="1"/>
  <c r="N283" i="6"/>
  <c r="M283" i="6"/>
  <c r="L283" i="6"/>
  <c r="K283" i="6"/>
  <c r="J283" i="6"/>
  <c r="I283" i="6"/>
  <c r="H283" i="6"/>
  <c r="G283" i="6"/>
  <c r="F283" i="6"/>
  <c r="AG283" i="6" s="1"/>
  <c r="AH283" i="6" s="1"/>
  <c r="E283" i="6"/>
  <c r="B283" i="7" s="1"/>
  <c r="D283" i="6"/>
  <c r="C283" i="6"/>
  <c r="C283" i="7" s="1"/>
  <c r="B283" i="6"/>
  <c r="AM282" i="6"/>
  <c r="AL282" i="6"/>
  <c r="AF282" i="6"/>
  <c r="W282" i="6"/>
  <c r="E282" i="7" s="1"/>
  <c r="V282" i="6"/>
  <c r="U282" i="6"/>
  <c r="T282" i="6"/>
  <c r="S282" i="6"/>
  <c r="R282" i="6"/>
  <c r="D282" i="7" s="1"/>
  <c r="Q282" i="6"/>
  <c r="P282" i="6"/>
  <c r="O282" i="6"/>
  <c r="N282" i="6"/>
  <c r="M282" i="6"/>
  <c r="L282" i="6"/>
  <c r="K282" i="6"/>
  <c r="J282" i="6"/>
  <c r="AK282" i="6" s="1"/>
  <c r="I282" i="6"/>
  <c r="AJ282" i="6" s="1"/>
  <c r="H282" i="6"/>
  <c r="AI282" i="6" s="1"/>
  <c r="G282" i="6"/>
  <c r="F282" i="6"/>
  <c r="AG282" i="6" s="1"/>
  <c r="AH282" i="6" s="1"/>
  <c r="E282" i="6"/>
  <c r="B282" i="7" s="1"/>
  <c r="D282" i="6"/>
  <c r="A282" i="7" s="1"/>
  <c r="B282" i="6"/>
  <c r="AK281" i="6"/>
  <c r="AJ281" i="6"/>
  <c r="AI281" i="6"/>
  <c r="AF281" i="6"/>
  <c r="R281" i="6"/>
  <c r="D281" i="7" s="1"/>
  <c r="Q281" i="6"/>
  <c r="P281" i="6"/>
  <c r="O281" i="6"/>
  <c r="AM281" i="6" s="1"/>
  <c r="N281" i="6"/>
  <c r="AL281" i="6" s="1"/>
  <c r="M281" i="6"/>
  <c r="L281" i="6"/>
  <c r="K281" i="6"/>
  <c r="J281" i="6"/>
  <c r="I281" i="6"/>
  <c r="H281" i="6"/>
  <c r="G281" i="6"/>
  <c r="F281" i="6"/>
  <c r="AG281" i="6" s="1"/>
  <c r="AH281" i="6" s="1"/>
  <c r="E281" i="6"/>
  <c r="B281" i="7" s="1"/>
  <c r="D281" i="6"/>
  <c r="C281" i="6"/>
  <c r="C281" i="7" s="1"/>
  <c r="B281" i="6"/>
  <c r="AM280" i="6"/>
  <c r="AL280" i="6"/>
  <c r="AF280" i="6"/>
  <c r="W280" i="6"/>
  <c r="E280" i="7" s="1"/>
  <c r="V280" i="6"/>
  <c r="U280" i="6"/>
  <c r="T280" i="6"/>
  <c r="S280" i="6"/>
  <c r="R280" i="6"/>
  <c r="D280" i="7" s="1"/>
  <c r="Q280" i="6"/>
  <c r="P280" i="6"/>
  <c r="O280" i="6"/>
  <c r="N280" i="6"/>
  <c r="M280" i="6"/>
  <c r="L280" i="6"/>
  <c r="K280" i="6"/>
  <c r="J280" i="6"/>
  <c r="AK280" i="6" s="1"/>
  <c r="I280" i="6"/>
  <c r="AJ280" i="6" s="1"/>
  <c r="H280" i="6"/>
  <c r="AI280" i="6" s="1"/>
  <c r="G280" i="6"/>
  <c r="F280" i="6"/>
  <c r="AG280" i="6" s="1"/>
  <c r="AH280" i="6" s="1"/>
  <c r="E280" i="6"/>
  <c r="B280" i="7" s="1"/>
  <c r="D280" i="6"/>
  <c r="A280" i="7" s="1"/>
  <c r="B280" i="6"/>
  <c r="AK279" i="6"/>
  <c r="AJ279" i="6"/>
  <c r="AI279" i="6"/>
  <c r="AH279" i="6"/>
  <c r="AF279" i="6"/>
  <c r="R279" i="6"/>
  <c r="D279" i="7" s="1"/>
  <c r="Q279" i="6"/>
  <c r="P279" i="6"/>
  <c r="O279" i="6"/>
  <c r="AM279" i="6" s="1"/>
  <c r="N279" i="6"/>
  <c r="AL279" i="6" s="1"/>
  <c r="M279" i="6"/>
  <c r="L279" i="6"/>
  <c r="K279" i="6"/>
  <c r="J279" i="6"/>
  <c r="I279" i="6"/>
  <c r="H279" i="6"/>
  <c r="G279" i="6"/>
  <c r="F279" i="6"/>
  <c r="AG279" i="6" s="1"/>
  <c r="E279" i="6"/>
  <c r="B279" i="7" s="1"/>
  <c r="D279" i="6"/>
  <c r="C279" i="6"/>
  <c r="C279" i="7" s="1"/>
  <c r="B279" i="6"/>
  <c r="AM278" i="6"/>
  <c r="AL278" i="6"/>
  <c r="AF278" i="6"/>
  <c r="W278" i="6"/>
  <c r="E278" i="7" s="1"/>
  <c r="V278" i="6"/>
  <c r="U278" i="6"/>
  <c r="T278" i="6"/>
  <c r="S278" i="6"/>
  <c r="R278" i="6"/>
  <c r="D278" i="7" s="1"/>
  <c r="Q278" i="6"/>
  <c r="P278" i="6"/>
  <c r="O278" i="6"/>
  <c r="N278" i="6"/>
  <c r="M278" i="6"/>
  <c r="L278" i="6"/>
  <c r="K278" i="6"/>
  <c r="J278" i="6"/>
  <c r="AK278" i="6" s="1"/>
  <c r="I278" i="6"/>
  <c r="AJ278" i="6" s="1"/>
  <c r="H278" i="6"/>
  <c r="AI278" i="6" s="1"/>
  <c r="G278" i="6"/>
  <c r="F278" i="6"/>
  <c r="AG278" i="6" s="1"/>
  <c r="AH278" i="6" s="1"/>
  <c r="E278" i="6"/>
  <c r="B278" i="7" s="1"/>
  <c r="D278" i="6"/>
  <c r="A278" i="7" s="1"/>
  <c r="B278" i="6"/>
  <c r="AK277" i="6"/>
  <c r="AJ277" i="6"/>
  <c r="AI277" i="6"/>
  <c r="AF277" i="6"/>
  <c r="R277" i="6"/>
  <c r="D277" i="7" s="1"/>
  <c r="Q277" i="6"/>
  <c r="P277" i="6"/>
  <c r="O277" i="6"/>
  <c r="AM277" i="6" s="1"/>
  <c r="N277" i="6"/>
  <c r="AL277" i="6" s="1"/>
  <c r="M277" i="6"/>
  <c r="L277" i="6"/>
  <c r="K277" i="6"/>
  <c r="J277" i="6"/>
  <c r="I277" i="6"/>
  <c r="H277" i="6"/>
  <c r="G277" i="6"/>
  <c r="F277" i="6"/>
  <c r="AG277" i="6" s="1"/>
  <c r="AH277" i="6" s="1"/>
  <c r="E277" i="6"/>
  <c r="B277" i="7" s="1"/>
  <c r="D277" i="6"/>
  <c r="C277" i="6"/>
  <c r="C277" i="7" s="1"/>
  <c r="B277" i="6"/>
  <c r="AM276" i="6"/>
  <c r="AL276" i="6"/>
  <c r="AF276" i="6"/>
  <c r="W276" i="6"/>
  <c r="E276" i="7" s="1"/>
  <c r="V276" i="6"/>
  <c r="U276" i="6"/>
  <c r="T276" i="6"/>
  <c r="S276" i="6"/>
  <c r="R276" i="6"/>
  <c r="D276" i="7" s="1"/>
  <c r="Q276" i="6"/>
  <c r="P276" i="6"/>
  <c r="O276" i="6"/>
  <c r="N276" i="6"/>
  <c r="M276" i="6"/>
  <c r="L276" i="6"/>
  <c r="K276" i="6"/>
  <c r="J276" i="6"/>
  <c r="AK276" i="6" s="1"/>
  <c r="I276" i="6"/>
  <c r="AJ276" i="6" s="1"/>
  <c r="H276" i="6"/>
  <c r="AI276" i="6" s="1"/>
  <c r="G276" i="6"/>
  <c r="F276" i="6"/>
  <c r="AG276" i="6" s="1"/>
  <c r="AH276" i="6" s="1"/>
  <c r="E276" i="6"/>
  <c r="B276" i="7" s="1"/>
  <c r="D276" i="6"/>
  <c r="A276" i="7" s="1"/>
  <c r="B276" i="6"/>
  <c r="AK275" i="6"/>
  <c r="AJ275" i="6"/>
  <c r="AI275" i="6"/>
  <c r="AF275" i="6"/>
  <c r="R275" i="6"/>
  <c r="D275" i="7" s="1"/>
  <c r="Q275" i="6"/>
  <c r="P275" i="6"/>
  <c r="O275" i="6"/>
  <c r="AM275" i="6" s="1"/>
  <c r="N275" i="6"/>
  <c r="AL275" i="6" s="1"/>
  <c r="M275" i="6"/>
  <c r="L275" i="6"/>
  <c r="K275" i="6"/>
  <c r="J275" i="6"/>
  <c r="I275" i="6"/>
  <c r="H275" i="6"/>
  <c r="G275" i="6"/>
  <c r="F275" i="6"/>
  <c r="AG275" i="6" s="1"/>
  <c r="AH275" i="6" s="1"/>
  <c r="E275" i="6"/>
  <c r="B275" i="7" s="1"/>
  <c r="D275" i="6"/>
  <c r="C275" i="6"/>
  <c r="C275" i="7" s="1"/>
  <c r="B275" i="6"/>
  <c r="AM274" i="6"/>
  <c r="AL274" i="6"/>
  <c r="AF274" i="6"/>
  <c r="W274" i="6"/>
  <c r="E274" i="7" s="1"/>
  <c r="V274" i="6"/>
  <c r="U274" i="6"/>
  <c r="T274" i="6"/>
  <c r="S274" i="6"/>
  <c r="R274" i="6"/>
  <c r="D274" i="7" s="1"/>
  <c r="Q274" i="6"/>
  <c r="P274" i="6"/>
  <c r="O274" i="6"/>
  <c r="N274" i="6"/>
  <c r="M274" i="6"/>
  <c r="L274" i="6"/>
  <c r="K274" i="6"/>
  <c r="J274" i="6"/>
  <c r="AK274" i="6" s="1"/>
  <c r="I274" i="6"/>
  <c r="AJ274" i="6" s="1"/>
  <c r="H274" i="6"/>
  <c r="AI274" i="6" s="1"/>
  <c r="G274" i="6"/>
  <c r="F274" i="6"/>
  <c r="AG274" i="6" s="1"/>
  <c r="AH274" i="6" s="1"/>
  <c r="E274" i="6"/>
  <c r="B274" i="7" s="1"/>
  <c r="D274" i="6"/>
  <c r="A274" i="7" s="1"/>
  <c r="B274" i="6"/>
  <c r="AK273" i="6"/>
  <c r="AJ273" i="6"/>
  <c r="AI273" i="6"/>
  <c r="AH273" i="6"/>
  <c r="AF273" i="6"/>
  <c r="R273" i="6"/>
  <c r="D273" i="7" s="1"/>
  <c r="Q273" i="6"/>
  <c r="P273" i="6"/>
  <c r="O273" i="6"/>
  <c r="AM273" i="6" s="1"/>
  <c r="N273" i="6"/>
  <c r="AL273" i="6" s="1"/>
  <c r="M273" i="6"/>
  <c r="L273" i="6"/>
  <c r="K273" i="6"/>
  <c r="J273" i="6"/>
  <c r="I273" i="6"/>
  <c r="H273" i="6"/>
  <c r="G273" i="6"/>
  <c r="F273" i="6"/>
  <c r="AG273" i="6" s="1"/>
  <c r="E273" i="6"/>
  <c r="B273" i="7" s="1"/>
  <c r="D273" i="6"/>
  <c r="C273" i="6"/>
  <c r="C273" i="7" s="1"/>
  <c r="B273" i="6"/>
  <c r="AM272" i="6"/>
  <c r="AL272" i="6"/>
  <c r="AF272" i="6"/>
  <c r="W272" i="6"/>
  <c r="E272" i="7" s="1"/>
  <c r="V272" i="6"/>
  <c r="U272" i="6"/>
  <c r="T272" i="6"/>
  <c r="S272" i="6"/>
  <c r="R272" i="6"/>
  <c r="D272" i="7" s="1"/>
  <c r="Q272" i="6"/>
  <c r="P272" i="6"/>
  <c r="O272" i="6"/>
  <c r="N272" i="6"/>
  <c r="M272" i="6"/>
  <c r="L272" i="6"/>
  <c r="K272" i="6"/>
  <c r="J272" i="6"/>
  <c r="AK272" i="6" s="1"/>
  <c r="I272" i="6"/>
  <c r="AJ272" i="6" s="1"/>
  <c r="H272" i="6"/>
  <c r="AI272" i="6" s="1"/>
  <c r="G272" i="6"/>
  <c r="F272" i="6"/>
  <c r="AG272" i="6" s="1"/>
  <c r="AH272" i="6" s="1"/>
  <c r="E272" i="6"/>
  <c r="B272" i="7" s="1"/>
  <c r="D272" i="6"/>
  <c r="A272" i="7" s="1"/>
  <c r="B272" i="6"/>
  <c r="AK271" i="6"/>
  <c r="AJ271" i="6"/>
  <c r="AF271" i="6"/>
  <c r="R271" i="6"/>
  <c r="D271" i="7" s="1"/>
  <c r="Q271" i="6"/>
  <c r="P271" i="6"/>
  <c r="O271" i="6"/>
  <c r="AM271" i="6" s="1"/>
  <c r="N271" i="6"/>
  <c r="AL271" i="6" s="1"/>
  <c r="M271" i="6"/>
  <c r="L271" i="6"/>
  <c r="K271" i="6"/>
  <c r="J271" i="6"/>
  <c r="I271" i="6"/>
  <c r="H271" i="6"/>
  <c r="AI271" i="6" s="1"/>
  <c r="G271" i="6"/>
  <c r="F271" i="6"/>
  <c r="AG271" i="6" s="1"/>
  <c r="AH271" i="6" s="1"/>
  <c r="E271" i="6"/>
  <c r="B271" i="7" s="1"/>
  <c r="D271" i="6"/>
  <c r="AM270" i="6"/>
  <c r="AF270" i="6"/>
  <c r="W270" i="6"/>
  <c r="E270" i="7" s="1"/>
  <c r="V270" i="6"/>
  <c r="U270" i="6"/>
  <c r="T270" i="6"/>
  <c r="S270" i="6"/>
  <c r="R270" i="6"/>
  <c r="D270" i="7" s="1"/>
  <c r="Q270" i="6"/>
  <c r="P270" i="6"/>
  <c r="O270" i="6"/>
  <c r="N270" i="6"/>
  <c r="AL270" i="6" s="1"/>
  <c r="M270" i="6"/>
  <c r="L270" i="6"/>
  <c r="K270" i="6"/>
  <c r="J270" i="6"/>
  <c r="AK270" i="6" s="1"/>
  <c r="I270" i="6"/>
  <c r="AJ270" i="6" s="1"/>
  <c r="H270" i="6"/>
  <c r="AI270" i="6" s="1"/>
  <c r="G270" i="6"/>
  <c r="F270" i="6"/>
  <c r="AG270" i="6" s="1"/>
  <c r="AH270" i="6" s="1"/>
  <c r="E270" i="6"/>
  <c r="B270" i="7" s="1"/>
  <c r="D270" i="6"/>
  <c r="A270" i="7" s="1"/>
  <c r="B270" i="6"/>
  <c r="AK269" i="6"/>
  <c r="AJ269" i="6"/>
  <c r="AF269" i="6"/>
  <c r="R269" i="6"/>
  <c r="D269" i="7" s="1"/>
  <c r="Q269" i="6"/>
  <c r="P269" i="6"/>
  <c r="O269" i="6"/>
  <c r="AM269" i="6" s="1"/>
  <c r="N269" i="6"/>
  <c r="AL269" i="6" s="1"/>
  <c r="M269" i="6"/>
  <c r="L269" i="6"/>
  <c r="K269" i="6"/>
  <c r="J269" i="6"/>
  <c r="I269" i="6"/>
  <c r="H269" i="6"/>
  <c r="AI269" i="6" s="1"/>
  <c r="G269" i="6"/>
  <c r="F269" i="6"/>
  <c r="AG269" i="6" s="1"/>
  <c r="AH269" i="6" s="1"/>
  <c r="E269" i="6"/>
  <c r="B269" i="7" s="1"/>
  <c r="D269" i="6"/>
  <c r="C269" i="6"/>
  <c r="C269" i="7" s="1"/>
  <c r="B269" i="6"/>
  <c r="AM268" i="6"/>
  <c r="AH268" i="6"/>
  <c r="AF268" i="6"/>
  <c r="W268" i="6"/>
  <c r="E268" i="7" s="1"/>
  <c r="V268" i="6"/>
  <c r="U268" i="6"/>
  <c r="T268" i="6"/>
  <c r="S268" i="6"/>
  <c r="R268" i="6"/>
  <c r="D268" i="7" s="1"/>
  <c r="Q268" i="6"/>
  <c r="P268" i="6"/>
  <c r="O268" i="6"/>
  <c r="N268" i="6"/>
  <c r="AL268" i="6" s="1"/>
  <c r="M268" i="6"/>
  <c r="L268" i="6"/>
  <c r="K268" i="6"/>
  <c r="J268" i="6"/>
  <c r="AK268" i="6" s="1"/>
  <c r="I268" i="6"/>
  <c r="AJ268" i="6" s="1"/>
  <c r="H268" i="6"/>
  <c r="AI268" i="6" s="1"/>
  <c r="G268" i="6"/>
  <c r="F268" i="6"/>
  <c r="AG268" i="6" s="1"/>
  <c r="E268" i="6"/>
  <c r="B268" i="7" s="1"/>
  <c r="D268" i="6"/>
  <c r="A268" i="7" s="1"/>
  <c r="B268" i="6"/>
  <c r="AL267" i="6"/>
  <c r="AK267" i="6"/>
  <c r="AJ267" i="6"/>
  <c r="AF267" i="6"/>
  <c r="Q267" i="6"/>
  <c r="P267" i="6"/>
  <c r="O267" i="6"/>
  <c r="AM267" i="6" s="1"/>
  <c r="N267" i="6"/>
  <c r="M267" i="6"/>
  <c r="L267" i="6"/>
  <c r="K267" i="6"/>
  <c r="J267" i="6"/>
  <c r="I267" i="6"/>
  <c r="H267" i="6"/>
  <c r="AI267" i="6" s="1"/>
  <c r="G267" i="6"/>
  <c r="F267" i="6"/>
  <c r="AG267" i="6" s="1"/>
  <c r="AH267" i="6" s="1"/>
  <c r="E267" i="6"/>
  <c r="B267" i="7" s="1"/>
  <c r="D267" i="6"/>
  <c r="C267" i="6"/>
  <c r="C267" i="7" s="1"/>
  <c r="B267" i="6"/>
  <c r="AM266" i="6"/>
  <c r="AH266" i="6"/>
  <c r="AF266" i="6"/>
  <c r="W266" i="6"/>
  <c r="E266" i="7" s="1"/>
  <c r="V266" i="6"/>
  <c r="U266" i="6"/>
  <c r="T266" i="6"/>
  <c r="S266" i="6"/>
  <c r="R266" i="6"/>
  <c r="D266" i="7" s="1"/>
  <c r="Q266" i="6"/>
  <c r="P266" i="6"/>
  <c r="O266" i="6"/>
  <c r="N266" i="6"/>
  <c r="AL266" i="6" s="1"/>
  <c r="M266" i="6"/>
  <c r="L266" i="6"/>
  <c r="K266" i="6"/>
  <c r="J266" i="6"/>
  <c r="AK266" i="6" s="1"/>
  <c r="I266" i="6"/>
  <c r="AJ266" i="6" s="1"/>
  <c r="H266" i="6"/>
  <c r="AI266" i="6" s="1"/>
  <c r="G266" i="6"/>
  <c r="F266" i="6"/>
  <c r="AG266" i="6" s="1"/>
  <c r="E266" i="6"/>
  <c r="B266" i="7" s="1"/>
  <c r="D266" i="6"/>
  <c r="A266" i="7" s="1"/>
  <c r="B266" i="6"/>
  <c r="AK265" i="6"/>
  <c r="AJ265" i="6"/>
  <c r="Q265" i="6"/>
  <c r="P265" i="6"/>
  <c r="O265" i="6"/>
  <c r="AM265" i="6" s="1"/>
  <c r="N265" i="6"/>
  <c r="AL265" i="6" s="1"/>
  <c r="M265" i="6"/>
  <c r="L265" i="6"/>
  <c r="K265" i="6"/>
  <c r="J265" i="6"/>
  <c r="I265" i="6"/>
  <c r="H265" i="6"/>
  <c r="AI265" i="6" s="1"/>
  <c r="G265" i="6"/>
  <c r="F265" i="6"/>
  <c r="AG265" i="6" s="1"/>
  <c r="AH265" i="6" s="1"/>
  <c r="E265" i="6"/>
  <c r="B265" i="7" s="1"/>
  <c r="D265" i="6"/>
  <c r="B265" i="6"/>
  <c r="AM264" i="6"/>
  <c r="AL264" i="6"/>
  <c r="AF264" i="6"/>
  <c r="W264" i="6"/>
  <c r="E264" i="7" s="1"/>
  <c r="V264" i="6"/>
  <c r="U264" i="6"/>
  <c r="T264" i="6"/>
  <c r="S264" i="6"/>
  <c r="R264" i="6"/>
  <c r="D264" i="7" s="1"/>
  <c r="Q264" i="6"/>
  <c r="P264" i="6"/>
  <c r="O264" i="6"/>
  <c r="N264" i="6"/>
  <c r="M264" i="6"/>
  <c r="L264" i="6"/>
  <c r="K264" i="6"/>
  <c r="J264" i="6"/>
  <c r="AK264" i="6" s="1"/>
  <c r="I264" i="6"/>
  <c r="AJ264" i="6" s="1"/>
  <c r="H264" i="6"/>
  <c r="AI264" i="6" s="1"/>
  <c r="G264" i="6"/>
  <c r="F264" i="6"/>
  <c r="AG264" i="6" s="1"/>
  <c r="AH264" i="6" s="1"/>
  <c r="E264" i="6"/>
  <c r="B264" i="7" s="1"/>
  <c r="D264" i="6"/>
  <c r="A264" i="7" s="1"/>
  <c r="B264" i="6"/>
  <c r="AK263" i="6"/>
  <c r="AJ263" i="6"/>
  <c r="Q263" i="6"/>
  <c r="P263" i="6"/>
  <c r="O263" i="6"/>
  <c r="AM263" i="6" s="1"/>
  <c r="N263" i="6"/>
  <c r="AL263" i="6" s="1"/>
  <c r="M263" i="6"/>
  <c r="L263" i="6"/>
  <c r="K263" i="6"/>
  <c r="J263" i="6"/>
  <c r="I263" i="6"/>
  <c r="H263" i="6"/>
  <c r="AI263" i="6" s="1"/>
  <c r="G263" i="6"/>
  <c r="F263" i="6"/>
  <c r="AG263" i="6" s="1"/>
  <c r="AH263" i="6" s="1"/>
  <c r="E263" i="6"/>
  <c r="B263" i="7" s="1"/>
  <c r="D263" i="6"/>
  <c r="B263" i="6" s="1"/>
  <c r="AM262" i="6"/>
  <c r="AF262" i="6"/>
  <c r="W262" i="6"/>
  <c r="E262" i="7" s="1"/>
  <c r="V262" i="6"/>
  <c r="U262" i="6"/>
  <c r="T262" i="6"/>
  <c r="S262" i="6"/>
  <c r="R262" i="6"/>
  <c r="D262" i="7" s="1"/>
  <c r="Q262" i="6"/>
  <c r="P262" i="6"/>
  <c r="O262" i="6"/>
  <c r="N262" i="6"/>
  <c r="AL262" i="6" s="1"/>
  <c r="M262" i="6"/>
  <c r="L262" i="6"/>
  <c r="K262" i="6"/>
  <c r="J262" i="6"/>
  <c r="AK262" i="6" s="1"/>
  <c r="I262" i="6"/>
  <c r="AJ262" i="6" s="1"/>
  <c r="H262" i="6"/>
  <c r="AI262" i="6" s="1"/>
  <c r="G262" i="6"/>
  <c r="F262" i="6"/>
  <c r="AG262" i="6" s="1"/>
  <c r="AH262" i="6" s="1"/>
  <c r="E262" i="6"/>
  <c r="B262" i="7" s="1"/>
  <c r="D262" i="6"/>
  <c r="A262" i="7" s="1"/>
  <c r="B262" i="6"/>
  <c r="AL261" i="6"/>
  <c r="AJ261" i="6"/>
  <c r="V261" i="6"/>
  <c r="T261" i="6"/>
  <c r="R261" i="6"/>
  <c r="D261" i="7" s="1"/>
  <c r="Q261" i="6"/>
  <c r="P261" i="6"/>
  <c r="O261" i="6"/>
  <c r="AM261" i="6" s="1"/>
  <c r="N261" i="6"/>
  <c r="M261" i="6"/>
  <c r="L261" i="6"/>
  <c r="K261" i="6"/>
  <c r="J261" i="6"/>
  <c r="AK261" i="6" s="1"/>
  <c r="I261" i="6"/>
  <c r="H261" i="6"/>
  <c r="AI261" i="6" s="1"/>
  <c r="G261" i="6"/>
  <c r="F261" i="6"/>
  <c r="AG261" i="6" s="1"/>
  <c r="AH261" i="6" s="1"/>
  <c r="E261" i="6"/>
  <c r="B261" i="7" s="1"/>
  <c r="D261" i="6"/>
  <c r="C261" i="6"/>
  <c r="C261" i="7" s="1"/>
  <c r="B261" i="6"/>
  <c r="AM260" i="6"/>
  <c r="AH260" i="6"/>
  <c r="AF260" i="6"/>
  <c r="W260" i="6"/>
  <c r="E260" i="7" s="1"/>
  <c r="V260" i="6"/>
  <c r="U260" i="6"/>
  <c r="S260" i="6"/>
  <c r="Q260" i="6"/>
  <c r="P260" i="6"/>
  <c r="O260" i="6"/>
  <c r="N260" i="6"/>
  <c r="AL260" i="6" s="1"/>
  <c r="M260" i="6"/>
  <c r="L260" i="6"/>
  <c r="K260" i="6"/>
  <c r="J260" i="6"/>
  <c r="AK260" i="6" s="1"/>
  <c r="I260" i="6"/>
  <c r="AJ260" i="6" s="1"/>
  <c r="H260" i="6"/>
  <c r="AI260" i="6" s="1"/>
  <c r="G260" i="6"/>
  <c r="F260" i="6"/>
  <c r="AG260" i="6" s="1"/>
  <c r="E260" i="6"/>
  <c r="B260" i="7" s="1"/>
  <c r="D260" i="6"/>
  <c r="B260" i="6" s="1"/>
  <c r="AL259" i="6"/>
  <c r="AK259" i="6"/>
  <c r="AJ259" i="6"/>
  <c r="AI259" i="6"/>
  <c r="AG259" i="6"/>
  <c r="AH259" i="6" s="1"/>
  <c r="W259" i="6"/>
  <c r="E259" i="7" s="1"/>
  <c r="Q259" i="6"/>
  <c r="P259" i="6"/>
  <c r="O259" i="6"/>
  <c r="AM259" i="6" s="1"/>
  <c r="N259" i="6"/>
  <c r="M259" i="6"/>
  <c r="L259" i="6"/>
  <c r="K259" i="6"/>
  <c r="J259" i="6"/>
  <c r="I259" i="6"/>
  <c r="H259" i="6"/>
  <c r="G259" i="6"/>
  <c r="F259" i="6"/>
  <c r="E259" i="6"/>
  <c r="B259" i="7" s="1"/>
  <c r="D259" i="6"/>
  <c r="B259" i="6" s="1"/>
  <c r="C259" i="6"/>
  <c r="C259" i="7" s="1"/>
  <c r="AM258" i="6"/>
  <c r="AL258" i="6"/>
  <c r="AK258" i="6"/>
  <c r="AH258" i="6"/>
  <c r="S258" i="6"/>
  <c r="Q258" i="6"/>
  <c r="P258" i="6"/>
  <c r="O258" i="6"/>
  <c r="N258" i="6"/>
  <c r="M258" i="6"/>
  <c r="L258" i="6"/>
  <c r="K258" i="6"/>
  <c r="J258" i="6"/>
  <c r="I258" i="6"/>
  <c r="AJ258" i="6" s="1"/>
  <c r="H258" i="6"/>
  <c r="AI258" i="6" s="1"/>
  <c r="G258" i="6"/>
  <c r="F258" i="6"/>
  <c r="AG258" i="6" s="1"/>
  <c r="E258" i="6"/>
  <c r="D258" i="6"/>
  <c r="B258" i="6"/>
  <c r="AK257" i="6"/>
  <c r="AJ257" i="6"/>
  <c r="W257" i="6"/>
  <c r="E257" i="7" s="1"/>
  <c r="V257" i="6"/>
  <c r="T257" i="6"/>
  <c r="R257" i="6"/>
  <c r="D257" i="7" s="1"/>
  <c r="Q257" i="6"/>
  <c r="P257" i="6"/>
  <c r="O257" i="6"/>
  <c r="AM257" i="6" s="1"/>
  <c r="N257" i="6"/>
  <c r="AL257" i="6" s="1"/>
  <c r="M257" i="6"/>
  <c r="L257" i="6"/>
  <c r="K257" i="6"/>
  <c r="J257" i="6"/>
  <c r="I257" i="6"/>
  <c r="H257" i="6"/>
  <c r="AI257" i="6" s="1"/>
  <c r="G257" i="6"/>
  <c r="F257" i="6"/>
  <c r="AG257" i="6" s="1"/>
  <c r="AH257" i="6" s="1"/>
  <c r="E257" i="6"/>
  <c r="D257" i="6"/>
  <c r="C257" i="6"/>
  <c r="C257" i="7" s="1"/>
  <c r="B257" i="6"/>
  <c r="AM256" i="6"/>
  <c r="AH256" i="6"/>
  <c r="AF256" i="6"/>
  <c r="W256" i="6"/>
  <c r="E256" i="7" s="1"/>
  <c r="V256" i="6"/>
  <c r="U256" i="6"/>
  <c r="S256" i="6"/>
  <c r="Q256" i="6"/>
  <c r="P256" i="6"/>
  <c r="O256" i="6"/>
  <c r="N256" i="6"/>
  <c r="AL256" i="6" s="1"/>
  <c r="M256" i="6"/>
  <c r="L256" i="6"/>
  <c r="K256" i="6"/>
  <c r="J256" i="6"/>
  <c r="AK256" i="6" s="1"/>
  <c r="I256" i="6"/>
  <c r="AJ256" i="6" s="1"/>
  <c r="H256" i="6"/>
  <c r="AI256" i="6" s="1"/>
  <c r="G256" i="6"/>
  <c r="F256" i="6"/>
  <c r="AG256" i="6" s="1"/>
  <c r="E256" i="6"/>
  <c r="B256" i="7" s="1"/>
  <c r="D256" i="6"/>
  <c r="B256" i="6" s="1"/>
  <c r="AL255" i="6"/>
  <c r="AK255" i="6"/>
  <c r="AJ255" i="6"/>
  <c r="AI255" i="6"/>
  <c r="AG255" i="6"/>
  <c r="AH255" i="6" s="1"/>
  <c r="W255" i="6"/>
  <c r="E255" i="7" s="1"/>
  <c r="Q255" i="6"/>
  <c r="P255" i="6"/>
  <c r="O255" i="6"/>
  <c r="AM255" i="6" s="1"/>
  <c r="N255" i="6"/>
  <c r="M255" i="6"/>
  <c r="L255" i="6"/>
  <c r="K255" i="6"/>
  <c r="J255" i="6"/>
  <c r="I255" i="6"/>
  <c r="H255" i="6"/>
  <c r="G255" i="6"/>
  <c r="F255" i="6"/>
  <c r="E255" i="6"/>
  <c r="B255" i="7" s="1"/>
  <c r="D255" i="6"/>
  <c r="B255" i="6" s="1"/>
  <c r="C255" i="6"/>
  <c r="C255" i="7" s="1"/>
  <c r="AM254" i="6"/>
  <c r="AL254" i="6"/>
  <c r="AK254" i="6"/>
  <c r="AH254" i="6"/>
  <c r="S254" i="6"/>
  <c r="Q254" i="6"/>
  <c r="P254" i="6"/>
  <c r="O254" i="6"/>
  <c r="N254" i="6"/>
  <c r="M254" i="6"/>
  <c r="L254" i="6"/>
  <c r="K254" i="6"/>
  <c r="J254" i="6"/>
  <c r="I254" i="6"/>
  <c r="AJ254" i="6" s="1"/>
  <c r="H254" i="6"/>
  <c r="AI254" i="6" s="1"/>
  <c r="G254" i="6"/>
  <c r="F254" i="6"/>
  <c r="AG254" i="6" s="1"/>
  <c r="E254" i="6"/>
  <c r="D254" i="6"/>
  <c r="B254" i="6"/>
  <c r="AK253" i="6"/>
  <c r="AJ253" i="6"/>
  <c r="W253" i="6"/>
  <c r="E253" i="7" s="1"/>
  <c r="V253" i="6"/>
  <c r="T253" i="6"/>
  <c r="R253" i="6"/>
  <c r="D253" i="7" s="1"/>
  <c r="Q253" i="6"/>
  <c r="P253" i="6"/>
  <c r="O253" i="6"/>
  <c r="AM253" i="6" s="1"/>
  <c r="N253" i="6"/>
  <c r="AL253" i="6" s="1"/>
  <c r="M253" i="6"/>
  <c r="L253" i="6"/>
  <c r="K253" i="6"/>
  <c r="J253" i="6"/>
  <c r="I253" i="6"/>
  <c r="H253" i="6"/>
  <c r="AI253" i="6" s="1"/>
  <c r="G253" i="6"/>
  <c r="F253" i="6"/>
  <c r="AG253" i="6" s="1"/>
  <c r="AH253" i="6" s="1"/>
  <c r="E253" i="6"/>
  <c r="D253" i="6"/>
  <c r="C253" i="6"/>
  <c r="C253" i="7" s="1"/>
  <c r="B253" i="6"/>
  <c r="AM252" i="6"/>
  <c r="AH252" i="6"/>
  <c r="AF252" i="6"/>
  <c r="W252" i="6"/>
  <c r="E252" i="7" s="1"/>
  <c r="V252" i="6"/>
  <c r="U252" i="6"/>
  <c r="S252" i="6"/>
  <c r="Q252" i="6"/>
  <c r="P252" i="6"/>
  <c r="O252" i="6"/>
  <c r="N252" i="6"/>
  <c r="AL252" i="6" s="1"/>
  <c r="M252" i="6"/>
  <c r="L252" i="6"/>
  <c r="K252" i="6"/>
  <c r="J252" i="6"/>
  <c r="AK252" i="6" s="1"/>
  <c r="I252" i="6"/>
  <c r="AJ252" i="6" s="1"/>
  <c r="H252" i="6"/>
  <c r="AI252" i="6" s="1"/>
  <c r="G252" i="6"/>
  <c r="F252" i="6"/>
  <c r="AG252" i="6" s="1"/>
  <c r="E252" i="6"/>
  <c r="B252" i="7" s="1"/>
  <c r="D252" i="6"/>
  <c r="B252" i="6" s="1"/>
  <c r="AL251" i="6"/>
  <c r="AK251" i="6"/>
  <c r="AJ251" i="6"/>
  <c r="AI251" i="6"/>
  <c r="AG251" i="6"/>
  <c r="AH251" i="6" s="1"/>
  <c r="W251" i="6"/>
  <c r="E251" i="7" s="1"/>
  <c r="Q251" i="6"/>
  <c r="P251" i="6"/>
  <c r="O251" i="6"/>
  <c r="AM251" i="6" s="1"/>
  <c r="N251" i="6"/>
  <c r="M251" i="6"/>
  <c r="L251" i="6"/>
  <c r="K251" i="6"/>
  <c r="J251" i="6"/>
  <c r="I251" i="6"/>
  <c r="H251" i="6"/>
  <c r="G251" i="6"/>
  <c r="F251" i="6"/>
  <c r="E251" i="6"/>
  <c r="B251" i="7" s="1"/>
  <c r="D251" i="6"/>
  <c r="B251" i="6" s="1"/>
  <c r="C251" i="6"/>
  <c r="C251" i="7" s="1"/>
  <c r="AM250" i="6"/>
  <c r="AL250" i="6"/>
  <c r="AK250" i="6"/>
  <c r="AH250" i="6"/>
  <c r="S250" i="6"/>
  <c r="Q250" i="6"/>
  <c r="P250" i="6"/>
  <c r="O250" i="6"/>
  <c r="N250" i="6"/>
  <c r="M250" i="6"/>
  <c r="L250" i="6"/>
  <c r="K250" i="6"/>
  <c r="J250" i="6"/>
  <c r="I250" i="6"/>
  <c r="AJ250" i="6" s="1"/>
  <c r="H250" i="6"/>
  <c r="AI250" i="6" s="1"/>
  <c r="G250" i="6"/>
  <c r="F250" i="6"/>
  <c r="AG250" i="6" s="1"/>
  <c r="E250" i="6"/>
  <c r="D250" i="6"/>
  <c r="B250" i="6"/>
  <c r="AL249" i="6"/>
  <c r="AJ249" i="6"/>
  <c r="AG249" i="6"/>
  <c r="AH249" i="6" s="1"/>
  <c r="AF249" i="6"/>
  <c r="W249" i="6"/>
  <c r="E249" i="7" s="1"/>
  <c r="V249" i="6"/>
  <c r="T249" i="6"/>
  <c r="S249" i="6"/>
  <c r="Q249" i="6"/>
  <c r="P249" i="6"/>
  <c r="O249" i="6"/>
  <c r="AM249" i="6" s="1"/>
  <c r="N249" i="6"/>
  <c r="M249" i="6"/>
  <c r="L249" i="6"/>
  <c r="K249" i="6"/>
  <c r="J249" i="6"/>
  <c r="AK249" i="6" s="1"/>
  <c r="I249" i="6"/>
  <c r="H249" i="6"/>
  <c r="AI249" i="6" s="1"/>
  <c r="G249" i="6"/>
  <c r="F249" i="6"/>
  <c r="E249" i="6"/>
  <c r="B249" i="7" s="1"/>
  <c r="D249" i="6"/>
  <c r="C249" i="6" s="1"/>
  <c r="C249" i="7" s="1"/>
  <c r="B249" i="6"/>
  <c r="AM248" i="6"/>
  <c r="AJ248" i="6"/>
  <c r="AH248" i="6"/>
  <c r="AG248" i="6"/>
  <c r="AF248" i="6"/>
  <c r="Q248" i="6"/>
  <c r="P248" i="6"/>
  <c r="O248" i="6"/>
  <c r="N248" i="6"/>
  <c r="AL248" i="6" s="1"/>
  <c r="M248" i="6"/>
  <c r="L248" i="6"/>
  <c r="K248" i="6"/>
  <c r="J248" i="6"/>
  <c r="AK248" i="6" s="1"/>
  <c r="I248" i="6"/>
  <c r="H248" i="6"/>
  <c r="AI248" i="6" s="1"/>
  <c r="G248" i="6"/>
  <c r="F248" i="6"/>
  <c r="E248" i="6"/>
  <c r="B248" i="7" s="1"/>
  <c r="D248" i="6"/>
  <c r="AM247" i="6"/>
  <c r="AK247" i="6"/>
  <c r="AJ247" i="6"/>
  <c r="T247" i="6"/>
  <c r="R247" i="6"/>
  <c r="D247" i="7" s="1"/>
  <c r="Q247" i="6"/>
  <c r="P247" i="6"/>
  <c r="O247" i="6"/>
  <c r="N247" i="6"/>
  <c r="AL247" i="6" s="1"/>
  <c r="M247" i="6"/>
  <c r="L247" i="6"/>
  <c r="K247" i="6"/>
  <c r="J247" i="6"/>
  <c r="I247" i="6"/>
  <c r="H247" i="6"/>
  <c r="AI247" i="6" s="1"/>
  <c r="G247" i="6"/>
  <c r="F247" i="6"/>
  <c r="AG247" i="6" s="1"/>
  <c r="AH247" i="6" s="1"/>
  <c r="E247" i="6"/>
  <c r="B247" i="7" s="1"/>
  <c r="D247" i="6"/>
  <c r="B247" i="6"/>
  <c r="AM246" i="6"/>
  <c r="AG246" i="6"/>
  <c r="AH246" i="6" s="1"/>
  <c r="AF246" i="6"/>
  <c r="W246" i="6"/>
  <c r="E246" i="7" s="1"/>
  <c r="V246" i="6"/>
  <c r="U246" i="6"/>
  <c r="S246" i="6"/>
  <c r="Q246" i="6"/>
  <c r="P246" i="6"/>
  <c r="O246" i="6"/>
  <c r="N246" i="6"/>
  <c r="AL246" i="6" s="1"/>
  <c r="M246" i="6"/>
  <c r="L246" i="6"/>
  <c r="K246" i="6"/>
  <c r="J246" i="6"/>
  <c r="AK246" i="6" s="1"/>
  <c r="I246" i="6"/>
  <c r="AJ246" i="6" s="1"/>
  <c r="H246" i="6"/>
  <c r="AI246" i="6" s="1"/>
  <c r="G246" i="6"/>
  <c r="F246" i="6"/>
  <c r="E246" i="6"/>
  <c r="B246" i="7" s="1"/>
  <c r="D246" i="6"/>
  <c r="B246" i="6" s="1"/>
  <c r="AL245" i="6"/>
  <c r="AK245" i="6"/>
  <c r="AJ245" i="6"/>
  <c r="AI245" i="6"/>
  <c r="AH245" i="6"/>
  <c r="AF245" i="6"/>
  <c r="R245" i="6"/>
  <c r="D245" i="7" s="1"/>
  <c r="Q245" i="6"/>
  <c r="P245" i="6"/>
  <c r="O245" i="6"/>
  <c r="AM245" i="6" s="1"/>
  <c r="N245" i="6"/>
  <c r="M245" i="6"/>
  <c r="L245" i="6"/>
  <c r="K245" i="6"/>
  <c r="J245" i="6"/>
  <c r="I245" i="6"/>
  <c r="H245" i="6"/>
  <c r="G245" i="6"/>
  <c r="F245" i="6"/>
  <c r="AG245" i="6" s="1"/>
  <c r="E245" i="6"/>
  <c r="B245" i="7" s="1"/>
  <c r="D245" i="6"/>
  <c r="C245" i="6"/>
  <c r="C245" i="7" s="1"/>
  <c r="B245" i="6"/>
  <c r="AM244" i="6"/>
  <c r="AF244" i="6"/>
  <c r="V244" i="6"/>
  <c r="T244" i="6"/>
  <c r="R244" i="6"/>
  <c r="D244" i="7" s="1"/>
  <c r="Q244" i="6"/>
  <c r="P244" i="6"/>
  <c r="O244" i="6"/>
  <c r="N244" i="6"/>
  <c r="AL244" i="6" s="1"/>
  <c r="M244" i="6"/>
  <c r="L244" i="6"/>
  <c r="K244" i="6"/>
  <c r="J244" i="6"/>
  <c r="AK244" i="6" s="1"/>
  <c r="I244" i="6"/>
  <c r="AJ244" i="6" s="1"/>
  <c r="H244" i="6"/>
  <c r="AI244" i="6" s="1"/>
  <c r="G244" i="6"/>
  <c r="F244" i="6"/>
  <c r="AG244" i="6" s="1"/>
  <c r="AH244" i="6" s="1"/>
  <c r="E244" i="6"/>
  <c r="B244" i="7" s="1"/>
  <c r="D244" i="6"/>
  <c r="AJ243" i="6"/>
  <c r="AG243" i="6"/>
  <c r="AH243" i="6" s="1"/>
  <c r="AF243" i="6"/>
  <c r="W243" i="6"/>
  <c r="E243" i="7" s="1"/>
  <c r="T243" i="6"/>
  <c r="S243" i="6"/>
  <c r="R243" i="6"/>
  <c r="D243" i="7" s="1"/>
  <c r="Q243" i="6"/>
  <c r="P243" i="6"/>
  <c r="O243" i="6"/>
  <c r="AM243" i="6" s="1"/>
  <c r="N243" i="6"/>
  <c r="AL243" i="6" s="1"/>
  <c r="M243" i="6"/>
  <c r="L243" i="6"/>
  <c r="K243" i="6"/>
  <c r="J243" i="6"/>
  <c r="AK243" i="6" s="1"/>
  <c r="I243" i="6"/>
  <c r="H243" i="6"/>
  <c r="AI243" i="6" s="1"/>
  <c r="G243" i="6"/>
  <c r="F243" i="6"/>
  <c r="E243" i="6"/>
  <c r="B243" i="7" s="1"/>
  <c r="D243" i="6"/>
  <c r="C243" i="6"/>
  <c r="C243" i="7" s="1"/>
  <c r="B243" i="6"/>
  <c r="AM242" i="6"/>
  <c r="AL242" i="6"/>
  <c r="AK242" i="6"/>
  <c r="AJ242" i="6"/>
  <c r="AG242" i="6"/>
  <c r="AH242" i="6" s="1"/>
  <c r="S242" i="6"/>
  <c r="Q242" i="6"/>
  <c r="P242" i="6"/>
  <c r="O242" i="6"/>
  <c r="N242" i="6"/>
  <c r="M242" i="6"/>
  <c r="L242" i="6"/>
  <c r="K242" i="6"/>
  <c r="J242" i="6"/>
  <c r="I242" i="6"/>
  <c r="H242" i="6"/>
  <c r="AI242" i="6" s="1"/>
  <c r="G242" i="6"/>
  <c r="F242" i="6"/>
  <c r="E242" i="6"/>
  <c r="D242" i="6"/>
  <c r="B242" i="6"/>
  <c r="AL241" i="6"/>
  <c r="AJ241" i="6"/>
  <c r="AG241" i="6"/>
  <c r="AH241" i="6" s="1"/>
  <c r="W241" i="6"/>
  <c r="E241" i="7" s="1"/>
  <c r="V241" i="6"/>
  <c r="T241" i="6"/>
  <c r="S241" i="6"/>
  <c r="Q241" i="6"/>
  <c r="P241" i="6"/>
  <c r="O241" i="6"/>
  <c r="AM241" i="6" s="1"/>
  <c r="N241" i="6"/>
  <c r="M241" i="6"/>
  <c r="L241" i="6"/>
  <c r="K241" i="6"/>
  <c r="J241" i="6"/>
  <c r="AK241" i="6" s="1"/>
  <c r="I241" i="6"/>
  <c r="H241" i="6"/>
  <c r="AI241" i="6" s="1"/>
  <c r="G241" i="6"/>
  <c r="F241" i="6"/>
  <c r="E241" i="6"/>
  <c r="B241" i="7" s="1"/>
  <c r="D241" i="6"/>
  <c r="C241" i="6"/>
  <c r="C241" i="7" s="1"/>
  <c r="B241" i="6"/>
  <c r="AM240" i="6"/>
  <c r="AK240" i="6"/>
  <c r="AJ240" i="6"/>
  <c r="AH240" i="6"/>
  <c r="AG240" i="6"/>
  <c r="AF240" i="6"/>
  <c r="V240" i="6"/>
  <c r="Q240" i="6"/>
  <c r="P240" i="6"/>
  <c r="O240" i="6"/>
  <c r="N240" i="6"/>
  <c r="AL240" i="6" s="1"/>
  <c r="M240" i="6"/>
  <c r="L240" i="6"/>
  <c r="K240" i="6"/>
  <c r="J240" i="6"/>
  <c r="I240" i="6"/>
  <c r="H240" i="6"/>
  <c r="AI240" i="6" s="1"/>
  <c r="G240" i="6"/>
  <c r="F240" i="6"/>
  <c r="E240" i="6"/>
  <c r="B240" i="7" s="1"/>
  <c r="D240" i="6"/>
  <c r="AM239" i="6"/>
  <c r="AK239" i="6"/>
  <c r="AJ239" i="6"/>
  <c r="T239" i="6"/>
  <c r="R239" i="6"/>
  <c r="D239" i="7" s="1"/>
  <c r="Q239" i="6"/>
  <c r="P239" i="6"/>
  <c r="O239" i="6"/>
  <c r="N239" i="6"/>
  <c r="AL239" i="6" s="1"/>
  <c r="M239" i="6"/>
  <c r="L239" i="6"/>
  <c r="K239" i="6"/>
  <c r="J239" i="6"/>
  <c r="I239" i="6"/>
  <c r="H239" i="6"/>
  <c r="AI239" i="6" s="1"/>
  <c r="G239" i="6"/>
  <c r="F239" i="6"/>
  <c r="AG239" i="6" s="1"/>
  <c r="AH239" i="6" s="1"/>
  <c r="E239" i="6"/>
  <c r="B239" i="7" s="1"/>
  <c r="D239" i="6"/>
  <c r="B239" i="6"/>
  <c r="AM238" i="6"/>
  <c r="AG238" i="6"/>
  <c r="AH238" i="6" s="1"/>
  <c r="AF238" i="6"/>
  <c r="W238" i="6"/>
  <c r="E238" i="7" s="1"/>
  <c r="V238" i="6"/>
  <c r="U238" i="6"/>
  <c r="S238" i="6"/>
  <c r="Q238" i="6"/>
  <c r="P238" i="6"/>
  <c r="O238" i="6"/>
  <c r="N238" i="6"/>
  <c r="AL238" i="6" s="1"/>
  <c r="M238" i="6"/>
  <c r="L238" i="6"/>
  <c r="K238" i="6"/>
  <c r="J238" i="6"/>
  <c r="AK238" i="6" s="1"/>
  <c r="I238" i="6"/>
  <c r="AJ238" i="6" s="1"/>
  <c r="H238" i="6"/>
  <c r="AI238" i="6" s="1"/>
  <c r="G238" i="6"/>
  <c r="F238" i="6"/>
  <c r="E238" i="6"/>
  <c r="B238" i="7" s="1"/>
  <c r="D238" i="6"/>
  <c r="B238" i="6" s="1"/>
  <c r="AL237" i="6"/>
  <c r="AK237" i="6"/>
  <c r="AJ237" i="6"/>
  <c r="AI237" i="6"/>
  <c r="AH237" i="6"/>
  <c r="R237" i="6"/>
  <c r="D237" i="7" s="1"/>
  <c r="Q237" i="6"/>
  <c r="P237" i="6"/>
  <c r="O237" i="6"/>
  <c r="AM237" i="6" s="1"/>
  <c r="N237" i="6"/>
  <c r="M237" i="6"/>
  <c r="L237" i="6"/>
  <c r="K237" i="6"/>
  <c r="J237" i="6"/>
  <c r="I237" i="6"/>
  <c r="H237" i="6"/>
  <c r="G237" i="6"/>
  <c r="F237" i="6"/>
  <c r="AG237" i="6" s="1"/>
  <c r="E237" i="6"/>
  <c r="B237" i="7" s="1"/>
  <c r="D237" i="6"/>
  <c r="C237" i="6"/>
  <c r="C237" i="7" s="1"/>
  <c r="B237" i="6"/>
  <c r="AM236" i="6"/>
  <c r="AF236" i="6"/>
  <c r="T236" i="6"/>
  <c r="R236" i="6"/>
  <c r="D236" i="7" s="1"/>
  <c r="Q236" i="6"/>
  <c r="P236" i="6"/>
  <c r="O236" i="6"/>
  <c r="N236" i="6"/>
  <c r="AL236" i="6" s="1"/>
  <c r="M236" i="6"/>
  <c r="L236" i="6"/>
  <c r="K236" i="6"/>
  <c r="J236" i="6"/>
  <c r="AK236" i="6" s="1"/>
  <c r="I236" i="6"/>
  <c r="AJ236" i="6" s="1"/>
  <c r="H236" i="6"/>
  <c r="AI236" i="6" s="1"/>
  <c r="G236" i="6"/>
  <c r="F236" i="6"/>
  <c r="AG236" i="6" s="1"/>
  <c r="AH236" i="6" s="1"/>
  <c r="E236" i="6"/>
  <c r="B236" i="7" s="1"/>
  <c r="D236" i="6"/>
  <c r="AJ235" i="6"/>
  <c r="AI235" i="6"/>
  <c r="AG235" i="6"/>
  <c r="AH235" i="6" s="1"/>
  <c r="AF235" i="6"/>
  <c r="W235" i="6"/>
  <c r="E235" i="7" s="1"/>
  <c r="T235" i="6"/>
  <c r="S235" i="6"/>
  <c r="R235" i="6"/>
  <c r="D235" i="7" s="1"/>
  <c r="Q235" i="6"/>
  <c r="P235" i="6"/>
  <c r="O235" i="6"/>
  <c r="AM235" i="6" s="1"/>
  <c r="N235" i="6"/>
  <c r="AL235" i="6" s="1"/>
  <c r="M235" i="6"/>
  <c r="L235" i="6"/>
  <c r="K235" i="6"/>
  <c r="J235" i="6"/>
  <c r="AK235" i="6" s="1"/>
  <c r="I235" i="6"/>
  <c r="H235" i="6"/>
  <c r="G235" i="6"/>
  <c r="F235" i="6"/>
  <c r="E235" i="6"/>
  <c r="B235" i="7" s="1"/>
  <c r="D235" i="6"/>
  <c r="C235" i="6"/>
  <c r="C235" i="7" s="1"/>
  <c r="B235" i="6"/>
  <c r="AM234" i="6"/>
  <c r="AL234" i="6"/>
  <c r="AK234" i="6"/>
  <c r="AJ234" i="6"/>
  <c r="AG234" i="6"/>
  <c r="AH234" i="6" s="1"/>
  <c r="S234" i="6"/>
  <c r="Q234" i="6"/>
  <c r="P234" i="6"/>
  <c r="O234" i="6"/>
  <c r="N234" i="6"/>
  <c r="M234" i="6"/>
  <c r="L234" i="6"/>
  <c r="K234" i="6"/>
  <c r="J234" i="6"/>
  <c r="I234" i="6"/>
  <c r="H234" i="6"/>
  <c r="AI234" i="6" s="1"/>
  <c r="G234" i="6"/>
  <c r="F234" i="6"/>
  <c r="E234" i="6"/>
  <c r="D234" i="6"/>
  <c r="B234" i="6"/>
  <c r="AL233" i="6"/>
  <c r="AJ233" i="6"/>
  <c r="AG233" i="6"/>
  <c r="AH233" i="6" s="1"/>
  <c r="AF233" i="6"/>
  <c r="W233" i="6"/>
  <c r="E233" i="7" s="1"/>
  <c r="V233" i="6"/>
  <c r="T233" i="6"/>
  <c r="S233" i="6"/>
  <c r="Q233" i="6"/>
  <c r="P233" i="6"/>
  <c r="O233" i="6"/>
  <c r="AM233" i="6" s="1"/>
  <c r="N233" i="6"/>
  <c r="M233" i="6"/>
  <c r="L233" i="6"/>
  <c r="K233" i="6"/>
  <c r="J233" i="6"/>
  <c r="AK233" i="6" s="1"/>
  <c r="I233" i="6"/>
  <c r="H233" i="6"/>
  <c r="AI233" i="6" s="1"/>
  <c r="G233" i="6"/>
  <c r="F233" i="6"/>
  <c r="E233" i="6"/>
  <c r="B233" i="7" s="1"/>
  <c r="D233" i="6"/>
  <c r="C233" i="6"/>
  <c r="C233" i="7" s="1"/>
  <c r="B233" i="6"/>
  <c r="AM232" i="6"/>
  <c r="AJ232" i="6"/>
  <c r="AH232" i="6"/>
  <c r="AG232" i="6"/>
  <c r="AF232" i="6"/>
  <c r="V232" i="6"/>
  <c r="Q232" i="6"/>
  <c r="P232" i="6"/>
  <c r="O232" i="6"/>
  <c r="N232" i="6"/>
  <c r="AL232" i="6" s="1"/>
  <c r="M232" i="6"/>
  <c r="L232" i="6"/>
  <c r="K232" i="6"/>
  <c r="J232" i="6"/>
  <c r="AK232" i="6" s="1"/>
  <c r="I232" i="6"/>
  <c r="H232" i="6"/>
  <c r="AI232" i="6" s="1"/>
  <c r="G232" i="6"/>
  <c r="F232" i="6"/>
  <c r="E232" i="6"/>
  <c r="B232" i="7" s="1"/>
  <c r="D232" i="6"/>
  <c r="AM231" i="6"/>
  <c r="AK231" i="6"/>
  <c r="AJ231" i="6"/>
  <c r="T231" i="6"/>
  <c r="R231" i="6"/>
  <c r="D231" i="7" s="1"/>
  <c r="Q231" i="6"/>
  <c r="P231" i="6"/>
  <c r="O231" i="6"/>
  <c r="N231" i="6"/>
  <c r="AL231" i="6" s="1"/>
  <c r="M231" i="6"/>
  <c r="L231" i="6"/>
  <c r="K231" i="6"/>
  <c r="J231" i="6"/>
  <c r="I231" i="6"/>
  <c r="H231" i="6"/>
  <c r="AI231" i="6" s="1"/>
  <c r="G231" i="6"/>
  <c r="F231" i="6"/>
  <c r="AG231" i="6" s="1"/>
  <c r="AH231" i="6" s="1"/>
  <c r="E231" i="6"/>
  <c r="B231" i="7" s="1"/>
  <c r="D231" i="6"/>
  <c r="B231" i="6"/>
  <c r="AM230" i="6"/>
  <c r="AG230" i="6"/>
  <c r="AH230" i="6" s="1"/>
  <c r="AF230" i="6"/>
  <c r="W230" i="6"/>
  <c r="E230" i="7" s="1"/>
  <c r="V230" i="6"/>
  <c r="U230" i="6"/>
  <c r="S230" i="6"/>
  <c r="Q230" i="6"/>
  <c r="P230" i="6"/>
  <c r="O230" i="6"/>
  <c r="N230" i="6"/>
  <c r="AL230" i="6" s="1"/>
  <c r="M230" i="6"/>
  <c r="L230" i="6"/>
  <c r="K230" i="6"/>
  <c r="J230" i="6"/>
  <c r="AK230" i="6" s="1"/>
  <c r="I230" i="6"/>
  <c r="AJ230" i="6" s="1"/>
  <c r="H230" i="6"/>
  <c r="AI230" i="6" s="1"/>
  <c r="G230" i="6"/>
  <c r="F230" i="6"/>
  <c r="E230" i="6"/>
  <c r="B230" i="7" s="1"/>
  <c r="D230" i="6"/>
  <c r="B230" i="6" s="1"/>
  <c r="AL229" i="6"/>
  <c r="AK229" i="6"/>
  <c r="AJ229" i="6"/>
  <c r="AI229" i="6"/>
  <c r="AH229" i="6"/>
  <c r="R229" i="6"/>
  <c r="D229" i="7" s="1"/>
  <c r="Q229" i="6"/>
  <c r="P229" i="6"/>
  <c r="O229" i="6"/>
  <c r="AM229" i="6" s="1"/>
  <c r="N229" i="6"/>
  <c r="M229" i="6"/>
  <c r="L229" i="6"/>
  <c r="K229" i="6"/>
  <c r="J229" i="6"/>
  <c r="I229" i="6"/>
  <c r="H229" i="6"/>
  <c r="G229" i="6"/>
  <c r="F229" i="6"/>
  <c r="AG229" i="6" s="1"/>
  <c r="E229" i="6"/>
  <c r="B229" i="7" s="1"/>
  <c r="D229" i="6"/>
  <c r="C229" i="6"/>
  <c r="C229" i="7" s="1"/>
  <c r="B229" i="6"/>
  <c r="AM228" i="6"/>
  <c r="AF228" i="6"/>
  <c r="V228" i="6"/>
  <c r="T228" i="6"/>
  <c r="R228" i="6"/>
  <c r="D228" i="7" s="1"/>
  <c r="Q228" i="6"/>
  <c r="P228" i="6"/>
  <c r="O228" i="6"/>
  <c r="N228" i="6"/>
  <c r="AL228" i="6" s="1"/>
  <c r="M228" i="6"/>
  <c r="L228" i="6"/>
  <c r="K228" i="6"/>
  <c r="J228" i="6"/>
  <c r="AK228" i="6" s="1"/>
  <c r="I228" i="6"/>
  <c r="AJ228" i="6" s="1"/>
  <c r="H228" i="6"/>
  <c r="AI228" i="6" s="1"/>
  <c r="G228" i="6"/>
  <c r="F228" i="6"/>
  <c r="AG228" i="6" s="1"/>
  <c r="AH228" i="6" s="1"/>
  <c r="E228" i="6"/>
  <c r="B228" i="7" s="1"/>
  <c r="D228" i="6"/>
  <c r="AJ227" i="6"/>
  <c r="AI227" i="6"/>
  <c r="AH227" i="6"/>
  <c r="AG227" i="6"/>
  <c r="AF227" i="6"/>
  <c r="Q227" i="6"/>
  <c r="P227" i="6"/>
  <c r="O227" i="6"/>
  <c r="AM227" i="6" s="1"/>
  <c r="N227" i="6"/>
  <c r="AL227" i="6" s="1"/>
  <c r="M227" i="6"/>
  <c r="L227" i="6"/>
  <c r="K227" i="6"/>
  <c r="J227" i="6"/>
  <c r="AK227" i="6" s="1"/>
  <c r="I227" i="6"/>
  <c r="H227" i="6"/>
  <c r="G227" i="6"/>
  <c r="F227" i="6"/>
  <c r="E227" i="6"/>
  <c r="B227" i="7" s="1"/>
  <c r="D227" i="6"/>
  <c r="B227" i="6"/>
  <c r="AM226" i="6"/>
  <c r="AL226" i="6"/>
  <c r="AJ226" i="6"/>
  <c r="AF226" i="6"/>
  <c r="V226" i="6"/>
  <c r="T226" i="6"/>
  <c r="Q226" i="6"/>
  <c r="P226" i="6"/>
  <c r="O226" i="6"/>
  <c r="N226" i="6"/>
  <c r="M226" i="6"/>
  <c r="L226" i="6"/>
  <c r="K226" i="6"/>
  <c r="J226" i="6"/>
  <c r="AK226" i="6" s="1"/>
  <c r="I226" i="6"/>
  <c r="H226" i="6"/>
  <c r="AI226" i="6" s="1"/>
  <c r="G226" i="6"/>
  <c r="F226" i="6"/>
  <c r="AG226" i="6" s="1"/>
  <c r="AH226" i="6" s="1"/>
  <c r="E226" i="6"/>
  <c r="B226" i="7" s="1"/>
  <c r="D226" i="6"/>
  <c r="AJ225" i="6"/>
  <c r="AI225" i="6"/>
  <c r="AH225" i="6"/>
  <c r="AG225" i="6"/>
  <c r="AF225" i="6"/>
  <c r="Q225" i="6"/>
  <c r="P225" i="6"/>
  <c r="O225" i="6"/>
  <c r="AM225" i="6" s="1"/>
  <c r="N225" i="6"/>
  <c r="AL225" i="6" s="1"/>
  <c r="M225" i="6"/>
  <c r="L225" i="6"/>
  <c r="K225" i="6"/>
  <c r="J225" i="6"/>
  <c r="AK225" i="6" s="1"/>
  <c r="I225" i="6"/>
  <c r="H225" i="6"/>
  <c r="G225" i="6"/>
  <c r="F225" i="6"/>
  <c r="E225" i="6"/>
  <c r="B225" i="7" s="1"/>
  <c r="D225" i="6"/>
  <c r="B225" i="6"/>
  <c r="AM224" i="6"/>
  <c r="AL224" i="6"/>
  <c r="AJ224" i="6"/>
  <c r="AF224" i="6"/>
  <c r="V224" i="6"/>
  <c r="T224" i="6"/>
  <c r="R224" i="6"/>
  <c r="D224" i="7" s="1"/>
  <c r="Q224" i="6"/>
  <c r="P224" i="6"/>
  <c r="O224" i="6"/>
  <c r="N224" i="6"/>
  <c r="M224" i="6"/>
  <c r="L224" i="6"/>
  <c r="K224" i="6"/>
  <c r="J224" i="6"/>
  <c r="AK224" i="6" s="1"/>
  <c r="I224" i="6"/>
  <c r="H224" i="6"/>
  <c r="AI224" i="6" s="1"/>
  <c r="G224" i="6"/>
  <c r="F224" i="6"/>
  <c r="AG224" i="6" s="1"/>
  <c r="AH224" i="6" s="1"/>
  <c r="E224" i="6"/>
  <c r="B224" i="7" s="1"/>
  <c r="D224" i="6"/>
  <c r="AJ223" i="6"/>
  <c r="AI223" i="6"/>
  <c r="AH223" i="6"/>
  <c r="AG223" i="6"/>
  <c r="AF223" i="6"/>
  <c r="Q223" i="6"/>
  <c r="P223" i="6"/>
  <c r="O223" i="6"/>
  <c r="AM223" i="6" s="1"/>
  <c r="N223" i="6"/>
  <c r="AL223" i="6" s="1"/>
  <c r="M223" i="6"/>
  <c r="L223" i="6"/>
  <c r="K223" i="6"/>
  <c r="J223" i="6"/>
  <c r="AK223" i="6" s="1"/>
  <c r="I223" i="6"/>
  <c r="H223" i="6"/>
  <c r="G223" i="6"/>
  <c r="F223" i="6"/>
  <c r="E223" i="6"/>
  <c r="B223" i="7" s="1"/>
  <c r="D223" i="6"/>
  <c r="B223" i="6"/>
  <c r="AM222" i="6"/>
  <c r="AL222" i="6"/>
  <c r="AJ222" i="6"/>
  <c r="AF222" i="6"/>
  <c r="V222" i="6"/>
  <c r="T222" i="6"/>
  <c r="Q222" i="6"/>
  <c r="P222" i="6"/>
  <c r="O222" i="6"/>
  <c r="N222" i="6"/>
  <c r="M222" i="6"/>
  <c r="L222" i="6"/>
  <c r="K222" i="6"/>
  <c r="J222" i="6"/>
  <c r="AK222" i="6" s="1"/>
  <c r="I222" i="6"/>
  <c r="H222" i="6"/>
  <c r="AI222" i="6" s="1"/>
  <c r="G222" i="6"/>
  <c r="F222" i="6"/>
  <c r="AG222" i="6" s="1"/>
  <c r="AH222" i="6" s="1"/>
  <c r="E222" i="6"/>
  <c r="B222" i="7" s="1"/>
  <c r="D222" i="6"/>
  <c r="AJ221" i="6"/>
  <c r="AI221" i="6"/>
  <c r="AH221" i="6"/>
  <c r="AG221" i="6"/>
  <c r="AF221" i="6"/>
  <c r="Q221" i="6"/>
  <c r="P221" i="6"/>
  <c r="O221" i="6"/>
  <c r="AM221" i="6" s="1"/>
  <c r="N221" i="6"/>
  <c r="AL221" i="6" s="1"/>
  <c r="M221" i="6"/>
  <c r="L221" i="6"/>
  <c r="K221" i="6"/>
  <c r="J221" i="6"/>
  <c r="AK221" i="6" s="1"/>
  <c r="I221" i="6"/>
  <c r="H221" i="6"/>
  <c r="G221" i="6"/>
  <c r="F221" i="6"/>
  <c r="E221" i="6"/>
  <c r="B221" i="7" s="1"/>
  <c r="D221" i="6"/>
  <c r="B221" i="6"/>
  <c r="AM220" i="6"/>
  <c r="AL220" i="6"/>
  <c r="AJ220" i="6"/>
  <c r="AF220" i="6"/>
  <c r="V220" i="6"/>
  <c r="T220" i="6"/>
  <c r="R220" i="6"/>
  <c r="D220" i="7" s="1"/>
  <c r="Q220" i="6"/>
  <c r="P220" i="6"/>
  <c r="O220" i="6"/>
  <c r="N220" i="6"/>
  <c r="M220" i="6"/>
  <c r="L220" i="6"/>
  <c r="K220" i="6"/>
  <c r="J220" i="6"/>
  <c r="AK220" i="6" s="1"/>
  <c r="I220" i="6"/>
  <c r="H220" i="6"/>
  <c r="AI220" i="6" s="1"/>
  <c r="G220" i="6"/>
  <c r="F220" i="6"/>
  <c r="AG220" i="6" s="1"/>
  <c r="AH220" i="6" s="1"/>
  <c r="E220" i="6"/>
  <c r="B220" i="7" s="1"/>
  <c r="D220" i="6"/>
  <c r="AJ219" i="6"/>
  <c r="AI219" i="6"/>
  <c r="AH219" i="6"/>
  <c r="AG219" i="6"/>
  <c r="AF219" i="6"/>
  <c r="Q219" i="6"/>
  <c r="P219" i="6"/>
  <c r="O219" i="6"/>
  <c r="AM219" i="6" s="1"/>
  <c r="N219" i="6"/>
  <c r="AL219" i="6" s="1"/>
  <c r="M219" i="6"/>
  <c r="L219" i="6"/>
  <c r="K219" i="6"/>
  <c r="J219" i="6"/>
  <c r="AK219" i="6" s="1"/>
  <c r="I219" i="6"/>
  <c r="H219" i="6"/>
  <c r="G219" i="6"/>
  <c r="F219" i="6"/>
  <c r="E219" i="6"/>
  <c r="B219" i="7" s="1"/>
  <c r="D219" i="6"/>
  <c r="B219" i="6"/>
  <c r="AM218" i="6"/>
  <c r="AL218" i="6"/>
  <c r="AJ218" i="6"/>
  <c r="AF218" i="6"/>
  <c r="V218" i="6"/>
  <c r="T218" i="6"/>
  <c r="Q218" i="6"/>
  <c r="P218" i="6"/>
  <c r="O218" i="6"/>
  <c r="N218" i="6"/>
  <c r="M218" i="6"/>
  <c r="L218" i="6"/>
  <c r="K218" i="6"/>
  <c r="J218" i="6"/>
  <c r="AK218" i="6" s="1"/>
  <c r="I218" i="6"/>
  <c r="H218" i="6"/>
  <c r="AI218" i="6" s="1"/>
  <c r="G218" i="6"/>
  <c r="F218" i="6"/>
  <c r="AG218" i="6" s="1"/>
  <c r="AH218" i="6" s="1"/>
  <c r="E218" i="6"/>
  <c r="B218" i="7" s="1"/>
  <c r="D218" i="6"/>
  <c r="AJ217" i="6"/>
  <c r="AI217" i="6"/>
  <c r="AH217" i="6"/>
  <c r="AG217" i="6"/>
  <c r="AF217" i="6"/>
  <c r="Q217" i="6"/>
  <c r="P217" i="6"/>
  <c r="O217" i="6"/>
  <c r="AM217" i="6" s="1"/>
  <c r="N217" i="6"/>
  <c r="AL217" i="6" s="1"/>
  <c r="M217" i="6"/>
  <c r="L217" i="6"/>
  <c r="K217" i="6"/>
  <c r="J217" i="6"/>
  <c r="AK217" i="6" s="1"/>
  <c r="I217" i="6"/>
  <c r="H217" i="6"/>
  <c r="G217" i="6"/>
  <c r="F217" i="6"/>
  <c r="E217" i="6"/>
  <c r="B217" i="7" s="1"/>
  <c r="D217" i="6"/>
  <c r="B217" i="6"/>
  <c r="AM216" i="6"/>
  <c r="AL216" i="6"/>
  <c r="AJ216" i="6"/>
  <c r="V216" i="6"/>
  <c r="T216" i="6"/>
  <c r="R216" i="6"/>
  <c r="D216" i="7" s="1"/>
  <c r="Q216" i="6"/>
  <c r="P216" i="6"/>
  <c r="O216" i="6"/>
  <c r="N216" i="6"/>
  <c r="M216" i="6"/>
  <c r="L216" i="6"/>
  <c r="K216" i="6"/>
  <c r="J216" i="6"/>
  <c r="AK216" i="6" s="1"/>
  <c r="I216" i="6"/>
  <c r="H216" i="6"/>
  <c r="AI216" i="6" s="1"/>
  <c r="G216" i="6"/>
  <c r="F216" i="6"/>
  <c r="AG216" i="6" s="1"/>
  <c r="AH216" i="6" s="1"/>
  <c r="E216" i="6"/>
  <c r="B216" i="7" s="1"/>
  <c r="D216" i="6"/>
  <c r="AJ215" i="6"/>
  <c r="AI215" i="6"/>
  <c r="AH215" i="6"/>
  <c r="AG215" i="6"/>
  <c r="AF215" i="6"/>
  <c r="V215" i="6"/>
  <c r="Q215" i="6"/>
  <c r="P215" i="6"/>
  <c r="O215" i="6"/>
  <c r="AM215" i="6" s="1"/>
  <c r="N215" i="6"/>
  <c r="AL215" i="6" s="1"/>
  <c r="M215" i="6"/>
  <c r="L215" i="6"/>
  <c r="K215" i="6"/>
  <c r="J215" i="6"/>
  <c r="AK215" i="6" s="1"/>
  <c r="I215" i="6"/>
  <c r="H215" i="6"/>
  <c r="G215" i="6"/>
  <c r="F215" i="6"/>
  <c r="E215" i="6"/>
  <c r="B215" i="7" s="1"/>
  <c r="D215" i="6"/>
  <c r="B215" i="6"/>
  <c r="AM214" i="6"/>
  <c r="AL214" i="6"/>
  <c r="AJ214" i="6"/>
  <c r="R214" i="6"/>
  <c r="D214" i="7" s="1"/>
  <c r="Q214" i="6"/>
  <c r="P214" i="6"/>
  <c r="O214" i="6"/>
  <c r="N214" i="6"/>
  <c r="M214" i="6"/>
  <c r="L214" i="6"/>
  <c r="K214" i="6"/>
  <c r="J214" i="6"/>
  <c r="AK214" i="6" s="1"/>
  <c r="I214" i="6"/>
  <c r="H214" i="6"/>
  <c r="AI214" i="6" s="1"/>
  <c r="G214" i="6"/>
  <c r="F214" i="6"/>
  <c r="AG214" i="6" s="1"/>
  <c r="AH214" i="6" s="1"/>
  <c r="E214" i="6"/>
  <c r="B214" i="7" s="1"/>
  <c r="D214" i="6"/>
  <c r="AJ213" i="6"/>
  <c r="AI213" i="6"/>
  <c r="AH213" i="6"/>
  <c r="AG213" i="6"/>
  <c r="AF213" i="6"/>
  <c r="V213" i="6"/>
  <c r="Q213" i="6"/>
  <c r="P213" i="6"/>
  <c r="O213" i="6"/>
  <c r="AM213" i="6" s="1"/>
  <c r="N213" i="6"/>
  <c r="AL213" i="6" s="1"/>
  <c r="M213" i="6"/>
  <c r="L213" i="6"/>
  <c r="K213" i="6"/>
  <c r="J213" i="6"/>
  <c r="AK213" i="6" s="1"/>
  <c r="I213" i="6"/>
  <c r="H213" i="6"/>
  <c r="G213" i="6"/>
  <c r="F213" i="6"/>
  <c r="E213" i="6"/>
  <c r="B213" i="7" s="1"/>
  <c r="D213" i="6"/>
  <c r="B213" i="6"/>
  <c r="AM212" i="6"/>
  <c r="AL212" i="6"/>
  <c r="AJ212" i="6"/>
  <c r="Q212" i="6"/>
  <c r="P212" i="6"/>
  <c r="O212" i="6"/>
  <c r="N212" i="6"/>
  <c r="M212" i="6"/>
  <c r="L212" i="6"/>
  <c r="K212" i="6"/>
  <c r="J212" i="6"/>
  <c r="AK212" i="6" s="1"/>
  <c r="I212" i="6"/>
  <c r="H212" i="6"/>
  <c r="AI212" i="6" s="1"/>
  <c r="G212" i="6"/>
  <c r="F212" i="6"/>
  <c r="AG212" i="6" s="1"/>
  <c r="AH212" i="6" s="1"/>
  <c r="E212" i="6"/>
  <c r="B212" i="7" s="1"/>
  <c r="D212" i="6"/>
  <c r="AJ211" i="6"/>
  <c r="AI211" i="6"/>
  <c r="AH211" i="6"/>
  <c r="AG211" i="6"/>
  <c r="AF211" i="6"/>
  <c r="V211" i="6"/>
  <c r="Q211" i="6"/>
  <c r="P211" i="6"/>
  <c r="O211" i="6"/>
  <c r="AM211" i="6" s="1"/>
  <c r="N211" i="6"/>
  <c r="AL211" i="6" s="1"/>
  <c r="M211" i="6"/>
  <c r="L211" i="6"/>
  <c r="K211" i="6"/>
  <c r="J211" i="6"/>
  <c r="AK211" i="6" s="1"/>
  <c r="I211" i="6"/>
  <c r="H211" i="6"/>
  <c r="G211" i="6"/>
  <c r="F211" i="6"/>
  <c r="E211" i="6"/>
  <c r="B211" i="7" s="1"/>
  <c r="D211" i="6"/>
  <c r="B211" i="6" s="1"/>
  <c r="AM210" i="6"/>
  <c r="AL210" i="6"/>
  <c r="AJ210" i="6"/>
  <c r="Q210" i="6"/>
  <c r="P210" i="6"/>
  <c r="O210" i="6"/>
  <c r="N210" i="6"/>
  <c r="M210" i="6"/>
  <c r="L210" i="6"/>
  <c r="K210" i="6"/>
  <c r="J210" i="6"/>
  <c r="AK210" i="6" s="1"/>
  <c r="I210" i="6"/>
  <c r="H210" i="6"/>
  <c r="AI210" i="6" s="1"/>
  <c r="G210" i="6"/>
  <c r="F210" i="6"/>
  <c r="AG210" i="6" s="1"/>
  <c r="AH210" i="6" s="1"/>
  <c r="E210" i="6"/>
  <c r="B210" i="7" s="1"/>
  <c r="D210" i="6"/>
  <c r="AJ209" i="6"/>
  <c r="AI209" i="6"/>
  <c r="AH209" i="6"/>
  <c r="AG209" i="6"/>
  <c r="AF209" i="6"/>
  <c r="V209" i="6"/>
  <c r="Q209" i="6"/>
  <c r="P209" i="6"/>
  <c r="O209" i="6"/>
  <c r="AM209" i="6" s="1"/>
  <c r="N209" i="6"/>
  <c r="AL209" i="6" s="1"/>
  <c r="M209" i="6"/>
  <c r="L209" i="6"/>
  <c r="K209" i="6"/>
  <c r="J209" i="6"/>
  <c r="AK209" i="6" s="1"/>
  <c r="I209" i="6"/>
  <c r="H209" i="6"/>
  <c r="G209" i="6"/>
  <c r="F209" i="6"/>
  <c r="E209" i="6"/>
  <c r="B209" i="7" s="1"/>
  <c r="D209" i="6"/>
  <c r="B209" i="6" s="1"/>
  <c r="AM208" i="6"/>
  <c r="AL208" i="6"/>
  <c r="AJ208" i="6"/>
  <c r="V208" i="6"/>
  <c r="T208" i="6"/>
  <c r="R208" i="6"/>
  <c r="D208" i="7" s="1"/>
  <c r="Q208" i="6"/>
  <c r="P208" i="6"/>
  <c r="O208" i="6"/>
  <c r="N208" i="6"/>
  <c r="M208" i="6"/>
  <c r="L208" i="6"/>
  <c r="K208" i="6"/>
  <c r="J208" i="6"/>
  <c r="AK208" i="6" s="1"/>
  <c r="I208" i="6"/>
  <c r="H208" i="6"/>
  <c r="AI208" i="6" s="1"/>
  <c r="G208" i="6"/>
  <c r="F208" i="6"/>
  <c r="AG208" i="6" s="1"/>
  <c r="AH208" i="6" s="1"/>
  <c r="E208" i="6"/>
  <c r="B208" i="7" s="1"/>
  <c r="D208" i="6"/>
  <c r="AJ207" i="6"/>
  <c r="AI207" i="6"/>
  <c r="AH207" i="6"/>
  <c r="AG207" i="6"/>
  <c r="AF207" i="6"/>
  <c r="Q207" i="6"/>
  <c r="P207" i="6"/>
  <c r="O207" i="6"/>
  <c r="AM207" i="6" s="1"/>
  <c r="N207" i="6"/>
  <c r="AL207" i="6" s="1"/>
  <c r="M207" i="6"/>
  <c r="L207" i="6"/>
  <c r="K207" i="6"/>
  <c r="J207" i="6"/>
  <c r="AK207" i="6" s="1"/>
  <c r="I207" i="6"/>
  <c r="H207" i="6"/>
  <c r="G207" i="6"/>
  <c r="F207" i="6"/>
  <c r="E207" i="6"/>
  <c r="B207" i="7" s="1"/>
  <c r="D207" i="6"/>
  <c r="B207" i="6" s="1"/>
  <c r="AM206" i="6"/>
  <c r="AL206" i="6"/>
  <c r="AJ206" i="6"/>
  <c r="V206" i="6"/>
  <c r="T206" i="6"/>
  <c r="R206" i="6"/>
  <c r="D206" i="7" s="1"/>
  <c r="Q206" i="6"/>
  <c r="P206" i="6"/>
  <c r="O206" i="6"/>
  <c r="N206" i="6"/>
  <c r="M206" i="6"/>
  <c r="L206" i="6"/>
  <c r="K206" i="6"/>
  <c r="J206" i="6"/>
  <c r="AK206" i="6" s="1"/>
  <c r="I206" i="6"/>
  <c r="H206" i="6"/>
  <c r="AI206" i="6" s="1"/>
  <c r="G206" i="6"/>
  <c r="F206" i="6"/>
  <c r="AG206" i="6" s="1"/>
  <c r="AH206" i="6" s="1"/>
  <c r="E206" i="6"/>
  <c r="B206" i="7" s="1"/>
  <c r="D206" i="6"/>
  <c r="AJ205" i="6"/>
  <c r="AI205" i="6"/>
  <c r="AH205" i="6"/>
  <c r="AG205" i="6"/>
  <c r="AF205" i="6"/>
  <c r="Q205" i="6"/>
  <c r="P205" i="6"/>
  <c r="O205" i="6"/>
  <c r="AM205" i="6" s="1"/>
  <c r="N205" i="6"/>
  <c r="AL205" i="6" s="1"/>
  <c r="M205" i="6"/>
  <c r="L205" i="6"/>
  <c r="K205" i="6"/>
  <c r="J205" i="6"/>
  <c r="AK205" i="6" s="1"/>
  <c r="I205" i="6"/>
  <c r="H205" i="6"/>
  <c r="G205" i="6"/>
  <c r="F205" i="6"/>
  <c r="E205" i="6"/>
  <c r="B205" i="7" s="1"/>
  <c r="D205" i="6"/>
  <c r="B205" i="6"/>
  <c r="AM204" i="6"/>
  <c r="AL204" i="6"/>
  <c r="AJ204" i="6"/>
  <c r="T204" i="6"/>
  <c r="R204" i="6"/>
  <c r="D204" i="7" s="1"/>
  <c r="Q204" i="6"/>
  <c r="P204" i="6"/>
  <c r="O204" i="6"/>
  <c r="N204" i="6"/>
  <c r="M204" i="6"/>
  <c r="L204" i="6"/>
  <c r="K204" i="6"/>
  <c r="J204" i="6"/>
  <c r="AK204" i="6" s="1"/>
  <c r="I204" i="6"/>
  <c r="H204" i="6"/>
  <c r="AI204" i="6" s="1"/>
  <c r="G204" i="6"/>
  <c r="F204" i="6"/>
  <c r="AG204" i="6" s="1"/>
  <c r="AH204" i="6" s="1"/>
  <c r="E204" i="6"/>
  <c r="B204" i="7" s="1"/>
  <c r="D204" i="6"/>
  <c r="AJ203" i="6"/>
  <c r="AI203" i="6"/>
  <c r="AH203" i="6"/>
  <c r="AG203" i="6"/>
  <c r="AF203" i="6"/>
  <c r="Q203" i="6"/>
  <c r="P203" i="6"/>
  <c r="O203" i="6"/>
  <c r="AM203" i="6" s="1"/>
  <c r="N203" i="6"/>
  <c r="AL203" i="6" s="1"/>
  <c r="M203" i="6"/>
  <c r="L203" i="6"/>
  <c r="K203" i="6"/>
  <c r="J203" i="6"/>
  <c r="AK203" i="6" s="1"/>
  <c r="I203" i="6"/>
  <c r="H203" i="6"/>
  <c r="G203" i="6"/>
  <c r="F203" i="6"/>
  <c r="E203" i="6"/>
  <c r="B203" i="7" s="1"/>
  <c r="D203" i="6"/>
  <c r="B203" i="6"/>
  <c r="AM202" i="6"/>
  <c r="AL202" i="6"/>
  <c r="AJ202" i="6"/>
  <c r="R202" i="6"/>
  <c r="D202" i="7" s="1"/>
  <c r="Q202" i="6"/>
  <c r="P202" i="6"/>
  <c r="O202" i="6"/>
  <c r="N202" i="6"/>
  <c r="M202" i="6"/>
  <c r="L202" i="6"/>
  <c r="K202" i="6"/>
  <c r="J202" i="6"/>
  <c r="AK202" i="6" s="1"/>
  <c r="I202" i="6"/>
  <c r="H202" i="6"/>
  <c r="AI202" i="6" s="1"/>
  <c r="G202" i="6"/>
  <c r="F202" i="6"/>
  <c r="AG202" i="6" s="1"/>
  <c r="AH202" i="6" s="1"/>
  <c r="E202" i="6"/>
  <c r="B202" i="7" s="1"/>
  <c r="D202" i="6"/>
  <c r="V202" i="6" s="1"/>
  <c r="AJ201" i="6"/>
  <c r="AI201" i="6"/>
  <c r="AH201" i="6"/>
  <c r="AG201" i="6"/>
  <c r="AF201" i="6"/>
  <c r="Q201" i="6"/>
  <c r="P201" i="6"/>
  <c r="O201" i="6"/>
  <c r="AM201" i="6" s="1"/>
  <c r="N201" i="6"/>
  <c r="AL201" i="6" s="1"/>
  <c r="M201" i="6"/>
  <c r="L201" i="6"/>
  <c r="K201" i="6"/>
  <c r="J201" i="6"/>
  <c r="AK201" i="6" s="1"/>
  <c r="I201" i="6"/>
  <c r="H201" i="6"/>
  <c r="G201" i="6"/>
  <c r="F201" i="6"/>
  <c r="E201" i="6"/>
  <c r="B201" i="7" s="1"/>
  <c r="D201" i="6"/>
  <c r="B201" i="6" s="1"/>
  <c r="AM200" i="6"/>
  <c r="AL200" i="6"/>
  <c r="AJ200" i="6"/>
  <c r="Q200" i="6"/>
  <c r="P200" i="6"/>
  <c r="O200" i="6"/>
  <c r="N200" i="6"/>
  <c r="M200" i="6"/>
  <c r="L200" i="6"/>
  <c r="K200" i="6"/>
  <c r="J200" i="6"/>
  <c r="AK200" i="6" s="1"/>
  <c r="I200" i="6"/>
  <c r="H200" i="6"/>
  <c r="AI200" i="6" s="1"/>
  <c r="G200" i="6"/>
  <c r="F200" i="6"/>
  <c r="AG200" i="6" s="1"/>
  <c r="AH200" i="6" s="1"/>
  <c r="E200" i="6"/>
  <c r="B200" i="7" s="1"/>
  <c r="D200" i="6"/>
  <c r="AJ199" i="6"/>
  <c r="AI199" i="6"/>
  <c r="AH199" i="6"/>
  <c r="AG199" i="6"/>
  <c r="AF199" i="6"/>
  <c r="V199" i="6"/>
  <c r="Q199" i="6"/>
  <c r="P199" i="6"/>
  <c r="O199" i="6"/>
  <c r="AM199" i="6" s="1"/>
  <c r="N199" i="6"/>
  <c r="AL199" i="6" s="1"/>
  <c r="M199" i="6"/>
  <c r="L199" i="6"/>
  <c r="K199" i="6"/>
  <c r="J199" i="6"/>
  <c r="AK199" i="6" s="1"/>
  <c r="I199" i="6"/>
  <c r="H199" i="6"/>
  <c r="G199" i="6"/>
  <c r="F199" i="6"/>
  <c r="E199" i="6"/>
  <c r="B199" i="7" s="1"/>
  <c r="D199" i="6"/>
  <c r="B199" i="6"/>
  <c r="AM198" i="6"/>
  <c r="AL198" i="6"/>
  <c r="AJ198" i="6"/>
  <c r="Q198" i="6"/>
  <c r="P198" i="6"/>
  <c r="O198" i="6"/>
  <c r="N198" i="6"/>
  <c r="M198" i="6"/>
  <c r="L198" i="6"/>
  <c r="K198" i="6"/>
  <c r="J198" i="6"/>
  <c r="AK198" i="6" s="1"/>
  <c r="I198" i="6"/>
  <c r="H198" i="6"/>
  <c r="AI198" i="6" s="1"/>
  <c r="G198" i="6"/>
  <c r="F198" i="6"/>
  <c r="AG198" i="6" s="1"/>
  <c r="AH198" i="6" s="1"/>
  <c r="E198" i="6"/>
  <c r="B198" i="7" s="1"/>
  <c r="D198" i="6"/>
  <c r="AJ197" i="6"/>
  <c r="AI197" i="6"/>
  <c r="AH197" i="6"/>
  <c r="AG197" i="6"/>
  <c r="AF197" i="6"/>
  <c r="V197" i="6"/>
  <c r="Q197" i="6"/>
  <c r="P197" i="6"/>
  <c r="O197" i="6"/>
  <c r="AM197" i="6" s="1"/>
  <c r="N197" i="6"/>
  <c r="AL197" i="6" s="1"/>
  <c r="M197" i="6"/>
  <c r="L197" i="6"/>
  <c r="K197" i="6"/>
  <c r="J197" i="6"/>
  <c r="AK197" i="6" s="1"/>
  <c r="I197" i="6"/>
  <c r="H197" i="6"/>
  <c r="G197" i="6"/>
  <c r="F197" i="6"/>
  <c r="E197" i="6"/>
  <c r="B197" i="7" s="1"/>
  <c r="D197" i="6"/>
  <c r="B197" i="6"/>
  <c r="AM196" i="6"/>
  <c r="AL196" i="6"/>
  <c r="AJ196" i="6"/>
  <c r="W196" i="6"/>
  <c r="E196" i="7" s="1"/>
  <c r="Q196" i="6"/>
  <c r="P196" i="6"/>
  <c r="O196" i="6"/>
  <c r="N196" i="6"/>
  <c r="M196" i="6"/>
  <c r="L196" i="6"/>
  <c r="K196" i="6"/>
  <c r="J196" i="6"/>
  <c r="AK196" i="6" s="1"/>
  <c r="I196" i="6"/>
  <c r="H196" i="6"/>
  <c r="AI196" i="6" s="1"/>
  <c r="G196" i="6"/>
  <c r="F196" i="6"/>
  <c r="AG196" i="6" s="1"/>
  <c r="AH196" i="6" s="1"/>
  <c r="E196" i="6"/>
  <c r="B196" i="7" s="1"/>
  <c r="D196" i="6"/>
  <c r="AK195" i="6"/>
  <c r="AJ195" i="6"/>
  <c r="AI195" i="6"/>
  <c r="AH195" i="6"/>
  <c r="AG195" i="6"/>
  <c r="AF195" i="6"/>
  <c r="V195" i="6"/>
  <c r="Q195" i="6"/>
  <c r="P195" i="6"/>
  <c r="O195" i="6"/>
  <c r="AM195" i="6" s="1"/>
  <c r="N195" i="6"/>
  <c r="AL195" i="6" s="1"/>
  <c r="M195" i="6"/>
  <c r="L195" i="6"/>
  <c r="K195" i="6"/>
  <c r="J195" i="6"/>
  <c r="I195" i="6"/>
  <c r="H195" i="6"/>
  <c r="G195" i="6"/>
  <c r="F195" i="6"/>
  <c r="E195" i="6"/>
  <c r="B195" i="7" s="1"/>
  <c r="D195" i="6"/>
  <c r="B195" i="6"/>
  <c r="AM194" i="6"/>
  <c r="AL194" i="6"/>
  <c r="AJ194" i="6"/>
  <c r="Q194" i="6"/>
  <c r="P194" i="6"/>
  <c r="O194" i="6"/>
  <c r="N194" i="6"/>
  <c r="M194" i="6"/>
  <c r="L194" i="6"/>
  <c r="K194" i="6"/>
  <c r="J194" i="6"/>
  <c r="AK194" i="6" s="1"/>
  <c r="I194" i="6"/>
  <c r="H194" i="6"/>
  <c r="AI194" i="6" s="1"/>
  <c r="G194" i="6"/>
  <c r="F194" i="6"/>
  <c r="AG194" i="6" s="1"/>
  <c r="AH194" i="6" s="1"/>
  <c r="E194" i="6"/>
  <c r="B194" i="7" s="1"/>
  <c r="D194" i="6"/>
  <c r="AK193" i="6"/>
  <c r="AJ193" i="6"/>
  <c r="AI193" i="6"/>
  <c r="AH193" i="6"/>
  <c r="AG193" i="6"/>
  <c r="AF193" i="6"/>
  <c r="Q193" i="6"/>
  <c r="P193" i="6"/>
  <c r="O193" i="6"/>
  <c r="AM193" i="6" s="1"/>
  <c r="N193" i="6"/>
  <c r="AL193" i="6" s="1"/>
  <c r="M193" i="6"/>
  <c r="L193" i="6"/>
  <c r="K193" i="6"/>
  <c r="J193" i="6"/>
  <c r="I193" i="6"/>
  <c r="H193" i="6"/>
  <c r="G193" i="6"/>
  <c r="F193" i="6"/>
  <c r="E193" i="6"/>
  <c r="B193" i="7" s="1"/>
  <c r="D193" i="6"/>
  <c r="B193" i="6" s="1"/>
  <c r="AM192" i="6"/>
  <c r="AL192" i="6"/>
  <c r="AJ192" i="6"/>
  <c r="R192" i="6"/>
  <c r="D192" i="7" s="1"/>
  <c r="Q192" i="6"/>
  <c r="P192" i="6"/>
  <c r="O192" i="6"/>
  <c r="N192" i="6"/>
  <c r="M192" i="6"/>
  <c r="L192" i="6"/>
  <c r="K192" i="6"/>
  <c r="J192" i="6"/>
  <c r="AK192" i="6" s="1"/>
  <c r="I192" i="6"/>
  <c r="H192" i="6"/>
  <c r="AI192" i="6" s="1"/>
  <c r="G192" i="6"/>
  <c r="F192" i="6"/>
  <c r="AG192" i="6" s="1"/>
  <c r="AH192" i="6" s="1"/>
  <c r="E192" i="6"/>
  <c r="B192" i="7" s="1"/>
  <c r="D192" i="6"/>
  <c r="AK191" i="6"/>
  <c r="AJ191" i="6"/>
  <c r="AI191" i="6"/>
  <c r="AH191" i="6"/>
  <c r="AG191" i="6"/>
  <c r="Q191" i="6"/>
  <c r="P191" i="6"/>
  <c r="O191" i="6"/>
  <c r="AM191" i="6" s="1"/>
  <c r="N191" i="6"/>
  <c r="AL191" i="6" s="1"/>
  <c r="M191" i="6"/>
  <c r="L191" i="6"/>
  <c r="K191" i="6"/>
  <c r="J191" i="6"/>
  <c r="I191" i="6"/>
  <c r="H191" i="6"/>
  <c r="G191" i="6"/>
  <c r="F191" i="6"/>
  <c r="E191" i="6"/>
  <c r="D191" i="6"/>
  <c r="B191" i="6"/>
  <c r="AM190" i="6"/>
  <c r="AL190" i="6"/>
  <c r="AJ190" i="6"/>
  <c r="Q190" i="6"/>
  <c r="P190" i="6"/>
  <c r="O190" i="6"/>
  <c r="N190" i="6"/>
  <c r="M190" i="6"/>
  <c r="L190" i="6"/>
  <c r="K190" i="6"/>
  <c r="J190" i="6"/>
  <c r="AK190" i="6" s="1"/>
  <c r="I190" i="6"/>
  <c r="H190" i="6"/>
  <c r="AI190" i="6" s="1"/>
  <c r="G190" i="6"/>
  <c r="F190" i="6"/>
  <c r="AG190" i="6" s="1"/>
  <c r="AH190" i="6" s="1"/>
  <c r="E190" i="6"/>
  <c r="B190" i="7" s="1"/>
  <c r="D190" i="6"/>
  <c r="AJ189" i="6"/>
  <c r="AI189" i="6"/>
  <c r="AG189" i="6"/>
  <c r="AH189" i="6" s="1"/>
  <c r="Q189" i="6"/>
  <c r="P189" i="6"/>
  <c r="O189" i="6"/>
  <c r="AM189" i="6" s="1"/>
  <c r="N189" i="6"/>
  <c r="AL189" i="6" s="1"/>
  <c r="M189" i="6"/>
  <c r="L189" i="6"/>
  <c r="K189" i="6"/>
  <c r="J189" i="6"/>
  <c r="AK189" i="6" s="1"/>
  <c r="I189" i="6"/>
  <c r="H189" i="6"/>
  <c r="G189" i="6"/>
  <c r="F189" i="6"/>
  <c r="E189" i="6"/>
  <c r="B189" i="7" s="1"/>
  <c r="D189" i="6"/>
  <c r="AM188" i="6"/>
  <c r="AL188" i="6"/>
  <c r="AJ188" i="6"/>
  <c r="V188" i="6"/>
  <c r="Q188" i="6"/>
  <c r="P188" i="6"/>
  <c r="O188" i="6"/>
  <c r="N188" i="6"/>
  <c r="M188" i="6"/>
  <c r="L188" i="6"/>
  <c r="K188" i="6"/>
  <c r="J188" i="6"/>
  <c r="AK188" i="6" s="1"/>
  <c r="I188" i="6"/>
  <c r="H188" i="6"/>
  <c r="AI188" i="6" s="1"/>
  <c r="G188" i="6"/>
  <c r="F188" i="6"/>
  <c r="AG188" i="6" s="1"/>
  <c r="AH188" i="6" s="1"/>
  <c r="E188" i="6"/>
  <c r="B188" i="7" s="1"/>
  <c r="D188" i="6"/>
  <c r="AK187" i="6"/>
  <c r="AJ187" i="6"/>
  <c r="AI187" i="6"/>
  <c r="AH187" i="6"/>
  <c r="AG187" i="6"/>
  <c r="AF187" i="6"/>
  <c r="V187" i="6"/>
  <c r="Q187" i="6"/>
  <c r="P187" i="6"/>
  <c r="O187" i="6"/>
  <c r="AM187" i="6" s="1"/>
  <c r="N187" i="6"/>
  <c r="AL187" i="6" s="1"/>
  <c r="M187" i="6"/>
  <c r="L187" i="6"/>
  <c r="K187" i="6"/>
  <c r="J187" i="6"/>
  <c r="I187" i="6"/>
  <c r="H187" i="6"/>
  <c r="G187" i="6"/>
  <c r="F187" i="6"/>
  <c r="E187" i="6"/>
  <c r="B187" i="7" s="1"/>
  <c r="D187" i="6"/>
  <c r="B187" i="6" s="1"/>
  <c r="AM186" i="6"/>
  <c r="AL186" i="6"/>
  <c r="AJ186" i="6"/>
  <c r="W186" i="6"/>
  <c r="E186" i="7" s="1"/>
  <c r="T186" i="6"/>
  <c r="R186" i="6"/>
  <c r="D186" i="7" s="1"/>
  <c r="Q186" i="6"/>
  <c r="P186" i="6"/>
  <c r="O186" i="6"/>
  <c r="N186" i="6"/>
  <c r="M186" i="6"/>
  <c r="L186" i="6"/>
  <c r="K186" i="6"/>
  <c r="J186" i="6"/>
  <c r="AK186" i="6" s="1"/>
  <c r="I186" i="6"/>
  <c r="H186" i="6"/>
  <c r="AI186" i="6" s="1"/>
  <c r="G186" i="6"/>
  <c r="F186" i="6"/>
  <c r="AG186" i="6" s="1"/>
  <c r="AH186" i="6" s="1"/>
  <c r="E186" i="6"/>
  <c r="B186" i="7" s="1"/>
  <c r="D186" i="6"/>
  <c r="AK185" i="6"/>
  <c r="AJ185" i="6"/>
  <c r="AI185" i="6"/>
  <c r="AG185" i="6"/>
  <c r="AH185" i="6" s="1"/>
  <c r="Q185" i="6"/>
  <c r="P185" i="6"/>
  <c r="O185" i="6"/>
  <c r="AM185" i="6" s="1"/>
  <c r="N185" i="6"/>
  <c r="AL185" i="6" s="1"/>
  <c r="M185" i="6"/>
  <c r="L185" i="6"/>
  <c r="K185" i="6"/>
  <c r="J185" i="6"/>
  <c r="I185" i="6"/>
  <c r="H185" i="6"/>
  <c r="G185" i="6"/>
  <c r="F185" i="6"/>
  <c r="E185" i="6"/>
  <c r="D185" i="6"/>
  <c r="B185" i="6"/>
  <c r="AM184" i="6"/>
  <c r="AL184" i="6"/>
  <c r="AJ184" i="6"/>
  <c r="Q184" i="6"/>
  <c r="P184" i="6"/>
  <c r="O184" i="6"/>
  <c r="N184" i="6"/>
  <c r="M184" i="6"/>
  <c r="L184" i="6"/>
  <c r="K184" i="6"/>
  <c r="J184" i="6"/>
  <c r="AK184" i="6" s="1"/>
  <c r="I184" i="6"/>
  <c r="H184" i="6"/>
  <c r="AI184" i="6" s="1"/>
  <c r="G184" i="6"/>
  <c r="F184" i="6"/>
  <c r="AG184" i="6" s="1"/>
  <c r="AH184" i="6" s="1"/>
  <c r="E184" i="6"/>
  <c r="B184" i="7" s="1"/>
  <c r="D184" i="6"/>
  <c r="AJ183" i="6"/>
  <c r="AI183" i="6"/>
  <c r="AG183" i="6"/>
  <c r="AH183" i="6" s="1"/>
  <c r="Q183" i="6"/>
  <c r="P183" i="6"/>
  <c r="O183" i="6"/>
  <c r="AM183" i="6" s="1"/>
  <c r="N183" i="6"/>
  <c r="AL183" i="6" s="1"/>
  <c r="M183" i="6"/>
  <c r="L183" i="6"/>
  <c r="K183" i="6"/>
  <c r="J183" i="6"/>
  <c r="AK183" i="6" s="1"/>
  <c r="I183" i="6"/>
  <c r="H183" i="6"/>
  <c r="G183" i="6"/>
  <c r="F183" i="6"/>
  <c r="E183" i="6"/>
  <c r="B183" i="7" s="1"/>
  <c r="D183" i="6"/>
  <c r="AM182" i="6"/>
  <c r="AL182" i="6"/>
  <c r="AJ182" i="6"/>
  <c r="W182" i="6"/>
  <c r="E182" i="7" s="1"/>
  <c r="U182" i="6"/>
  <c r="R182" i="6"/>
  <c r="D182" i="7" s="1"/>
  <c r="Q182" i="6"/>
  <c r="P182" i="6"/>
  <c r="O182" i="6"/>
  <c r="N182" i="6"/>
  <c r="M182" i="6"/>
  <c r="L182" i="6"/>
  <c r="K182" i="6"/>
  <c r="J182" i="6"/>
  <c r="AK182" i="6" s="1"/>
  <c r="I182" i="6"/>
  <c r="H182" i="6"/>
  <c r="AI182" i="6" s="1"/>
  <c r="G182" i="6"/>
  <c r="F182" i="6"/>
  <c r="AG182" i="6" s="1"/>
  <c r="AH182" i="6" s="1"/>
  <c r="E182" i="6"/>
  <c r="B182" i="7" s="1"/>
  <c r="D182" i="6"/>
  <c r="V182" i="6" s="1"/>
  <c r="AJ181" i="6"/>
  <c r="AI181" i="6"/>
  <c r="AG181" i="6"/>
  <c r="AH181" i="6" s="1"/>
  <c r="V181" i="6"/>
  <c r="Q181" i="6"/>
  <c r="P181" i="6"/>
  <c r="O181" i="6"/>
  <c r="AM181" i="6" s="1"/>
  <c r="N181" i="6"/>
  <c r="AL181" i="6" s="1"/>
  <c r="M181" i="6"/>
  <c r="L181" i="6"/>
  <c r="K181" i="6"/>
  <c r="J181" i="6"/>
  <c r="AK181" i="6" s="1"/>
  <c r="I181" i="6"/>
  <c r="H181" i="6"/>
  <c r="G181" i="6"/>
  <c r="F181" i="6"/>
  <c r="E181" i="6"/>
  <c r="B181" i="7" s="1"/>
  <c r="D181" i="6"/>
  <c r="C181" i="6"/>
  <c r="C181" i="7" s="1"/>
  <c r="B181" i="6"/>
  <c r="AM180" i="6"/>
  <c r="AL180" i="6"/>
  <c r="AJ180" i="6"/>
  <c r="U180" i="6"/>
  <c r="Q180" i="6"/>
  <c r="P180" i="6"/>
  <c r="O180" i="6"/>
  <c r="N180" i="6"/>
  <c r="M180" i="6"/>
  <c r="L180" i="6"/>
  <c r="K180" i="6"/>
  <c r="J180" i="6"/>
  <c r="AK180" i="6" s="1"/>
  <c r="I180" i="6"/>
  <c r="H180" i="6"/>
  <c r="AI180" i="6" s="1"/>
  <c r="G180" i="6"/>
  <c r="F180" i="6"/>
  <c r="AG180" i="6" s="1"/>
  <c r="AH180" i="6" s="1"/>
  <c r="E180" i="6"/>
  <c r="B180" i="7" s="1"/>
  <c r="D180" i="6"/>
  <c r="AK179" i="6"/>
  <c r="AJ179" i="6"/>
  <c r="AI179" i="6"/>
  <c r="AH179" i="6"/>
  <c r="AG179" i="6"/>
  <c r="AF179" i="6"/>
  <c r="V179" i="6"/>
  <c r="Q179" i="6"/>
  <c r="P179" i="6"/>
  <c r="O179" i="6"/>
  <c r="AM179" i="6" s="1"/>
  <c r="N179" i="6"/>
  <c r="AL179" i="6" s="1"/>
  <c r="M179" i="6"/>
  <c r="L179" i="6"/>
  <c r="K179" i="6"/>
  <c r="J179" i="6"/>
  <c r="I179" i="6"/>
  <c r="H179" i="6"/>
  <c r="G179" i="6"/>
  <c r="F179" i="6"/>
  <c r="E179" i="6"/>
  <c r="B179" i="7" s="1"/>
  <c r="D179" i="6"/>
  <c r="C179" i="6" s="1"/>
  <c r="C179" i="7" s="1"/>
  <c r="AM178" i="6"/>
  <c r="AL178" i="6"/>
  <c r="AJ178" i="6"/>
  <c r="V178" i="6"/>
  <c r="T178" i="6"/>
  <c r="S178" i="6"/>
  <c r="Q178" i="6"/>
  <c r="P178" i="6"/>
  <c r="O178" i="6"/>
  <c r="N178" i="6"/>
  <c r="M178" i="6"/>
  <c r="L178" i="6"/>
  <c r="K178" i="6"/>
  <c r="J178" i="6"/>
  <c r="AK178" i="6" s="1"/>
  <c r="I178" i="6"/>
  <c r="H178" i="6"/>
  <c r="AI178" i="6" s="1"/>
  <c r="G178" i="6"/>
  <c r="F178" i="6"/>
  <c r="AG178" i="6" s="1"/>
  <c r="AH178" i="6" s="1"/>
  <c r="E178" i="6"/>
  <c r="B178" i="7" s="1"/>
  <c r="D178" i="6"/>
  <c r="AJ177" i="6"/>
  <c r="AI177" i="6"/>
  <c r="AH177" i="6"/>
  <c r="AG177" i="6"/>
  <c r="AF177" i="6"/>
  <c r="Q177" i="6"/>
  <c r="P177" i="6"/>
  <c r="O177" i="6"/>
  <c r="AM177" i="6" s="1"/>
  <c r="N177" i="6"/>
  <c r="AL177" i="6" s="1"/>
  <c r="M177" i="6"/>
  <c r="L177" i="6"/>
  <c r="K177" i="6"/>
  <c r="J177" i="6"/>
  <c r="AK177" i="6" s="1"/>
  <c r="I177" i="6"/>
  <c r="H177" i="6"/>
  <c r="G177" i="6"/>
  <c r="F177" i="6"/>
  <c r="E177" i="6"/>
  <c r="B177" i="7" s="1"/>
  <c r="D177" i="6"/>
  <c r="C177" i="6" s="1"/>
  <c r="C177" i="7" s="1"/>
  <c r="AM176" i="6"/>
  <c r="AL176" i="6"/>
  <c r="AJ176" i="6"/>
  <c r="W176" i="6"/>
  <c r="E176" i="7" s="1"/>
  <c r="V176" i="6"/>
  <c r="T176" i="6"/>
  <c r="R176" i="6"/>
  <c r="D176" i="7" s="1"/>
  <c r="Q176" i="6"/>
  <c r="P176" i="6"/>
  <c r="O176" i="6"/>
  <c r="N176" i="6"/>
  <c r="M176" i="6"/>
  <c r="L176" i="6"/>
  <c r="K176" i="6"/>
  <c r="J176" i="6"/>
  <c r="AK176" i="6" s="1"/>
  <c r="I176" i="6"/>
  <c r="H176" i="6"/>
  <c r="AI176" i="6" s="1"/>
  <c r="G176" i="6"/>
  <c r="F176" i="6"/>
  <c r="AG176" i="6" s="1"/>
  <c r="AH176" i="6" s="1"/>
  <c r="E176" i="6"/>
  <c r="B176" i="7" s="1"/>
  <c r="D176" i="6"/>
  <c r="AK175" i="6"/>
  <c r="AJ175" i="6"/>
  <c r="AI175" i="6"/>
  <c r="AG175" i="6"/>
  <c r="AH175" i="6" s="1"/>
  <c r="Q175" i="6"/>
  <c r="P175" i="6"/>
  <c r="O175" i="6"/>
  <c r="AM175" i="6" s="1"/>
  <c r="N175" i="6"/>
  <c r="AL175" i="6" s="1"/>
  <c r="M175" i="6"/>
  <c r="L175" i="6"/>
  <c r="K175" i="6"/>
  <c r="J175" i="6"/>
  <c r="I175" i="6"/>
  <c r="H175" i="6"/>
  <c r="G175" i="6"/>
  <c r="F175" i="6"/>
  <c r="E175" i="6"/>
  <c r="D175" i="6"/>
  <c r="C175" i="6"/>
  <c r="C175" i="7" s="1"/>
  <c r="B175" i="6"/>
  <c r="AM174" i="6"/>
  <c r="AL174" i="6"/>
  <c r="V174" i="6"/>
  <c r="U174" i="6"/>
  <c r="R174" i="6"/>
  <c r="D174" i="7" s="1"/>
  <c r="Q174" i="6"/>
  <c r="P174" i="6"/>
  <c r="O174" i="6"/>
  <c r="N174" i="6"/>
  <c r="M174" i="6"/>
  <c r="L174" i="6"/>
  <c r="K174" i="6"/>
  <c r="J174" i="6"/>
  <c r="AK174" i="6" s="1"/>
  <c r="I174" i="6"/>
  <c r="AJ174" i="6" s="1"/>
  <c r="H174" i="6"/>
  <c r="AI174" i="6" s="1"/>
  <c r="G174" i="6"/>
  <c r="F174" i="6"/>
  <c r="AG174" i="6" s="1"/>
  <c r="AH174" i="6" s="1"/>
  <c r="E174" i="6"/>
  <c r="B174" i="7" s="1"/>
  <c r="D174" i="6"/>
  <c r="W174" i="6" s="1"/>
  <c r="E174" i="7" s="1"/>
  <c r="AK173" i="6"/>
  <c r="AJ173" i="6"/>
  <c r="AI173" i="6"/>
  <c r="AH173" i="6"/>
  <c r="AG173" i="6"/>
  <c r="AF173" i="6"/>
  <c r="V173" i="6"/>
  <c r="Q173" i="6"/>
  <c r="P173" i="6"/>
  <c r="O173" i="6"/>
  <c r="AM173" i="6" s="1"/>
  <c r="N173" i="6"/>
  <c r="AL173" i="6" s="1"/>
  <c r="M173" i="6"/>
  <c r="L173" i="6"/>
  <c r="K173" i="6"/>
  <c r="J173" i="6"/>
  <c r="I173" i="6"/>
  <c r="H173" i="6"/>
  <c r="G173" i="6"/>
  <c r="F173" i="6"/>
  <c r="E173" i="6"/>
  <c r="B173" i="7" s="1"/>
  <c r="D173" i="6"/>
  <c r="C173" i="6"/>
  <c r="C173" i="7" s="1"/>
  <c r="B173" i="6"/>
  <c r="AM172" i="6"/>
  <c r="AL172" i="6"/>
  <c r="AJ172" i="6"/>
  <c r="Q172" i="6"/>
  <c r="P172" i="6"/>
  <c r="O172" i="6"/>
  <c r="N172" i="6"/>
  <c r="M172" i="6"/>
  <c r="L172" i="6"/>
  <c r="K172" i="6"/>
  <c r="J172" i="6"/>
  <c r="AK172" i="6" s="1"/>
  <c r="I172" i="6"/>
  <c r="H172" i="6"/>
  <c r="AI172" i="6" s="1"/>
  <c r="G172" i="6"/>
  <c r="F172" i="6"/>
  <c r="AG172" i="6" s="1"/>
  <c r="AH172" i="6" s="1"/>
  <c r="E172" i="6"/>
  <c r="D172" i="6"/>
  <c r="AJ171" i="6"/>
  <c r="AI171" i="6"/>
  <c r="AG171" i="6"/>
  <c r="AH171" i="6" s="1"/>
  <c r="W171" i="6"/>
  <c r="E171" i="7" s="1"/>
  <c r="V171" i="6"/>
  <c r="S171" i="6"/>
  <c r="Q171" i="6"/>
  <c r="P171" i="6"/>
  <c r="O171" i="6"/>
  <c r="AM171" i="6" s="1"/>
  <c r="N171" i="6"/>
  <c r="AL171" i="6" s="1"/>
  <c r="M171" i="6"/>
  <c r="L171" i="6"/>
  <c r="K171" i="6"/>
  <c r="J171" i="6"/>
  <c r="AK171" i="6" s="1"/>
  <c r="I171" i="6"/>
  <c r="H171" i="6"/>
  <c r="G171" i="6"/>
  <c r="F171" i="6"/>
  <c r="E171" i="6"/>
  <c r="B171" i="7" s="1"/>
  <c r="D171" i="6"/>
  <c r="C171" i="6"/>
  <c r="C171" i="7" s="1"/>
  <c r="B171" i="6"/>
  <c r="AM170" i="6"/>
  <c r="AL170" i="6"/>
  <c r="V170" i="6"/>
  <c r="U170" i="6"/>
  <c r="R170" i="6"/>
  <c r="D170" i="7" s="1"/>
  <c r="Q170" i="6"/>
  <c r="P170" i="6"/>
  <c r="O170" i="6"/>
  <c r="N170" i="6"/>
  <c r="M170" i="6"/>
  <c r="L170" i="6"/>
  <c r="K170" i="6"/>
  <c r="J170" i="6"/>
  <c r="AK170" i="6" s="1"/>
  <c r="I170" i="6"/>
  <c r="AJ170" i="6" s="1"/>
  <c r="H170" i="6"/>
  <c r="AI170" i="6" s="1"/>
  <c r="G170" i="6"/>
  <c r="F170" i="6"/>
  <c r="AG170" i="6" s="1"/>
  <c r="AH170" i="6" s="1"/>
  <c r="E170" i="6"/>
  <c r="D170" i="6"/>
  <c r="W170" i="6" s="1"/>
  <c r="E170" i="7" s="1"/>
  <c r="AJ169" i="6"/>
  <c r="AI169" i="6"/>
  <c r="AG169" i="6"/>
  <c r="AH169" i="6" s="1"/>
  <c r="AF169" i="6"/>
  <c r="S169" i="6"/>
  <c r="Q169" i="6"/>
  <c r="P169" i="6"/>
  <c r="O169" i="6"/>
  <c r="AM169" i="6" s="1"/>
  <c r="N169" i="6"/>
  <c r="AL169" i="6" s="1"/>
  <c r="M169" i="6"/>
  <c r="L169" i="6"/>
  <c r="K169" i="6"/>
  <c r="J169" i="6"/>
  <c r="AK169" i="6" s="1"/>
  <c r="I169" i="6"/>
  <c r="H169" i="6"/>
  <c r="G169" i="6"/>
  <c r="F169" i="6"/>
  <c r="E169" i="6"/>
  <c r="B169" i="7" s="1"/>
  <c r="D169" i="6"/>
  <c r="B169" i="6" s="1"/>
  <c r="C169" i="6"/>
  <c r="C169" i="7" s="1"/>
  <c r="AM168" i="6"/>
  <c r="AL168" i="6"/>
  <c r="AK168" i="6"/>
  <c r="AG168" i="6"/>
  <c r="AH168" i="6" s="1"/>
  <c r="U168" i="6"/>
  <c r="S168" i="6"/>
  <c r="R168" i="6"/>
  <c r="D168" i="7" s="1"/>
  <c r="Q168" i="6"/>
  <c r="P168" i="6"/>
  <c r="O168" i="6"/>
  <c r="N168" i="6"/>
  <c r="M168" i="6"/>
  <c r="L168" i="6"/>
  <c r="K168" i="6"/>
  <c r="J168" i="6"/>
  <c r="I168" i="6"/>
  <c r="AJ168" i="6" s="1"/>
  <c r="H168" i="6"/>
  <c r="AI168" i="6" s="1"/>
  <c r="G168" i="6"/>
  <c r="F168" i="6"/>
  <c r="E168" i="6"/>
  <c r="D168" i="6"/>
  <c r="C168" i="6" s="1"/>
  <c r="C168" i="7" s="1"/>
  <c r="AK167" i="6"/>
  <c r="AJ167" i="6"/>
  <c r="AI167" i="6"/>
  <c r="AG167" i="6"/>
  <c r="AH167" i="6" s="1"/>
  <c r="W167" i="6"/>
  <c r="E167" i="7" s="1"/>
  <c r="V167" i="6"/>
  <c r="U167" i="6"/>
  <c r="S167" i="6"/>
  <c r="Q167" i="6"/>
  <c r="P167" i="6"/>
  <c r="O167" i="6"/>
  <c r="AM167" i="6" s="1"/>
  <c r="N167" i="6"/>
  <c r="AL167" i="6" s="1"/>
  <c r="M167" i="6"/>
  <c r="L167" i="6"/>
  <c r="K167" i="6"/>
  <c r="J167" i="6"/>
  <c r="I167" i="6"/>
  <c r="H167" i="6"/>
  <c r="G167" i="6"/>
  <c r="F167" i="6"/>
  <c r="E167" i="6"/>
  <c r="B167" i="7" s="1"/>
  <c r="D167" i="6"/>
  <c r="C167" i="6"/>
  <c r="C167" i="7" s="1"/>
  <c r="B167" i="6"/>
  <c r="AL166" i="6"/>
  <c r="AK166" i="6"/>
  <c r="AI166" i="6"/>
  <c r="W166" i="6"/>
  <c r="E166" i="7" s="1"/>
  <c r="V166" i="6"/>
  <c r="U166" i="6"/>
  <c r="T166" i="6"/>
  <c r="S166" i="6"/>
  <c r="R166" i="6"/>
  <c r="D166" i="7" s="1"/>
  <c r="Q166" i="6"/>
  <c r="P166" i="6"/>
  <c r="O166" i="6"/>
  <c r="AM166" i="6" s="1"/>
  <c r="N166" i="6"/>
  <c r="M166" i="6"/>
  <c r="L166" i="6"/>
  <c r="K166" i="6"/>
  <c r="J166" i="6"/>
  <c r="I166" i="6"/>
  <c r="AJ166" i="6" s="1"/>
  <c r="H166" i="6"/>
  <c r="G166" i="6"/>
  <c r="F166" i="6"/>
  <c r="AG166" i="6" s="1"/>
  <c r="AH166" i="6" s="1"/>
  <c r="E166" i="6"/>
  <c r="D166" i="6"/>
  <c r="A166" i="7" s="1"/>
  <c r="C166" i="6"/>
  <c r="C166" i="7" s="1"/>
  <c r="B166" i="6"/>
  <c r="AM165" i="6"/>
  <c r="AI165" i="6"/>
  <c r="AH165" i="6"/>
  <c r="AG165" i="6"/>
  <c r="AF165" i="6"/>
  <c r="W165" i="6"/>
  <c r="E165" i="7" s="1"/>
  <c r="T165" i="6"/>
  <c r="Q165" i="6"/>
  <c r="P165" i="6"/>
  <c r="O165" i="6"/>
  <c r="N165" i="6"/>
  <c r="AL165" i="6" s="1"/>
  <c r="M165" i="6"/>
  <c r="L165" i="6"/>
  <c r="K165" i="6"/>
  <c r="J165" i="6"/>
  <c r="AK165" i="6" s="1"/>
  <c r="I165" i="6"/>
  <c r="AJ165" i="6" s="1"/>
  <c r="H165" i="6"/>
  <c r="G165" i="6"/>
  <c r="F165" i="6"/>
  <c r="E165" i="6"/>
  <c r="B165" i="7" s="1"/>
  <c r="D165" i="6"/>
  <c r="C165" i="6" s="1"/>
  <c r="C165" i="7" s="1"/>
  <c r="AK164" i="6"/>
  <c r="AJ164" i="6"/>
  <c r="AI164" i="6"/>
  <c r="AG164" i="6"/>
  <c r="AH164" i="6" s="1"/>
  <c r="U164" i="6"/>
  <c r="Q164" i="6"/>
  <c r="P164" i="6"/>
  <c r="O164" i="6"/>
  <c r="AM164" i="6" s="1"/>
  <c r="N164" i="6"/>
  <c r="AL164" i="6" s="1"/>
  <c r="M164" i="6"/>
  <c r="L164" i="6"/>
  <c r="K164" i="6"/>
  <c r="J164" i="6"/>
  <c r="I164" i="6"/>
  <c r="H164" i="6"/>
  <c r="G164" i="6"/>
  <c r="F164" i="6"/>
  <c r="E164" i="6"/>
  <c r="D164" i="6"/>
  <c r="A164" i="7" s="1"/>
  <c r="C164" i="6"/>
  <c r="C164" i="7" s="1"/>
  <c r="AK163" i="6"/>
  <c r="AJ163" i="6"/>
  <c r="AH163" i="6"/>
  <c r="AG163" i="6"/>
  <c r="AF163" i="6"/>
  <c r="Q163" i="6"/>
  <c r="P163" i="6"/>
  <c r="O163" i="6"/>
  <c r="AM163" i="6" s="1"/>
  <c r="N163" i="6"/>
  <c r="AL163" i="6" s="1"/>
  <c r="M163" i="6"/>
  <c r="L163" i="6"/>
  <c r="K163" i="6"/>
  <c r="J163" i="6"/>
  <c r="I163" i="6"/>
  <c r="H163" i="6"/>
  <c r="AI163" i="6" s="1"/>
  <c r="G163" i="6"/>
  <c r="F163" i="6"/>
  <c r="E163" i="6"/>
  <c r="B163" i="7" s="1"/>
  <c r="D163" i="6"/>
  <c r="AM162" i="6"/>
  <c r="AL162" i="6"/>
  <c r="AK162" i="6"/>
  <c r="AG162" i="6"/>
  <c r="AH162" i="6" s="1"/>
  <c r="U162" i="6"/>
  <c r="S162" i="6"/>
  <c r="R162" i="6"/>
  <c r="D162" i="7" s="1"/>
  <c r="Q162" i="6"/>
  <c r="P162" i="6"/>
  <c r="O162" i="6"/>
  <c r="N162" i="6"/>
  <c r="M162" i="6"/>
  <c r="L162" i="6"/>
  <c r="K162" i="6"/>
  <c r="J162" i="6"/>
  <c r="I162" i="6"/>
  <c r="AJ162" i="6" s="1"/>
  <c r="H162" i="6"/>
  <c r="AI162" i="6" s="1"/>
  <c r="G162" i="6"/>
  <c r="F162" i="6"/>
  <c r="E162" i="6"/>
  <c r="D162" i="6"/>
  <c r="A162" i="7" s="1"/>
  <c r="AM161" i="6"/>
  <c r="AK161" i="6"/>
  <c r="AJ161" i="6"/>
  <c r="AH161" i="6"/>
  <c r="AG161" i="6"/>
  <c r="Q161" i="6"/>
  <c r="P161" i="6"/>
  <c r="O161" i="6"/>
  <c r="N161" i="6"/>
  <c r="AL161" i="6" s="1"/>
  <c r="M161" i="6"/>
  <c r="L161" i="6"/>
  <c r="K161" i="6"/>
  <c r="J161" i="6"/>
  <c r="I161" i="6"/>
  <c r="H161" i="6"/>
  <c r="AI161" i="6" s="1"/>
  <c r="G161" i="6"/>
  <c r="F161" i="6"/>
  <c r="E161" i="6"/>
  <c r="B161" i="7" s="1"/>
  <c r="D161" i="6"/>
  <c r="AM160" i="6"/>
  <c r="V160" i="6"/>
  <c r="U160" i="6"/>
  <c r="R160" i="6"/>
  <c r="D160" i="7" s="1"/>
  <c r="Q160" i="6"/>
  <c r="P160" i="6"/>
  <c r="O160" i="6"/>
  <c r="N160" i="6"/>
  <c r="AL160" i="6" s="1"/>
  <c r="M160" i="6"/>
  <c r="L160" i="6"/>
  <c r="K160" i="6"/>
  <c r="J160" i="6"/>
  <c r="AK160" i="6" s="1"/>
  <c r="I160" i="6"/>
  <c r="AJ160" i="6" s="1"/>
  <c r="H160" i="6"/>
  <c r="AI160" i="6" s="1"/>
  <c r="G160" i="6"/>
  <c r="F160" i="6"/>
  <c r="AG160" i="6" s="1"/>
  <c r="AH160" i="6" s="1"/>
  <c r="E160" i="6"/>
  <c r="D160" i="6"/>
  <c r="A160" i="7" s="1"/>
  <c r="C160" i="6"/>
  <c r="C160" i="7" s="1"/>
  <c r="AM159" i="6"/>
  <c r="AI159" i="6"/>
  <c r="AH159" i="6"/>
  <c r="AG159" i="6"/>
  <c r="W159" i="6"/>
  <c r="E159" i="7" s="1"/>
  <c r="U159" i="6"/>
  <c r="T159" i="6"/>
  <c r="Q159" i="6"/>
  <c r="P159" i="6"/>
  <c r="O159" i="6"/>
  <c r="N159" i="6"/>
  <c r="AL159" i="6" s="1"/>
  <c r="M159" i="6"/>
  <c r="L159" i="6"/>
  <c r="K159" i="6"/>
  <c r="J159" i="6"/>
  <c r="AK159" i="6" s="1"/>
  <c r="I159" i="6"/>
  <c r="AJ159" i="6" s="1"/>
  <c r="H159" i="6"/>
  <c r="G159" i="6"/>
  <c r="F159" i="6"/>
  <c r="E159" i="6"/>
  <c r="B159" i="7" s="1"/>
  <c r="D159" i="6"/>
  <c r="C159" i="6" s="1"/>
  <c r="C159" i="7" s="1"/>
  <c r="B159" i="6"/>
  <c r="AL158" i="6"/>
  <c r="AJ158" i="6"/>
  <c r="AI158" i="6"/>
  <c r="W158" i="6"/>
  <c r="E158" i="7" s="1"/>
  <c r="V158" i="6"/>
  <c r="U158" i="6"/>
  <c r="T158" i="6"/>
  <c r="S158" i="6"/>
  <c r="R158" i="6"/>
  <c r="D158" i="7" s="1"/>
  <c r="Q158" i="6"/>
  <c r="P158" i="6"/>
  <c r="O158" i="6"/>
  <c r="AM158" i="6" s="1"/>
  <c r="N158" i="6"/>
  <c r="M158" i="6"/>
  <c r="L158" i="6"/>
  <c r="K158" i="6"/>
  <c r="J158" i="6"/>
  <c r="AK158" i="6" s="1"/>
  <c r="I158" i="6"/>
  <c r="H158" i="6"/>
  <c r="G158" i="6"/>
  <c r="F158" i="6"/>
  <c r="AG158" i="6" s="1"/>
  <c r="AH158" i="6" s="1"/>
  <c r="E158" i="6"/>
  <c r="D158" i="6"/>
  <c r="A158" i="7" s="1"/>
  <c r="C158" i="6"/>
  <c r="C158" i="7" s="1"/>
  <c r="B158" i="6"/>
  <c r="AM157" i="6"/>
  <c r="AI157" i="6"/>
  <c r="AH157" i="6"/>
  <c r="AG157" i="6"/>
  <c r="AF157" i="6"/>
  <c r="W157" i="6"/>
  <c r="E157" i="7" s="1"/>
  <c r="T157" i="6"/>
  <c r="Q157" i="6"/>
  <c r="P157" i="6"/>
  <c r="O157" i="6"/>
  <c r="N157" i="6"/>
  <c r="AL157" i="6" s="1"/>
  <c r="M157" i="6"/>
  <c r="L157" i="6"/>
  <c r="K157" i="6"/>
  <c r="J157" i="6"/>
  <c r="AK157" i="6" s="1"/>
  <c r="I157" i="6"/>
  <c r="AJ157" i="6" s="1"/>
  <c r="H157" i="6"/>
  <c r="G157" i="6"/>
  <c r="F157" i="6"/>
  <c r="E157" i="6"/>
  <c r="B157" i="7" s="1"/>
  <c r="D157" i="6"/>
  <c r="C157" i="6" s="1"/>
  <c r="C157" i="7" s="1"/>
  <c r="AK156" i="6"/>
  <c r="AJ156" i="6"/>
  <c r="AI156" i="6"/>
  <c r="AG156" i="6"/>
  <c r="AH156" i="6" s="1"/>
  <c r="U156" i="6"/>
  <c r="Q156" i="6"/>
  <c r="P156" i="6"/>
  <c r="O156" i="6"/>
  <c r="AM156" i="6" s="1"/>
  <c r="N156" i="6"/>
  <c r="AL156" i="6" s="1"/>
  <c r="M156" i="6"/>
  <c r="L156" i="6"/>
  <c r="K156" i="6"/>
  <c r="J156" i="6"/>
  <c r="I156" i="6"/>
  <c r="H156" i="6"/>
  <c r="G156" i="6"/>
  <c r="F156" i="6"/>
  <c r="E156" i="6"/>
  <c r="D156" i="6"/>
  <c r="A156" i="7" s="1"/>
  <c r="C156" i="6"/>
  <c r="C156" i="7" s="1"/>
  <c r="AK155" i="6"/>
  <c r="AJ155" i="6"/>
  <c r="AH155" i="6"/>
  <c r="AG155" i="6"/>
  <c r="AF155" i="6"/>
  <c r="Q155" i="6"/>
  <c r="P155" i="6"/>
  <c r="O155" i="6"/>
  <c r="AM155" i="6" s="1"/>
  <c r="N155" i="6"/>
  <c r="AL155" i="6" s="1"/>
  <c r="M155" i="6"/>
  <c r="L155" i="6"/>
  <c r="K155" i="6"/>
  <c r="J155" i="6"/>
  <c r="I155" i="6"/>
  <c r="H155" i="6"/>
  <c r="AI155" i="6" s="1"/>
  <c r="G155" i="6"/>
  <c r="F155" i="6"/>
  <c r="E155" i="6"/>
  <c r="B155" i="7" s="1"/>
  <c r="D155" i="6"/>
  <c r="AM154" i="6"/>
  <c r="AL154" i="6"/>
  <c r="AK154" i="6"/>
  <c r="AG154" i="6"/>
  <c r="AH154" i="6" s="1"/>
  <c r="U154" i="6"/>
  <c r="S154" i="6"/>
  <c r="R154" i="6"/>
  <c r="D154" i="7" s="1"/>
  <c r="Q154" i="6"/>
  <c r="P154" i="6"/>
  <c r="O154" i="6"/>
  <c r="N154" i="6"/>
  <c r="M154" i="6"/>
  <c r="L154" i="6"/>
  <c r="K154" i="6"/>
  <c r="J154" i="6"/>
  <c r="I154" i="6"/>
  <c r="AJ154" i="6" s="1"/>
  <c r="H154" i="6"/>
  <c r="AI154" i="6" s="1"/>
  <c r="G154" i="6"/>
  <c r="F154" i="6"/>
  <c r="E154" i="6"/>
  <c r="D154" i="6"/>
  <c r="A154" i="7" s="1"/>
  <c r="AM153" i="6"/>
  <c r="AK153" i="6"/>
  <c r="AJ153" i="6"/>
  <c r="AH153" i="6"/>
  <c r="AG153" i="6"/>
  <c r="Q153" i="6"/>
  <c r="P153" i="6"/>
  <c r="O153" i="6"/>
  <c r="N153" i="6"/>
  <c r="AL153" i="6" s="1"/>
  <c r="M153" i="6"/>
  <c r="L153" i="6"/>
  <c r="K153" i="6"/>
  <c r="J153" i="6"/>
  <c r="I153" i="6"/>
  <c r="H153" i="6"/>
  <c r="AI153" i="6" s="1"/>
  <c r="G153" i="6"/>
  <c r="F153" i="6"/>
  <c r="E153" i="6"/>
  <c r="B153" i="7" s="1"/>
  <c r="D153" i="6"/>
  <c r="AM152" i="6"/>
  <c r="V152" i="6"/>
  <c r="U152" i="6"/>
  <c r="R152" i="6"/>
  <c r="D152" i="7" s="1"/>
  <c r="Q152" i="6"/>
  <c r="P152" i="6"/>
  <c r="O152" i="6"/>
  <c r="N152" i="6"/>
  <c r="AL152" i="6" s="1"/>
  <c r="M152" i="6"/>
  <c r="L152" i="6"/>
  <c r="K152" i="6"/>
  <c r="J152" i="6"/>
  <c r="AK152" i="6" s="1"/>
  <c r="I152" i="6"/>
  <c r="AJ152" i="6" s="1"/>
  <c r="H152" i="6"/>
  <c r="AI152" i="6" s="1"/>
  <c r="G152" i="6"/>
  <c r="F152" i="6"/>
  <c r="AG152" i="6" s="1"/>
  <c r="AH152" i="6" s="1"/>
  <c r="E152" i="6"/>
  <c r="D152" i="6"/>
  <c r="A152" i="7" s="1"/>
  <c r="C152" i="6"/>
  <c r="C152" i="7" s="1"/>
  <c r="AM151" i="6"/>
  <c r="AI151" i="6"/>
  <c r="AH151" i="6"/>
  <c r="AG151" i="6"/>
  <c r="W151" i="6"/>
  <c r="E151" i="7" s="1"/>
  <c r="U151" i="6"/>
  <c r="T151" i="6"/>
  <c r="Q151" i="6"/>
  <c r="P151" i="6"/>
  <c r="O151" i="6"/>
  <c r="N151" i="6"/>
  <c r="AL151" i="6" s="1"/>
  <c r="M151" i="6"/>
  <c r="L151" i="6"/>
  <c r="K151" i="6"/>
  <c r="J151" i="6"/>
  <c r="AK151" i="6" s="1"/>
  <c r="I151" i="6"/>
  <c r="AJ151" i="6" s="1"/>
  <c r="H151" i="6"/>
  <c r="G151" i="6"/>
  <c r="F151" i="6"/>
  <c r="E151" i="6"/>
  <c r="B151" i="7" s="1"/>
  <c r="D151" i="6"/>
  <c r="C151" i="6" s="1"/>
  <c r="C151" i="7" s="1"/>
  <c r="B151" i="6"/>
  <c r="AL150" i="6"/>
  <c r="AJ150" i="6"/>
  <c r="AI150" i="6"/>
  <c r="W150" i="6"/>
  <c r="E150" i="7" s="1"/>
  <c r="V150" i="6"/>
  <c r="U150" i="6"/>
  <c r="T150" i="6"/>
  <c r="S150" i="6"/>
  <c r="R150" i="6"/>
  <c r="D150" i="7" s="1"/>
  <c r="Q150" i="6"/>
  <c r="P150" i="6"/>
  <c r="O150" i="6"/>
  <c r="AM150" i="6" s="1"/>
  <c r="N150" i="6"/>
  <c r="M150" i="6"/>
  <c r="L150" i="6"/>
  <c r="K150" i="6"/>
  <c r="J150" i="6"/>
  <c r="AK150" i="6" s="1"/>
  <c r="I150" i="6"/>
  <c r="H150" i="6"/>
  <c r="G150" i="6"/>
  <c r="F150" i="6"/>
  <c r="AG150" i="6" s="1"/>
  <c r="AH150" i="6" s="1"/>
  <c r="E150" i="6"/>
  <c r="D150" i="6"/>
  <c r="A150" i="7" s="1"/>
  <c r="C150" i="6"/>
  <c r="C150" i="7" s="1"/>
  <c r="B150" i="6"/>
  <c r="AM149" i="6"/>
  <c r="AI149" i="6"/>
  <c r="AH149" i="6"/>
  <c r="AG149" i="6"/>
  <c r="AF149" i="6"/>
  <c r="W149" i="6"/>
  <c r="E149" i="7" s="1"/>
  <c r="T149" i="6"/>
  <c r="Q149" i="6"/>
  <c r="P149" i="6"/>
  <c r="O149" i="6"/>
  <c r="N149" i="6"/>
  <c r="AL149" i="6" s="1"/>
  <c r="M149" i="6"/>
  <c r="L149" i="6"/>
  <c r="K149" i="6"/>
  <c r="J149" i="6"/>
  <c r="AK149" i="6" s="1"/>
  <c r="I149" i="6"/>
  <c r="AJ149" i="6" s="1"/>
  <c r="H149" i="6"/>
  <c r="G149" i="6"/>
  <c r="F149" i="6"/>
  <c r="E149" i="6"/>
  <c r="B149" i="7" s="1"/>
  <c r="D149" i="6"/>
  <c r="C149" i="6" s="1"/>
  <c r="C149" i="7" s="1"/>
  <c r="AK148" i="6"/>
  <c r="AJ148" i="6"/>
  <c r="AI148" i="6"/>
  <c r="AG148" i="6"/>
  <c r="AH148" i="6" s="1"/>
  <c r="U148" i="6"/>
  <c r="Q148" i="6"/>
  <c r="P148" i="6"/>
  <c r="O148" i="6"/>
  <c r="AM148" i="6" s="1"/>
  <c r="N148" i="6"/>
  <c r="AL148" i="6" s="1"/>
  <c r="M148" i="6"/>
  <c r="L148" i="6"/>
  <c r="K148" i="6"/>
  <c r="J148" i="6"/>
  <c r="I148" i="6"/>
  <c r="H148" i="6"/>
  <c r="G148" i="6"/>
  <c r="F148" i="6"/>
  <c r="E148" i="6"/>
  <c r="D148" i="6"/>
  <c r="A148" i="7" s="1"/>
  <c r="C148" i="6"/>
  <c r="C148" i="7" s="1"/>
  <c r="AK147" i="6"/>
  <c r="AJ147" i="6"/>
  <c r="AH147" i="6"/>
  <c r="AG147" i="6"/>
  <c r="AF147" i="6"/>
  <c r="Q147" i="6"/>
  <c r="P147" i="6"/>
  <c r="O147" i="6"/>
  <c r="AM147" i="6" s="1"/>
  <c r="N147" i="6"/>
  <c r="AL147" i="6" s="1"/>
  <c r="M147" i="6"/>
  <c r="L147" i="6"/>
  <c r="K147" i="6"/>
  <c r="J147" i="6"/>
  <c r="I147" i="6"/>
  <c r="H147" i="6"/>
  <c r="AI147" i="6" s="1"/>
  <c r="G147" i="6"/>
  <c r="F147" i="6"/>
  <c r="E147" i="6"/>
  <c r="B147" i="7" s="1"/>
  <c r="D147" i="6"/>
  <c r="AM146" i="6"/>
  <c r="AL146" i="6"/>
  <c r="AK146" i="6"/>
  <c r="AG146" i="6"/>
  <c r="AH146" i="6" s="1"/>
  <c r="U146" i="6"/>
  <c r="S146" i="6"/>
  <c r="R146" i="6"/>
  <c r="D146" i="7" s="1"/>
  <c r="Q146" i="6"/>
  <c r="P146" i="6"/>
  <c r="O146" i="6"/>
  <c r="N146" i="6"/>
  <c r="M146" i="6"/>
  <c r="L146" i="6"/>
  <c r="K146" i="6"/>
  <c r="J146" i="6"/>
  <c r="I146" i="6"/>
  <c r="AJ146" i="6" s="1"/>
  <c r="H146" i="6"/>
  <c r="AI146" i="6" s="1"/>
  <c r="G146" i="6"/>
  <c r="F146" i="6"/>
  <c r="E146" i="6"/>
  <c r="D146" i="6"/>
  <c r="A146" i="7" s="1"/>
  <c r="AM145" i="6"/>
  <c r="AK145" i="6"/>
  <c r="AJ145" i="6"/>
  <c r="AH145" i="6"/>
  <c r="AG145" i="6"/>
  <c r="Q145" i="6"/>
  <c r="P145" i="6"/>
  <c r="O145" i="6"/>
  <c r="N145" i="6"/>
  <c r="AL145" i="6" s="1"/>
  <c r="M145" i="6"/>
  <c r="L145" i="6"/>
  <c r="K145" i="6"/>
  <c r="J145" i="6"/>
  <c r="I145" i="6"/>
  <c r="H145" i="6"/>
  <c r="AI145" i="6" s="1"/>
  <c r="G145" i="6"/>
  <c r="F145" i="6"/>
  <c r="E145" i="6"/>
  <c r="B145" i="7" s="1"/>
  <c r="D145" i="6"/>
  <c r="AM144" i="6"/>
  <c r="V144" i="6"/>
  <c r="U144" i="6"/>
  <c r="R144" i="6"/>
  <c r="D144" i="7" s="1"/>
  <c r="Q144" i="6"/>
  <c r="P144" i="6"/>
  <c r="O144" i="6"/>
  <c r="N144" i="6"/>
  <c r="AL144" i="6" s="1"/>
  <c r="M144" i="6"/>
  <c r="L144" i="6"/>
  <c r="K144" i="6"/>
  <c r="J144" i="6"/>
  <c r="AK144" i="6" s="1"/>
  <c r="I144" i="6"/>
  <c r="AJ144" i="6" s="1"/>
  <c r="H144" i="6"/>
  <c r="AI144" i="6" s="1"/>
  <c r="G144" i="6"/>
  <c r="F144" i="6"/>
  <c r="AG144" i="6" s="1"/>
  <c r="AH144" i="6" s="1"/>
  <c r="E144" i="6"/>
  <c r="D144" i="6"/>
  <c r="A144" i="7" s="1"/>
  <c r="C144" i="6"/>
  <c r="C144" i="7" s="1"/>
  <c r="AM143" i="6"/>
  <c r="AI143" i="6"/>
  <c r="AH143" i="6"/>
  <c r="AG143" i="6"/>
  <c r="W143" i="6"/>
  <c r="E143" i="7" s="1"/>
  <c r="U143" i="6"/>
  <c r="T143" i="6"/>
  <c r="Q143" i="6"/>
  <c r="P143" i="6"/>
  <c r="O143" i="6"/>
  <c r="N143" i="6"/>
  <c r="AL143" i="6" s="1"/>
  <c r="M143" i="6"/>
  <c r="L143" i="6"/>
  <c r="K143" i="6"/>
  <c r="J143" i="6"/>
  <c r="AK143" i="6" s="1"/>
  <c r="I143" i="6"/>
  <c r="AJ143" i="6" s="1"/>
  <c r="H143" i="6"/>
  <c r="G143" i="6"/>
  <c r="F143" i="6"/>
  <c r="E143" i="6"/>
  <c r="B143" i="7" s="1"/>
  <c r="D143" i="6"/>
  <c r="C143" i="6" s="1"/>
  <c r="C143" i="7" s="1"/>
  <c r="B143" i="6"/>
  <c r="AL142" i="6"/>
  <c r="AJ142" i="6"/>
  <c r="AI142" i="6"/>
  <c r="W142" i="6"/>
  <c r="E142" i="7" s="1"/>
  <c r="V142" i="6"/>
  <c r="U142" i="6"/>
  <c r="T142" i="6"/>
  <c r="S142" i="6"/>
  <c r="R142" i="6"/>
  <c r="D142" i="7" s="1"/>
  <c r="Q142" i="6"/>
  <c r="P142" i="6"/>
  <c r="O142" i="6"/>
  <c r="AM142" i="6" s="1"/>
  <c r="N142" i="6"/>
  <c r="M142" i="6"/>
  <c r="L142" i="6"/>
  <c r="K142" i="6"/>
  <c r="J142" i="6"/>
  <c r="AK142" i="6" s="1"/>
  <c r="I142" i="6"/>
  <c r="H142" i="6"/>
  <c r="G142" i="6"/>
  <c r="F142" i="6"/>
  <c r="AG142" i="6" s="1"/>
  <c r="AH142" i="6" s="1"/>
  <c r="E142" i="6"/>
  <c r="D142" i="6"/>
  <c r="A142" i="7" s="1"/>
  <c r="C142" i="6"/>
  <c r="C142" i="7" s="1"/>
  <c r="B142" i="6"/>
  <c r="AM141" i="6"/>
  <c r="AI141" i="6"/>
  <c r="AF141" i="6"/>
  <c r="W141" i="6"/>
  <c r="E141" i="7" s="1"/>
  <c r="T141" i="6"/>
  <c r="Q141" i="6"/>
  <c r="P141" i="6"/>
  <c r="O141" i="6"/>
  <c r="N141" i="6"/>
  <c r="AL141" i="6" s="1"/>
  <c r="M141" i="6"/>
  <c r="L141" i="6"/>
  <c r="K141" i="6"/>
  <c r="J141" i="6"/>
  <c r="AK141" i="6" s="1"/>
  <c r="I141" i="6"/>
  <c r="AJ141" i="6" s="1"/>
  <c r="H141" i="6"/>
  <c r="G141" i="6"/>
  <c r="F141" i="6"/>
  <c r="AG141" i="6" s="1"/>
  <c r="AH141" i="6" s="1"/>
  <c r="E141" i="6"/>
  <c r="B141" i="7" s="1"/>
  <c r="D141" i="6"/>
  <c r="C141" i="6" s="1"/>
  <c r="C141" i="7" s="1"/>
  <c r="AL140" i="6"/>
  <c r="AJ140" i="6"/>
  <c r="AG140" i="6"/>
  <c r="AH140" i="6" s="1"/>
  <c r="Q140" i="6"/>
  <c r="P140" i="6"/>
  <c r="O140" i="6"/>
  <c r="AM140" i="6" s="1"/>
  <c r="N140" i="6"/>
  <c r="M140" i="6"/>
  <c r="L140" i="6"/>
  <c r="K140" i="6"/>
  <c r="J140" i="6"/>
  <c r="AK140" i="6" s="1"/>
  <c r="I140" i="6"/>
  <c r="H140" i="6"/>
  <c r="AI140" i="6" s="1"/>
  <c r="G140" i="6"/>
  <c r="F140" i="6"/>
  <c r="E140" i="6"/>
  <c r="B140" i="7" s="1"/>
  <c r="D140" i="6"/>
  <c r="A140" i="7" s="1"/>
  <c r="AM139" i="6"/>
  <c r="AJ139" i="6"/>
  <c r="AI139" i="6"/>
  <c r="AH139" i="6"/>
  <c r="AG139" i="6"/>
  <c r="V139" i="6"/>
  <c r="S139" i="6"/>
  <c r="Q139" i="6"/>
  <c r="P139" i="6"/>
  <c r="O139" i="6"/>
  <c r="N139" i="6"/>
  <c r="AL139" i="6" s="1"/>
  <c r="M139" i="6"/>
  <c r="L139" i="6"/>
  <c r="K139" i="6"/>
  <c r="J139" i="6"/>
  <c r="AK139" i="6" s="1"/>
  <c r="I139" i="6"/>
  <c r="H139" i="6"/>
  <c r="G139" i="6"/>
  <c r="F139" i="6"/>
  <c r="E139" i="6"/>
  <c r="B139" i="7" s="1"/>
  <c r="D139" i="6"/>
  <c r="A139" i="7" s="1"/>
  <c r="AL138" i="6"/>
  <c r="AJ138" i="6"/>
  <c r="AG138" i="6"/>
  <c r="AH138" i="6" s="1"/>
  <c r="Q138" i="6"/>
  <c r="P138" i="6"/>
  <c r="O138" i="6"/>
  <c r="AM138" i="6" s="1"/>
  <c r="N138" i="6"/>
  <c r="M138" i="6"/>
  <c r="L138" i="6"/>
  <c r="K138" i="6"/>
  <c r="J138" i="6"/>
  <c r="AK138" i="6" s="1"/>
  <c r="I138" i="6"/>
  <c r="H138" i="6"/>
  <c r="AI138" i="6" s="1"/>
  <c r="G138" i="6"/>
  <c r="F138" i="6"/>
  <c r="E138" i="6"/>
  <c r="B138" i="7" s="1"/>
  <c r="D138" i="6"/>
  <c r="AM137" i="6"/>
  <c r="AJ137" i="6"/>
  <c r="AI137" i="6"/>
  <c r="AH137" i="6"/>
  <c r="AG137" i="6"/>
  <c r="V137" i="6"/>
  <c r="S137" i="6"/>
  <c r="Q137" i="6"/>
  <c r="P137" i="6"/>
  <c r="O137" i="6"/>
  <c r="N137" i="6"/>
  <c r="AL137" i="6" s="1"/>
  <c r="M137" i="6"/>
  <c r="L137" i="6"/>
  <c r="K137" i="6"/>
  <c r="J137" i="6"/>
  <c r="AK137" i="6" s="1"/>
  <c r="I137" i="6"/>
  <c r="H137" i="6"/>
  <c r="G137" i="6"/>
  <c r="F137" i="6"/>
  <c r="E137" i="6"/>
  <c r="B137" i="7" s="1"/>
  <c r="D137" i="6"/>
  <c r="A137" i="7" s="1"/>
  <c r="AL136" i="6"/>
  <c r="AJ136" i="6"/>
  <c r="AG136" i="6"/>
  <c r="AH136" i="6" s="1"/>
  <c r="Q136" i="6"/>
  <c r="P136" i="6"/>
  <c r="O136" i="6"/>
  <c r="AM136" i="6" s="1"/>
  <c r="N136" i="6"/>
  <c r="M136" i="6"/>
  <c r="L136" i="6"/>
  <c r="K136" i="6"/>
  <c r="J136" i="6"/>
  <c r="AK136" i="6" s="1"/>
  <c r="I136" i="6"/>
  <c r="H136" i="6"/>
  <c r="AI136" i="6" s="1"/>
  <c r="G136" i="6"/>
  <c r="F136" i="6"/>
  <c r="E136" i="6"/>
  <c r="B136" i="7" s="1"/>
  <c r="D136" i="6"/>
  <c r="AM135" i="6"/>
  <c r="AJ135" i="6"/>
  <c r="AI135" i="6"/>
  <c r="AH135" i="6"/>
  <c r="AG135" i="6"/>
  <c r="V135" i="6"/>
  <c r="S135" i="6"/>
  <c r="Q135" i="6"/>
  <c r="P135" i="6"/>
  <c r="O135" i="6"/>
  <c r="N135" i="6"/>
  <c r="AL135" i="6" s="1"/>
  <c r="M135" i="6"/>
  <c r="L135" i="6"/>
  <c r="K135" i="6"/>
  <c r="J135" i="6"/>
  <c r="AK135" i="6" s="1"/>
  <c r="I135" i="6"/>
  <c r="H135" i="6"/>
  <c r="G135" i="6"/>
  <c r="F135" i="6"/>
  <c r="E135" i="6"/>
  <c r="B135" i="7" s="1"/>
  <c r="D135" i="6"/>
  <c r="A135" i="7" s="1"/>
  <c r="AL134" i="6"/>
  <c r="AJ134" i="6"/>
  <c r="AG134" i="6"/>
  <c r="AH134" i="6" s="1"/>
  <c r="Q134" i="6"/>
  <c r="P134" i="6"/>
  <c r="O134" i="6"/>
  <c r="AM134" i="6" s="1"/>
  <c r="N134" i="6"/>
  <c r="M134" i="6"/>
  <c r="L134" i="6"/>
  <c r="K134" i="6"/>
  <c r="J134" i="6"/>
  <c r="AK134" i="6" s="1"/>
  <c r="I134" i="6"/>
  <c r="H134" i="6"/>
  <c r="AI134" i="6" s="1"/>
  <c r="G134" i="6"/>
  <c r="F134" i="6"/>
  <c r="E134" i="6"/>
  <c r="B134" i="7" s="1"/>
  <c r="D134" i="6"/>
  <c r="AM133" i="6"/>
  <c r="AJ133" i="6"/>
  <c r="AI133" i="6"/>
  <c r="AH133" i="6"/>
  <c r="AG133" i="6"/>
  <c r="V133" i="6"/>
  <c r="S133" i="6"/>
  <c r="Q133" i="6"/>
  <c r="P133" i="6"/>
  <c r="O133" i="6"/>
  <c r="N133" i="6"/>
  <c r="AL133" i="6" s="1"/>
  <c r="M133" i="6"/>
  <c r="L133" i="6"/>
  <c r="K133" i="6"/>
  <c r="J133" i="6"/>
  <c r="AK133" i="6" s="1"/>
  <c r="I133" i="6"/>
  <c r="H133" i="6"/>
  <c r="G133" i="6"/>
  <c r="F133" i="6"/>
  <c r="E133" i="6"/>
  <c r="B133" i="7" s="1"/>
  <c r="D133" i="6"/>
  <c r="A133" i="7" s="1"/>
  <c r="AL132" i="6"/>
  <c r="AJ132" i="6"/>
  <c r="AG132" i="6"/>
  <c r="AH132" i="6" s="1"/>
  <c r="Q132" i="6"/>
  <c r="P132" i="6"/>
  <c r="O132" i="6"/>
  <c r="AM132" i="6" s="1"/>
  <c r="N132" i="6"/>
  <c r="M132" i="6"/>
  <c r="L132" i="6"/>
  <c r="K132" i="6"/>
  <c r="J132" i="6"/>
  <c r="AK132" i="6" s="1"/>
  <c r="I132" i="6"/>
  <c r="H132" i="6"/>
  <c r="AI132" i="6" s="1"/>
  <c r="G132" i="6"/>
  <c r="F132" i="6"/>
  <c r="E132" i="6"/>
  <c r="B132" i="7" s="1"/>
  <c r="D132" i="6"/>
  <c r="AM131" i="6"/>
  <c r="AJ131" i="6"/>
  <c r="AI131" i="6"/>
  <c r="AH131" i="6"/>
  <c r="AG131" i="6"/>
  <c r="V131" i="6"/>
  <c r="S131" i="6"/>
  <c r="Q131" i="6"/>
  <c r="P131" i="6"/>
  <c r="O131" i="6"/>
  <c r="N131" i="6"/>
  <c r="AL131" i="6" s="1"/>
  <c r="M131" i="6"/>
  <c r="L131" i="6"/>
  <c r="K131" i="6"/>
  <c r="J131" i="6"/>
  <c r="AK131" i="6" s="1"/>
  <c r="I131" i="6"/>
  <c r="H131" i="6"/>
  <c r="G131" i="6"/>
  <c r="F131" i="6"/>
  <c r="E131" i="6"/>
  <c r="B131" i="7" s="1"/>
  <c r="D131" i="6"/>
  <c r="A131" i="7" s="1"/>
  <c r="AM130" i="6"/>
  <c r="AL130" i="6"/>
  <c r="AJ130" i="6"/>
  <c r="AG130" i="6"/>
  <c r="AH130" i="6" s="1"/>
  <c r="Q130" i="6"/>
  <c r="P130" i="6"/>
  <c r="O130" i="6"/>
  <c r="N130" i="6"/>
  <c r="M130" i="6"/>
  <c r="L130" i="6"/>
  <c r="K130" i="6"/>
  <c r="J130" i="6"/>
  <c r="AK130" i="6" s="1"/>
  <c r="I130" i="6"/>
  <c r="H130" i="6"/>
  <c r="AI130" i="6" s="1"/>
  <c r="G130" i="6"/>
  <c r="F130" i="6"/>
  <c r="E130" i="6"/>
  <c r="B130" i="7" s="1"/>
  <c r="D130" i="6"/>
  <c r="AM129" i="6"/>
  <c r="AJ129" i="6"/>
  <c r="AI129" i="6"/>
  <c r="AH129" i="6"/>
  <c r="AG129" i="6"/>
  <c r="V129" i="6"/>
  <c r="S129" i="6"/>
  <c r="Q129" i="6"/>
  <c r="P129" i="6"/>
  <c r="O129" i="6"/>
  <c r="N129" i="6"/>
  <c r="AL129" i="6" s="1"/>
  <c r="M129" i="6"/>
  <c r="L129" i="6"/>
  <c r="K129" i="6"/>
  <c r="J129" i="6"/>
  <c r="AK129" i="6" s="1"/>
  <c r="I129" i="6"/>
  <c r="H129" i="6"/>
  <c r="G129" i="6"/>
  <c r="F129" i="6"/>
  <c r="E129" i="6"/>
  <c r="B129" i="7" s="1"/>
  <c r="D129" i="6"/>
  <c r="A129" i="7" s="1"/>
  <c r="AM128" i="6"/>
  <c r="AL128" i="6"/>
  <c r="AJ128" i="6"/>
  <c r="AG128" i="6"/>
  <c r="AH128" i="6" s="1"/>
  <c r="Q128" i="6"/>
  <c r="P128" i="6"/>
  <c r="O128" i="6"/>
  <c r="N128" i="6"/>
  <c r="M128" i="6"/>
  <c r="L128" i="6"/>
  <c r="K128" i="6"/>
  <c r="J128" i="6"/>
  <c r="AK128" i="6" s="1"/>
  <c r="I128" i="6"/>
  <c r="H128" i="6"/>
  <c r="AI128" i="6" s="1"/>
  <c r="G128" i="6"/>
  <c r="F128" i="6"/>
  <c r="E128" i="6"/>
  <c r="B128" i="7" s="1"/>
  <c r="D128" i="6"/>
  <c r="AM127" i="6"/>
  <c r="AJ127" i="6"/>
  <c r="AI127" i="6"/>
  <c r="AH127" i="6"/>
  <c r="AG127" i="6"/>
  <c r="V127" i="6"/>
  <c r="S127" i="6"/>
  <c r="Q127" i="6"/>
  <c r="P127" i="6"/>
  <c r="O127" i="6"/>
  <c r="N127" i="6"/>
  <c r="AL127" i="6" s="1"/>
  <c r="M127" i="6"/>
  <c r="L127" i="6"/>
  <c r="K127" i="6"/>
  <c r="J127" i="6"/>
  <c r="AK127" i="6" s="1"/>
  <c r="I127" i="6"/>
  <c r="H127" i="6"/>
  <c r="G127" i="6"/>
  <c r="F127" i="6"/>
  <c r="E127" i="6"/>
  <c r="B127" i="7" s="1"/>
  <c r="D127" i="6"/>
  <c r="A127" i="7" s="1"/>
  <c r="AM126" i="6"/>
  <c r="AL126" i="6"/>
  <c r="AJ126" i="6"/>
  <c r="AG126" i="6"/>
  <c r="AH126" i="6" s="1"/>
  <c r="Q126" i="6"/>
  <c r="P126" i="6"/>
  <c r="O126" i="6"/>
  <c r="N126" i="6"/>
  <c r="M126" i="6"/>
  <c r="L126" i="6"/>
  <c r="K126" i="6"/>
  <c r="J126" i="6"/>
  <c r="AK126" i="6" s="1"/>
  <c r="I126" i="6"/>
  <c r="H126" i="6"/>
  <c r="AI126" i="6" s="1"/>
  <c r="G126" i="6"/>
  <c r="F126" i="6"/>
  <c r="E126" i="6"/>
  <c r="B126" i="7" s="1"/>
  <c r="D126" i="6"/>
  <c r="AM125" i="6"/>
  <c r="AJ125" i="6"/>
  <c r="AI125" i="6"/>
  <c r="AH125" i="6"/>
  <c r="AG125" i="6"/>
  <c r="V125" i="6"/>
  <c r="S125" i="6"/>
  <c r="Q125" i="6"/>
  <c r="P125" i="6"/>
  <c r="O125" i="6"/>
  <c r="N125" i="6"/>
  <c r="AL125" i="6" s="1"/>
  <c r="M125" i="6"/>
  <c r="L125" i="6"/>
  <c r="K125" i="6"/>
  <c r="J125" i="6"/>
  <c r="AK125" i="6" s="1"/>
  <c r="I125" i="6"/>
  <c r="H125" i="6"/>
  <c r="G125" i="6"/>
  <c r="F125" i="6"/>
  <c r="E125" i="6"/>
  <c r="B125" i="7" s="1"/>
  <c r="D125" i="6"/>
  <c r="A125" i="7" s="1"/>
  <c r="AM124" i="6"/>
  <c r="AL124" i="6"/>
  <c r="AJ124" i="6"/>
  <c r="AG124" i="6"/>
  <c r="AH124" i="6" s="1"/>
  <c r="Q124" i="6"/>
  <c r="P124" i="6"/>
  <c r="O124" i="6"/>
  <c r="N124" i="6"/>
  <c r="M124" i="6"/>
  <c r="L124" i="6"/>
  <c r="K124" i="6"/>
  <c r="J124" i="6"/>
  <c r="AK124" i="6" s="1"/>
  <c r="I124" i="6"/>
  <c r="H124" i="6"/>
  <c r="AI124" i="6" s="1"/>
  <c r="G124" i="6"/>
  <c r="F124" i="6"/>
  <c r="E124" i="6"/>
  <c r="B124" i="7" s="1"/>
  <c r="D124" i="6"/>
  <c r="AM123" i="6"/>
  <c r="AJ123" i="6"/>
  <c r="AI123" i="6"/>
  <c r="AH123" i="6"/>
  <c r="AG123" i="6"/>
  <c r="V123" i="6"/>
  <c r="S123" i="6"/>
  <c r="Q123" i="6"/>
  <c r="P123" i="6"/>
  <c r="O123" i="6"/>
  <c r="N123" i="6"/>
  <c r="AL123" i="6" s="1"/>
  <c r="M123" i="6"/>
  <c r="L123" i="6"/>
  <c r="K123" i="6"/>
  <c r="J123" i="6"/>
  <c r="AK123" i="6" s="1"/>
  <c r="I123" i="6"/>
  <c r="H123" i="6"/>
  <c r="G123" i="6"/>
  <c r="F123" i="6"/>
  <c r="E123" i="6"/>
  <c r="B123" i="7" s="1"/>
  <c r="D123" i="6"/>
  <c r="A123" i="7" s="1"/>
  <c r="AM122" i="6"/>
  <c r="AL122" i="6"/>
  <c r="AJ122" i="6"/>
  <c r="AG122" i="6"/>
  <c r="AH122" i="6" s="1"/>
  <c r="Q122" i="6"/>
  <c r="P122" i="6"/>
  <c r="O122" i="6"/>
  <c r="N122" i="6"/>
  <c r="M122" i="6"/>
  <c r="L122" i="6"/>
  <c r="K122" i="6"/>
  <c r="J122" i="6"/>
  <c r="AK122" i="6" s="1"/>
  <c r="I122" i="6"/>
  <c r="H122" i="6"/>
  <c r="AI122" i="6" s="1"/>
  <c r="G122" i="6"/>
  <c r="F122" i="6"/>
  <c r="E122" i="6"/>
  <c r="B122" i="7" s="1"/>
  <c r="D122" i="6"/>
  <c r="AM121" i="6"/>
  <c r="AJ121" i="6"/>
  <c r="AI121" i="6"/>
  <c r="AH121" i="6"/>
  <c r="AG121" i="6"/>
  <c r="V121" i="6"/>
  <c r="S121" i="6"/>
  <c r="Q121" i="6"/>
  <c r="P121" i="6"/>
  <c r="O121" i="6"/>
  <c r="N121" i="6"/>
  <c r="AL121" i="6" s="1"/>
  <c r="M121" i="6"/>
  <c r="L121" i="6"/>
  <c r="K121" i="6"/>
  <c r="J121" i="6"/>
  <c r="AK121" i="6" s="1"/>
  <c r="I121" i="6"/>
  <c r="H121" i="6"/>
  <c r="G121" i="6"/>
  <c r="F121" i="6"/>
  <c r="E121" i="6"/>
  <c r="B121" i="7" s="1"/>
  <c r="D121" i="6"/>
  <c r="A121" i="7" s="1"/>
  <c r="AM120" i="6"/>
  <c r="AL120" i="6"/>
  <c r="AJ120" i="6"/>
  <c r="AG120" i="6"/>
  <c r="AH120" i="6" s="1"/>
  <c r="Q120" i="6"/>
  <c r="P120" i="6"/>
  <c r="O120" i="6"/>
  <c r="N120" i="6"/>
  <c r="M120" i="6"/>
  <c r="L120" i="6"/>
  <c r="K120" i="6"/>
  <c r="J120" i="6"/>
  <c r="AK120" i="6" s="1"/>
  <c r="I120" i="6"/>
  <c r="H120" i="6"/>
  <c r="AI120" i="6" s="1"/>
  <c r="G120" i="6"/>
  <c r="F120" i="6"/>
  <c r="E120" i="6"/>
  <c r="B120" i="7" s="1"/>
  <c r="D120" i="6"/>
  <c r="AM119" i="6"/>
  <c r="AJ119" i="6"/>
  <c r="AI119" i="6"/>
  <c r="AH119" i="6"/>
  <c r="AG119" i="6"/>
  <c r="V119" i="6"/>
  <c r="S119" i="6"/>
  <c r="Q119" i="6"/>
  <c r="P119" i="6"/>
  <c r="O119" i="6"/>
  <c r="N119" i="6"/>
  <c r="AL119" i="6" s="1"/>
  <c r="M119" i="6"/>
  <c r="L119" i="6"/>
  <c r="K119" i="6"/>
  <c r="J119" i="6"/>
  <c r="AK119" i="6" s="1"/>
  <c r="I119" i="6"/>
  <c r="H119" i="6"/>
  <c r="G119" i="6"/>
  <c r="F119" i="6"/>
  <c r="E119" i="6"/>
  <c r="B119" i="7" s="1"/>
  <c r="D119" i="6"/>
  <c r="A119" i="7" s="1"/>
  <c r="AM118" i="6"/>
  <c r="AL118" i="6"/>
  <c r="AJ118" i="6"/>
  <c r="AG118" i="6"/>
  <c r="AH118" i="6" s="1"/>
  <c r="Q118" i="6"/>
  <c r="P118" i="6"/>
  <c r="O118" i="6"/>
  <c r="N118" i="6"/>
  <c r="M118" i="6"/>
  <c r="L118" i="6"/>
  <c r="K118" i="6"/>
  <c r="J118" i="6"/>
  <c r="AK118" i="6" s="1"/>
  <c r="I118" i="6"/>
  <c r="H118" i="6"/>
  <c r="AI118" i="6" s="1"/>
  <c r="G118" i="6"/>
  <c r="F118" i="6"/>
  <c r="E118" i="6"/>
  <c r="B118" i="7" s="1"/>
  <c r="D118" i="6"/>
  <c r="AM117" i="6"/>
  <c r="AJ117" i="6"/>
  <c r="AI117" i="6"/>
  <c r="AH117" i="6"/>
  <c r="AG117" i="6"/>
  <c r="V117" i="6"/>
  <c r="S117" i="6"/>
  <c r="Q117" i="6"/>
  <c r="P117" i="6"/>
  <c r="O117" i="6"/>
  <c r="N117" i="6"/>
  <c r="AL117" i="6" s="1"/>
  <c r="M117" i="6"/>
  <c r="L117" i="6"/>
  <c r="K117" i="6"/>
  <c r="J117" i="6"/>
  <c r="AK117" i="6" s="1"/>
  <c r="I117" i="6"/>
  <c r="H117" i="6"/>
  <c r="G117" i="6"/>
  <c r="F117" i="6"/>
  <c r="E117" i="6"/>
  <c r="B117" i="7" s="1"/>
  <c r="D117" i="6"/>
  <c r="A117" i="7" s="1"/>
  <c r="AM116" i="6"/>
  <c r="AL116" i="6"/>
  <c r="AJ116" i="6"/>
  <c r="AG116" i="6"/>
  <c r="AH116" i="6" s="1"/>
  <c r="Q116" i="6"/>
  <c r="P116" i="6"/>
  <c r="O116" i="6"/>
  <c r="N116" i="6"/>
  <c r="M116" i="6"/>
  <c r="L116" i="6"/>
  <c r="K116" i="6"/>
  <c r="J116" i="6"/>
  <c r="AK116" i="6" s="1"/>
  <c r="I116" i="6"/>
  <c r="H116" i="6"/>
  <c r="AI116" i="6" s="1"/>
  <c r="G116" i="6"/>
  <c r="F116" i="6"/>
  <c r="E116" i="6"/>
  <c r="B116" i="7" s="1"/>
  <c r="D116" i="6"/>
  <c r="AM115" i="6"/>
  <c r="AJ115" i="6"/>
  <c r="AI115" i="6"/>
  <c r="AH115" i="6"/>
  <c r="AG115" i="6"/>
  <c r="V115" i="6"/>
  <c r="S115" i="6"/>
  <c r="Q115" i="6"/>
  <c r="P115" i="6"/>
  <c r="O115" i="6"/>
  <c r="N115" i="6"/>
  <c r="AL115" i="6" s="1"/>
  <c r="M115" i="6"/>
  <c r="L115" i="6"/>
  <c r="K115" i="6"/>
  <c r="J115" i="6"/>
  <c r="AK115" i="6" s="1"/>
  <c r="I115" i="6"/>
  <c r="H115" i="6"/>
  <c r="G115" i="6"/>
  <c r="F115" i="6"/>
  <c r="E115" i="6"/>
  <c r="B115" i="7" s="1"/>
  <c r="D115" i="6"/>
  <c r="A115" i="7" s="1"/>
  <c r="AM114" i="6"/>
  <c r="AL114" i="6"/>
  <c r="AJ114" i="6"/>
  <c r="AG114" i="6"/>
  <c r="AH114" i="6" s="1"/>
  <c r="Q114" i="6"/>
  <c r="P114" i="6"/>
  <c r="O114" i="6"/>
  <c r="N114" i="6"/>
  <c r="M114" i="6"/>
  <c r="L114" i="6"/>
  <c r="K114" i="6"/>
  <c r="J114" i="6"/>
  <c r="AK114" i="6" s="1"/>
  <c r="I114" i="6"/>
  <c r="H114" i="6"/>
  <c r="AI114" i="6" s="1"/>
  <c r="G114" i="6"/>
  <c r="F114" i="6"/>
  <c r="E114" i="6"/>
  <c r="B114" i="7" s="1"/>
  <c r="D114" i="6"/>
  <c r="AM113" i="6"/>
  <c r="AJ113" i="6"/>
  <c r="AI113" i="6"/>
  <c r="AH113" i="6"/>
  <c r="AG113" i="6"/>
  <c r="V113" i="6"/>
  <c r="S113" i="6"/>
  <c r="Q113" i="6"/>
  <c r="P113" i="6"/>
  <c r="O113" i="6"/>
  <c r="N113" i="6"/>
  <c r="AL113" i="6" s="1"/>
  <c r="M113" i="6"/>
  <c r="L113" i="6"/>
  <c r="K113" i="6"/>
  <c r="J113" i="6"/>
  <c r="AK113" i="6" s="1"/>
  <c r="I113" i="6"/>
  <c r="H113" i="6"/>
  <c r="G113" i="6"/>
  <c r="F113" i="6"/>
  <c r="E113" i="6"/>
  <c r="B113" i="7" s="1"/>
  <c r="D113" i="6"/>
  <c r="A113" i="7" s="1"/>
  <c r="AM112" i="6"/>
  <c r="AL112" i="6"/>
  <c r="AJ112" i="6"/>
  <c r="AG112" i="6"/>
  <c r="AH112" i="6" s="1"/>
  <c r="Q112" i="6"/>
  <c r="P112" i="6"/>
  <c r="O112" i="6"/>
  <c r="N112" i="6"/>
  <c r="M112" i="6"/>
  <c r="L112" i="6"/>
  <c r="K112" i="6"/>
  <c r="J112" i="6"/>
  <c r="AK112" i="6" s="1"/>
  <c r="I112" i="6"/>
  <c r="H112" i="6"/>
  <c r="AI112" i="6" s="1"/>
  <c r="G112" i="6"/>
  <c r="F112" i="6"/>
  <c r="E112" i="6"/>
  <c r="B112" i="7" s="1"/>
  <c r="D112" i="6"/>
  <c r="AM111" i="6"/>
  <c r="AJ111" i="6"/>
  <c r="AI111" i="6"/>
  <c r="AH111" i="6"/>
  <c r="AG111" i="6"/>
  <c r="V111" i="6"/>
  <c r="S111" i="6"/>
  <c r="Q111" i="6"/>
  <c r="P111" i="6"/>
  <c r="O111" i="6"/>
  <c r="N111" i="6"/>
  <c r="AL111" i="6" s="1"/>
  <c r="M111" i="6"/>
  <c r="L111" i="6"/>
  <c r="K111" i="6"/>
  <c r="J111" i="6"/>
  <c r="AK111" i="6" s="1"/>
  <c r="I111" i="6"/>
  <c r="H111" i="6"/>
  <c r="G111" i="6"/>
  <c r="F111" i="6"/>
  <c r="E111" i="6"/>
  <c r="B111" i="7" s="1"/>
  <c r="D111" i="6"/>
  <c r="A111" i="7" s="1"/>
  <c r="AM110" i="6"/>
  <c r="AL110" i="6"/>
  <c r="AJ110" i="6"/>
  <c r="AG110" i="6"/>
  <c r="AH110" i="6" s="1"/>
  <c r="Q110" i="6"/>
  <c r="P110" i="6"/>
  <c r="O110" i="6"/>
  <c r="N110" i="6"/>
  <c r="M110" i="6"/>
  <c r="L110" i="6"/>
  <c r="K110" i="6"/>
  <c r="J110" i="6"/>
  <c r="AK110" i="6" s="1"/>
  <c r="I110" i="6"/>
  <c r="H110" i="6"/>
  <c r="AI110" i="6" s="1"/>
  <c r="G110" i="6"/>
  <c r="F110" i="6"/>
  <c r="E110" i="6"/>
  <c r="B110" i="7" s="1"/>
  <c r="D110" i="6"/>
  <c r="AM109" i="6"/>
  <c r="AJ109" i="6"/>
  <c r="AI109" i="6"/>
  <c r="AH109" i="6"/>
  <c r="AG109" i="6"/>
  <c r="V109" i="6"/>
  <c r="S109" i="6"/>
  <c r="Q109" i="6"/>
  <c r="P109" i="6"/>
  <c r="O109" i="6"/>
  <c r="N109" i="6"/>
  <c r="AL109" i="6" s="1"/>
  <c r="M109" i="6"/>
  <c r="L109" i="6"/>
  <c r="K109" i="6"/>
  <c r="J109" i="6"/>
  <c r="AK109" i="6" s="1"/>
  <c r="I109" i="6"/>
  <c r="H109" i="6"/>
  <c r="G109" i="6"/>
  <c r="F109" i="6"/>
  <c r="E109" i="6"/>
  <c r="B109" i="7" s="1"/>
  <c r="D109" i="6"/>
  <c r="A109" i="7" s="1"/>
  <c r="AM108" i="6"/>
  <c r="AL108" i="6"/>
  <c r="AJ108" i="6"/>
  <c r="AG108" i="6"/>
  <c r="AH108" i="6" s="1"/>
  <c r="Q108" i="6"/>
  <c r="P108" i="6"/>
  <c r="O108" i="6"/>
  <c r="N108" i="6"/>
  <c r="M108" i="6"/>
  <c r="L108" i="6"/>
  <c r="K108" i="6"/>
  <c r="J108" i="6"/>
  <c r="AK108" i="6" s="1"/>
  <c r="I108" i="6"/>
  <c r="H108" i="6"/>
  <c r="AI108" i="6" s="1"/>
  <c r="G108" i="6"/>
  <c r="F108" i="6"/>
  <c r="E108" i="6"/>
  <c r="B108" i="7" s="1"/>
  <c r="D108" i="6"/>
  <c r="AM107" i="6"/>
  <c r="AJ107" i="6"/>
  <c r="AI107" i="6"/>
  <c r="AH107" i="6"/>
  <c r="AG107" i="6"/>
  <c r="V107" i="6"/>
  <c r="Q107" i="6"/>
  <c r="P107" i="6"/>
  <c r="O107" i="6"/>
  <c r="N107" i="6"/>
  <c r="AL107" i="6" s="1"/>
  <c r="M107" i="6"/>
  <c r="L107" i="6"/>
  <c r="K107" i="6"/>
  <c r="J107" i="6"/>
  <c r="AK107" i="6" s="1"/>
  <c r="I107" i="6"/>
  <c r="H107" i="6"/>
  <c r="G107" i="6"/>
  <c r="F107" i="6"/>
  <c r="E107" i="6"/>
  <c r="B107" i="7" s="1"/>
  <c r="D107" i="6"/>
  <c r="AM106" i="6"/>
  <c r="AL106" i="6"/>
  <c r="AJ106" i="6"/>
  <c r="AG106" i="6"/>
  <c r="AH106" i="6" s="1"/>
  <c r="Q106" i="6"/>
  <c r="P106" i="6"/>
  <c r="O106" i="6"/>
  <c r="N106" i="6"/>
  <c r="M106" i="6"/>
  <c r="L106" i="6"/>
  <c r="K106" i="6"/>
  <c r="J106" i="6"/>
  <c r="AK106" i="6" s="1"/>
  <c r="I106" i="6"/>
  <c r="H106" i="6"/>
  <c r="AI106" i="6" s="1"/>
  <c r="G106" i="6"/>
  <c r="F106" i="6"/>
  <c r="E106" i="6"/>
  <c r="B106" i="7" s="1"/>
  <c r="D106" i="6"/>
  <c r="AM105" i="6"/>
  <c r="AJ105" i="6"/>
  <c r="AI105" i="6"/>
  <c r="AH105" i="6"/>
  <c r="AG105" i="6"/>
  <c r="Q105" i="6"/>
  <c r="P105" i="6"/>
  <c r="O105" i="6"/>
  <c r="N105" i="6"/>
  <c r="AL105" i="6" s="1"/>
  <c r="M105" i="6"/>
  <c r="L105" i="6"/>
  <c r="K105" i="6"/>
  <c r="J105" i="6"/>
  <c r="AK105" i="6" s="1"/>
  <c r="I105" i="6"/>
  <c r="H105" i="6"/>
  <c r="G105" i="6"/>
  <c r="F105" i="6"/>
  <c r="E105" i="6"/>
  <c r="B105" i="7" s="1"/>
  <c r="D105" i="6"/>
  <c r="V105" i="6" s="1"/>
  <c r="AM104" i="6"/>
  <c r="AL104" i="6"/>
  <c r="AJ104" i="6"/>
  <c r="AG104" i="6"/>
  <c r="AH104" i="6" s="1"/>
  <c r="V104" i="6"/>
  <c r="Q104" i="6"/>
  <c r="P104" i="6"/>
  <c r="O104" i="6"/>
  <c r="N104" i="6"/>
  <c r="M104" i="6"/>
  <c r="L104" i="6"/>
  <c r="K104" i="6"/>
  <c r="J104" i="6"/>
  <c r="AK104" i="6" s="1"/>
  <c r="I104" i="6"/>
  <c r="H104" i="6"/>
  <c r="AI104" i="6" s="1"/>
  <c r="G104" i="6"/>
  <c r="F104" i="6"/>
  <c r="E104" i="6"/>
  <c r="B104" i="7" s="1"/>
  <c r="D104" i="6"/>
  <c r="AM103" i="6"/>
  <c r="AJ103" i="6"/>
  <c r="AI103" i="6"/>
  <c r="AH103" i="6"/>
  <c r="AG103" i="6"/>
  <c r="S103" i="6"/>
  <c r="Q103" i="6"/>
  <c r="P103" i="6"/>
  <c r="O103" i="6"/>
  <c r="N103" i="6"/>
  <c r="AL103" i="6" s="1"/>
  <c r="M103" i="6"/>
  <c r="L103" i="6"/>
  <c r="K103" i="6"/>
  <c r="J103" i="6"/>
  <c r="AK103" i="6" s="1"/>
  <c r="I103" i="6"/>
  <c r="H103" i="6"/>
  <c r="G103" i="6"/>
  <c r="F103" i="6"/>
  <c r="E103" i="6"/>
  <c r="B103" i="7" s="1"/>
  <c r="D103" i="6"/>
  <c r="AM102" i="6"/>
  <c r="AL102" i="6"/>
  <c r="AJ102" i="6"/>
  <c r="AG102" i="6"/>
  <c r="AH102" i="6" s="1"/>
  <c r="V102" i="6"/>
  <c r="Q102" i="6"/>
  <c r="P102" i="6"/>
  <c r="O102" i="6"/>
  <c r="N102" i="6"/>
  <c r="M102" i="6"/>
  <c r="L102" i="6"/>
  <c r="K102" i="6"/>
  <c r="J102" i="6"/>
  <c r="AK102" i="6" s="1"/>
  <c r="I102" i="6"/>
  <c r="H102" i="6"/>
  <c r="AI102" i="6" s="1"/>
  <c r="G102" i="6"/>
  <c r="F102" i="6"/>
  <c r="E102" i="6"/>
  <c r="B102" i="7" s="1"/>
  <c r="D102" i="6"/>
  <c r="AM101" i="6"/>
  <c r="AJ101" i="6"/>
  <c r="AI101" i="6"/>
  <c r="AH101" i="6"/>
  <c r="AG101" i="6"/>
  <c r="V101" i="6"/>
  <c r="Q101" i="6"/>
  <c r="P101" i="6"/>
  <c r="O101" i="6"/>
  <c r="N101" i="6"/>
  <c r="AL101" i="6" s="1"/>
  <c r="M101" i="6"/>
  <c r="L101" i="6"/>
  <c r="K101" i="6"/>
  <c r="J101" i="6"/>
  <c r="AK101" i="6" s="1"/>
  <c r="I101" i="6"/>
  <c r="H101" i="6"/>
  <c r="G101" i="6"/>
  <c r="F101" i="6"/>
  <c r="E101" i="6"/>
  <c r="B101" i="7" s="1"/>
  <c r="D101" i="6"/>
  <c r="AM100" i="6"/>
  <c r="AL100" i="6"/>
  <c r="AJ100" i="6"/>
  <c r="AG100" i="6"/>
  <c r="AH100" i="6" s="1"/>
  <c r="Q100" i="6"/>
  <c r="P100" i="6"/>
  <c r="O100" i="6"/>
  <c r="N100" i="6"/>
  <c r="M100" i="6"/>
  <c r="L100" i="6"/>
  <c r="K100" i="6"/>
  <c r="J100" i="6"/>
  <c r="AK100" i="6" s="1"/>
  <c r="I100" i="6"/>
  <c r="H100" i="6"/>
  <c r="AI100" i="6" s="1"/>
  <c r="G100" i="6"/>
  <c r="F100" i="6"/>
  <c r="E100" i="6"/>
  <c r="B100" i="7" s="1"/>
  <c r="D100" i="6"/>
  <c r="AM99" i="6"/>
  <c r="AJ99" i="6"/>
  <c r="AI99" i="6"/>
  <c r="AH99" i="6"/>
  <c r="AG99" i="6"/>
  <c r="Q99" i="6"/>
  <c r="P99" i="6"/>
  <c r="O99" i="6"/>
  <c r="N99" i="6"/>
  <c r="AL99" i="6" s="1"/>
  <c r="M99" i="6"/>
  <c r="L99" i="6"/>
  <c r="K99" i="6"/>
  <c r="J99" i="6"/>
  <c r="AK99" i="6" s="1"/>
  <c r="I99" i="6"/>
  <c r="H99" i="6"/>
  <c r="G99" i="6"/>
  <c r="F99" i="6"/>
  <c r="E99" i="6"/>
  <c r="B99" i="7" s="1"/>
  <c r="D99" i="6"/>
  <c r="V99" i="6" s="1"/>
  <c r="AM98" i="6"/>
  <c r="AL98" i="6"/>
  <c r="AJ98" i="6"/>
  <c r="AG98" i="6"/>
  <c r="AH98" i="6" s="1"/>
  <c r="V98" i="6"/>
  <c r="Q98" i="6"/>
  <c r="P98" i="6"/>
  <c r="O98" i="6"/>
  <c r="N98" i="6"/>
  <c r="M98" i="6"/>
  <c r="L98" i="6"/>
  <c r="K98" i="6"/>
  <c r="J98" i="6"/>
  <c r="AK98" i="6" s="1"/>
  <c r="I98" i="6"/>
  <c r="H98" i="6"/>
  <c r="AI98" i="6" s="1"/>
  <c r="G98" i="6"/>
  <c r="F98" i="6"/>
  <c r="E98" i="6"/>
  <c r="D98" i="6"/>
  <c r="AM97" i="6"/>
  <c r="AJ97" i="6"/>
  <c r="AI97" i="6"/>
  <c r="AH97" i="6"/>
  <c r="AG97" i="6"/>
  <c r="Q97" i="6"/>
  <c r="P97" i="6"/>
  <c r="O97" i="6"/>
  <c r="N97" i="6"/>
  <c r="AL97" i="6" s="1"/>
  <c r="M97" i="6"/>
  <c r="L97" i="6"/>
  <c r="K97" i="6"/>
  <c r="J97" i="6"/>
  <c r="AK97" i="6" s="1"/>
  <c r="I97" i="6"/>
  <c r="H97" i="6"/>
  <c r="G97" i="6"/>
  <c r="F97" i="6"/>
  <c r="E97" i="6"/>
  <c r="B97" i="7" s="1"/>
  <c r="D97" i="6"/>
  <c r="AM96" i="6"/>
  <c r="AL96" i="6"/>
  <c r="AK96" i="6"/>
  <c r="AJ96" i="6"/>
  <c r="AG96" i="6"/>
  <c r="AH96" i="6" s="1"/>
  <c r="Q96" i="6"/>
  <c r="P96" i="6"/>
  <c r="O96" i="6"/>
  <c r="N96" i="6"/>
  <c r="M96" i="6"/>
  <c r="L96" i="6"/>
  <c r="K96" i="6"/>
  <c r="J96" i="6"/>
  <c r="I96" i="6"/>
  <c r="H96" i="6"/>
  <c r="AI96" i="6" s="1"/>
  <c r="G96" i="6"/>
  <c r="F96" i="6"/>
  <c r="E96" i="6"/>
  <c r="D96" i="6"/>
  <c r="AM95" i="6"/>
  <c r="AJ95" i="6"/>
  <c r="AI95" i="6"/>
  <c r="AH95" i="6"/>
  <c r="AG95" i="6"/>
  <c r="W95" i="6"/>
  <c r="E95" i="7" s="1"/>
  <c r="V95" i="6"/>
  <c r="S95" i="6"/>
  <c r="Q95" i="6"/>
  <c r="P95" i="6"/>
  <c r="O95" i="6"/>
  <c r="N95" i="6"/>
  <c r="AL95" i="6" s="1"/>
  <c r="M95" i="6"/>
  <c r="L95" i="6"/>
  <c r="K95" i="6"/>
  <c r="J95" i="6"/>
  <c r="AK95" i="6" s="1"/>
  <c r="I95" i="6"/>
  <c r="H95" i="6"/>
  <c r="G95" i="6"/>
  <c r="F95" i="6"/>
  <c r="E95" i="6"/>
  <c r="B95" i="7" s="1"/>
  <c r="D95" i="6"/>
  <c r="AM94" i="6"/>
  <c r="AL94" i="6"/>
  <c r="AK94" i="6"/>
  <c r="AJ94" i="6"/>
  <c r="AG94" i="6"/>
  <c r="AH94" i="6" s="1"/>
  <c r="V94" i="6"/>
  <c r="Q94" i="6"/>
  <c r="P94" i="6"/>
  <c r="O94" i="6"/>
  <c r="N94" i="6"/>
  <c r="M94" i="6"/>
  <c r="L94" i="6"/>
  <c r="K94" i="6"/>
  <c r="J94" i="6"/>
  <c r="I94" i="6"/>
  <c r="H94" i="6"/>
  <c r="AI94" i="6" s="1"/>
  <c r="G94" i="6"/>
  <c r="F94" i="6"/>
  <c r="E94" i="6"/>
  <c r="D94" i="6"/>
  <c r="AM93" i="6"/>
  <c r="AJ93" i="6"/>
  <c r="AI93" i="6"/>
  <c r="AH93" i="6"/>
  <c r="AG93" i="6"/>
  <c r="Q93" i="6"/>
  <c r="P93" i="6"/>
  <c r="O93" i="6"/>
  <c r="N93" i="6"/>
  <c r="AL93" i="6" s="1"/>
  <c r="M93" i="6"/>
  <c r="L93" i="6"/>
  <c r="K93" i="6"/>
  <c r="J93" i="6"/>
  <c r="AK93" i="6" s="1"/>
  <c r="I93" i="6"/>
  <c r="H93" i="6"/>
  <c r="G93" i="6"/>
  <c r="F93" i="6"/>
  <c r="E93" i="6"/>
  <c r="B93" i="7" s="1"/>
  <c r="D93" i="6"/>
  <c r="AM92" i="6"/>
  <c r="AL92" i="6"/>
  <c r="AK92" i="6"/>
  <c r="AJ92" i="6"/>
  <c r="AG92" i="6"/>
  <c r="AH92" i="6" s="1"/>
  <c r="Q92" i="6"/>
  <c r="P92" i="6"/>
  <c r="O92" i="6"/>
  <c r="N92" i="6"/>
  <c r="M92" i="6"/>
  <c r="L92" i="6"/>
  <c r="K92" i="6"/>
  <c r="J92" i="6"/>
  <c r="I92" i="6"/>
  <c r="H92" i="6"/>
  <c r="AI92" i="6" s="1"/>
  <c r="G92" i="6"/>
  <c r="F92" i="6"/>
  <c r="E92" i="6"/>
  <c r="D92" i="6"/>
  <c r="AM91" i="6"/>
  <c r="AJ91" i="6"/>
  <c r="AI91" i="6"/>
  <c r="AH91" i="6"/>
  <c r="AG91" i="6"/>
  <c r="W91" i="6"/>
  <c r="E91" i="7" s="1"/>
  <c r="V91" i="6"/>
  <c r="S91" i="6"/>
  <c r="Q91" i="6"/>
  <c r="P91" i="6"/>
  <c r="O91" i="6"/>
  <c r="N91" i="6"/>
  <c r="AL91" i="6" s="1"/>
  <c r="M91" i="6"/>
  <c r="L91" i="6"/>
  <c r="K91" i="6"/>
  <c r="J91" i="6"/>
  <c r="AK91" i="6" s="1"/>
  <c r="I91" i="6"/>
  <c r="H91" i="6"/>
  <c r="G91" i="6"/>
  <c r="F91" i="6"/>
  <c r="E91" i="6"/>
  <c r="B91" i="7" s="1"/>
  <c r="D91" i="6"/>
  <c r="AM90" i="6"/>
  <c r="AL90" i="6"/>
  <c r="AK90" i="6"/>
  <c r="AJ90" i="6"/>
  <c r="AG90" i="6"/>
  <c r="AH90" i="6" s="1"/>
  <c r="V90" i="6"/>
  <c r="Q90" i="6"/>
  <c r="P90" i="6"/>
  <c r="O90" i="6"/>
  <c r="N90" i="6"/>
  <c r="M90" i="6"/>
  <c r="L90" i="6"/>
  <c r="K90" i="6"/>
  <c r="J90" i="6"/>
  <c r="I90" i="6"/>
  <c r="H90" i="6"/>
  <c r="AI90" i="6" s="1"/>
  <c r="G90" i="6"/>
  <c r="F90" i="6"/>
  <c r="E90" i="6"/>
  <c r="D90" i="6"/>
  <c r="AM89" i="6"/>
  <c r="AJ89" i="6"/>
  <c r="AI89" i="6"/>
  <c r="AH89" i="6"/>
  <c r="AG89" i="6"/>
  <c r="Q89" i="6"/>
  <c r="P89" i="6"/>
  <c r="O89" i="6"/>
  <c r="N89" i="6"/>
  <c r="AL89" i="6" s="1"/>
  <c r="M89" i="6"/>
  <c r="L89" i="6"/>
  <c r="K89" i="6"/>
  <c r="J89" i="6"/>
  <c r="AK89" i="6" s="1"/>
  <c r="I89" i="6"/>
  <c r="H89" i="6"/>
  <c r="G89" i="6"/>
  <c r="F89" i="6"/>
  <c r="E89" i="6"/>
  <c r="B89" i="7" s="1"/>
  <c r="D89" i="6"/>
  <c r="AM88" i="6"/>
  <c r="AL88" i="6"/>
  <c r="AJ88" i="6"/>
  <c r="AG88" i="6"/>
  <c r="AH88" i="6" s="1"/>
  <c r="V88" i="6"/>
  <c r="Q88" i="6"/>
  <c r="P88" i="6"/>
  <c r="O88" i="6"/>
  <c r="N88" i="6"/>
  <c r="M88" i="6"/>
  <c r="L88" i="6"/>
  <c r="K88" i="6"/>
  <c r="J88" i="6"/>
  <c r="AK88" i="6" s="1"/>
  <c r="I88" i="6"/>
  <c r="H88" i="6"/>
  <c r="AI88" i="6" s="1"/>
  <c r="G88" i="6"/>
  <c r="F88" i="6"/>
  <c r="E88" i="6"/>
  <c r="D88" i="6"/>
  <c r="AM87" i="6"/>
  <c r="AJ87" i="6"/>
  <c r="AI87" i="6"/>
  <c r="AH87" i="6"/>
  <c r="AG87" i="6"/>
  <c r="W87" i="6"/>
  <c r="E87" i="7" s="1"/>
  <c r="Q87" i="6"/>
  <c r="P87" i="6"/>
  <c r="O87" i="6"/>
  <c r="N87" i="6"/>
  <c r="AL87" i="6" s="1"/>
  <c r="M87" i="6"/>
  <c r="L87" i="6"/>
  <c r="K87" i="6"/>
  <c r="J87" i="6"/>
  <c r="AK87" i="6" s="1"/>
  <c r="I87" i="6"/>
  <c r="H87" i="6"/>
  <c r="G87" i="6"/>
  <c r="F87" i="6"/>
  <c r="E87" i="6"/>
  <c r="D87" i="6"/>
  <c r="AM86" i="6"/>
  <c r="AL86" i="6"/>
  <c r="AJ86" i="6"/>
  <c r="AG86" i="6"/>
  <c r="AH86" i="6" s="1"/>
  <c r="W86" i="6"/>
  <c r="E86" i="7" s="1"/>
  <c r="V86" i="6"/>
  <c r="Q86" i="6"/>
  <c r="P86" i="6"/>
  <c r="O86" i="6"/>
  <c r="N86" i="6"/>
  <c r="M86" i="6"/>
  <c r="L86" i="6"/>
  <c r="K86" i="6"/>
  <c r="J86" i="6"/>
  <c r="AK86" i="6" s="1"/>
  <c r="I86" i="6"/>
  <c r="H86" i="6"/>
  <c r="AI86" i="6" s="1"/>
  <c r="G86" i="6"/>
  <c r="F86" i="6"/>
  <c r="E86" i="6"/>
  <c r="D86" i="6"/>
  <c r="AM85" i="6"/>
  <c r="AK85" i="6"/>
  <c r="AJ85" i="6"/>
  <c r="AI85" i="6"/>
  <c r="AH85" i="6"/>
  <c r="AG85" i="6"/>
  <c r="Q85" i="6"/>
  <c r="P85" i="6"/>
  <c r="O85" i="6"/>
  <c r="N85" i="6"/>
  <c r="AL85" i="6" s="1"/>
  <c r="M85" i="6"/>
  <c r="L85" i="6"/>
  <c r="K85" i="6"/>
  <c r="J85" i="6"/>
  <c r="I85" i="6"/>
  <c r="H85" i="6"/>
  <c r="G85" i="6"/>
  <c r="F85" i="6"/>
  <c r="E85" i="6"/>
  <c r="D85" i="6"/>
  <c r="AM84" i="6"/>
  <c r="AL84" i="6"/>
  <c r="AJ84" i="6"/>
  <c r="AG84" i="6"/>
  <c r="AH84" i="6" s="1"/>
  <c r="Q84" i="6"/>
  <c r="P84" i="6"/>
  <c r="O84" i="6"/>
  <c r="N84" i="6"/>
  <c r="M84" i="6"/>
  <c r="L84" i="6"/>
  <c r="K84" i="6"/>
  <c r="J84" i="6"/>
  <c r="AK84" i="6" s="1"/>
  <c r="I84" i="6"/>
  <c r="H84" i="6"/>
  <c r="AI84" i="6" s="1"/>
  <c r="G84" i="6"/>
  <c r="F84" i="6"/>
  <c r="E84" i="6"/>
  <c r="D84" i="6"/>
  <c r="AM83" i="6"/>
  <c r="AK83" i="6"/>
  <c r="AJ83" i="6"/>
  <c r="AI83" i="6"/>
  <c r="AH83" i="6"/>
  <c r="AG83" i="6"/>
  <c r="Q83" i="6"/>
  <c r="P83" i="6"/>
  <c r="O83" i="6"/>
  <c r="N83" i="6"/>
  <c r="AL83" i="6" s="1"/>
  <c r="M83" i="6"/>
  <c r="L83" i="6"/>
  <c r="K83" i="6"/>
  <c r="J83" i="6"/>
  <c r="I83" i="6"/>
  <c r="H83" i="6"/>
  <c r="G83" i="6"/>
  <c r="F83" i="6"/>
  <c r="E83" i="6"/>
  <c r="D83" i="6"/>
  <c r="AM82" i="6"/>
  <c r="AL82" i="6"/>
  <c r="AJ82" i="6"/>
  <c r="AG82" i="6"/>
  <c r="AH82" i="6" s="1"/>
  <c r="V82" i="6"/>
  <c r="Q82" i="6"/>
  <c r="P82" i="6"/>
  <c r="O82" i="6"/>
  <c r="N82" i="6"/>
  <c r="M82" i="6"/>
  <c r="L82" i="6"/>
  <c r="K82" i="6"/>
  <c r="J82" i="6"/>
  <c r="AK82" i="6" s="1"/>
  <c r="I82" i="6"/>
  <c r="H82" i="6"/>
  <c r="AI82" i="6" s="1"/>
  <c r="G82" i="6"/>
  <c r="F82" i="6"/>
  <c r="E82" i="6"/>
  <c r="D82" i="6"/>
  <c r="AM81" i="6"/>
  <c r="AJ81" i="6"/>
  <c r="AI81" i="6"/>
  <c r="AH81" i="6"/>
  <c r="AG81" i="6"/>
  <c r="W81" i="6"/>
  <c r="E81" i="7" s="1"/>
  <c r="Q81" i="6"/>
  <c r="P81" i="6"/>
  <c r="O81" i="6"/>
  <c r="N81" i="6"/>
  <c r="AL81" i="6" s="1"/>
  <c r="M81" i="6"/>
  <c r="L81" i="6"/>
  <c r="K81" i="6"/>
  <c r="J81" i="6"/>
  <c r="AK81" i="6" s="1"/>
  <c r="I81" i="6"/>
  <c r="H81" i="6"/>
  <c r="G81" i="6"/>
  <c r="F81" i="6"/>
  <c r="E81" i="6"/>
  <c r="D81" i="6"/>
  <c r="AM80" i="6"/>
  <c r="AL80" i="6"/>
  <c r="AJ80" i="6"/>
  <c r="AG80" i="6"/>
  <c r="AH80" i="6" s="1"/>
  <c r="W80" i="6"/>
  <c r="E80" i="7" s="1"/>
  <c r="V80" i="6"/>
  <c r="Q80" i="6"/>
  <c r="P80" i="6"/>
  <c r="O80" i="6"/>
  <c r="N80" i="6"/>
  <c r="M80" i="6"/>
  <c r="L80" i="6"/>
  <c r="K80" i="6"/>
  <c r="J80" i="6"/>
  <c r="AK80" i="6" s="1"/>
  <c r="I80" i="6"/>
  <c r="H80" i="6"/>
  <c r="AI80" i="6" s="1"/>
  <c r="G80" i="6"/>
  <c r="F80" i="6"/>
  <c r="E80" i="6"/>
  <c r="D80" i="6"/>
  <c r="AM79" i="6"/>
  <c r="AK79" i="6"/>
  <c r="AJ79" i="6"/>
  <c r="AI79" i="6"/>
  <c r="AH79" i="6"/>
  <c r="AG79" i="6"/>
  <c r="Q79" i="6"/>
  <c r="P79" i="6"/>
  <c r="O79" i="6"/>
  <c r="N79" i="6"/>
  <c r="AL79" i="6" s="1"/>
  <c r="M79" i="6"/>
  <c r="L79" i="6"/>
  <c r="K79" i="6"/>
  <c r="J79" i="6"/>
  <c r="I79" i="6"/>
  <c r="H79" i="6"/>
  <c r="G79" i="6"/>
  <c r="F79" i="6"/>
  <c r="E79" i="6"/>
  <c r="D79" i="6"/>
  <c r="AM78" i="6"/>
  <c r="AL78" i="6"/>
  <c r="AJ78" i="6"/>
  <c r="AG78" i="6"/>
  <c r="AH78" i="6" s="1"/>
  <c r="Q78" i="6"/>
  <c r="P78" i="6"/>
  <c r="O78" i="6"/>
  <c r="N78" i="6"/>
  <c r="M78" i="6"/>
  <c r="L78" i="6"/>
  <c r="K78" i="6"/>
  <c r="J78" i="6"/>
  <c r="AK78" i="6" s="1"/>
  <c r="I78" i="6"/>
  <c r="H78" i="6"/>
  <c r="AI78" i="6" s="1"/>
  <c r="G78" i="6"/>
  <c r="F78" i="6"/>
  <c r="E78" i="6"/>
  <c r="D78" i="6"/>
  <c r="AM77" i="6"/>
  <c r="AK77" i="6"/>
  <c r="AJ77" i="6"/>
  <c r="AI77" i="6"/>
  <c r="AH77" i="6"/>
  <c r="AG77" i="6"/>
  <c r="Q77" i="6"/>
  <c r="P77" i="6"/>
  <c r="O77" i="6"/>
  <c r="N77" i="6"/>
  <c r="AL77" i="6" s="1"/>
  <c r="M77" i="6"/>
  <c r="L77" i="6"/>
  <c r="K77" i="6"/>
  <c r="J77" i="6"/>
  <c r="I77" i="6"/>
  <c r="H77" i="6"/>
  <c r="G77" i="6"/>
  <c r="F77" i="6"/>
  <c r="E77" i="6"/>
  <c r="D77" i="6"/>
  <c r="AM76" i="6"/>
  <c r="AL76" i="6"/>
  <c r="AJ76" i="6"/>
  <c r="AG76" i="6"/>
  <c r="AH76" i="6" s="1"/>
  <c r="V76" i="6"/>
  <c r="Q76" i="6"/>
  <c r="P76" i="6"/>
  <c r="O76" i="6"/>
  <c r="N76" i="6"/>
  <c r="M76" i="6"/>
  <c r="L76" i="6"/>
  <c r="K76" i="6"/>
  <c r="J76" i="6"/>
  <c r="AK76" i="6" s="1"/>
  <c r="I76" i="6"/>
  <c r="H76" i="6"/>
  <c r="AI76" i="6" s="1"/>
  <c r="G76" i="6"/>
  <c r="F76" i="6"/>
  <c r="E76" i="6"/>
  <c r="D76" i="6"/>
  <c r="AM75" i="6"/>
  <c r="AJ75" i="6"/>
  <c r="AI75" i="6"/>
  <c r="AH75" i="6"/>
  <c r="AG75" i="6"/>
  <c r="W75" i="6"/>
  <c r="E75" i="7" s="1"/>
  <c r="Q75" i="6"/>
  <c r="P75" i="6"/>
  <c r="O75" i="6"/>
  <c r="N75" i="6"/>
  <c r="AL75" i="6" s="1"/>
  <c r="M75" i="6"/>
  <c r="L75" i="6"/>
  <c r="K75" i="6"/>
  <c r="J75" i="6"/>
  <c r="AK75" i="6" s="1"/>
  <c r="I75" i="6"/>
  <c r="H75" i="6"/>
  <c r="G75" i="6"/>
  <c r="F75" i="6"/>
  <c r="E75" i="6"/>
  <c r="D75" i="6"/>
  <c r="AM74" i="6"/>
  <c r="AL74" i="6"/>
  <c r="AJ74" i="6"/>
  <c r="AG74" i="6"/>
  <c r="AH74" i="6" s="1"/>
  <c r="W74" i="6"/>
  <c r="E74" i="7" s="1"/>
  <c r="V74" i="6"/>
  <c r="Q74" i="6"/>
  <c r="P74" i="6"/>
  <c r="O74" i="6"/>
  <c r="N74" i="6"/>
  <c r="M74" i="6"/>
  <c r="L74" i="6"/>
  <c r="K74" i="6"/>
  <c r="J74" i="6"/>
  <c r="AK74" i="6" s="1"/>
  <c r="I74" i="6"/>
  <c r="H74" i="6"/>
  <c r="AI74" i="6" s="1"/>
  <c r="G74" i="6"/>
  <c r="F74" i="6"/>
  <c r="E74" i="6"/>
  <c r="D74" i="6"/>
  <c r="AM73" i="6"/>
  <c r="AK73" i="6"/>
  <c r="AJ73" i="6"/>
  <c r="AI73" i="6"/>
  <c r="AH73" i="6"/>
  <c r="AG73" i="6"/>
  <c r="Q73" i="6"/>
  <c r="P73" i="6"/>
  <c r="O73" i="6"/>
  <c r="N73" i="6"/>
  <c r="AL73" i="6" s="1"/>
  <c r="M73" i="6"/>
  <c r="L73" i="6"/>
  <c r="K73" i="6"/>
  <c r="J73" i="6"/>
  <c r="I73" i="6"/>
  <c r="H73" i="6"/>
  <c r="G73" i="6"/>
  <c r="F73" i="6"/>
  <c r="E73" i="6"/>
  <c r="D73" i="6"/>
  <c r="AM72" i="6"/>
  <c r="AL72" i="6"/>
  <c r="AJ72" i="6"/>
  <c r="AG72" i="6"/>
  <c r="AH72" i="6" s="1"/>
  <c r="Q72" i="6"/>
  <c r="P72" i="6"/>
  <c r="O72" i="6"/>
  <c r="N72" i="6"/>
  <c r="M72" i="6"/>
  <c r="L72" i="6"/>
  <c r="K72" i="6"/>
  <c r="J72" i="6"/>
  <c r="AK72" i="6" s="1"/>
  <c r="I72" i="6"/>
  <c r="H72" i="6"/>
  <c r="AI72" i="6" s="1"/>
  <c r="G72" i="6"/>
  <c r="F72" i="6"/>
  <c r="E72" i="6"/>
  <c r="D72" i="6"/>
  <c r="AM71" i="6"/>
  <c r="AK71" i="6"/>
  <c r="AJ71" i="6"/>
  <c r="AI71" i="6"/>
  <c r="AH71" i="6"/>
  <c r="AG71" i="6"/>
  <c r="Q71" i="6"/>
  <c r="P71" i="6"/>
  <c r="O71" i="6"/>
  <c r="N71" i="6"/>
  <c r="AL71" i="6" s="1"/>
  <c r="M71" i="6"/>
  <c r="L71" i="6"/>
  <c r="K71" i="6"/>
  <c r="J71" i="6"/>
  <c r="I71" i="6"/>
  <c r="H71" i="6"/>
  <c r="G71" i="6"/>
  <c r="F71" i="6"/>
  <c r="E71" i="6"/>
  <c r="D71" i="6"/>
  <c r="AM70" i="6"/>
  <c r="AL70" i="6"/>
  <c r="AJ70" i="6"/>
  <c r="AG70" i="6"/>
  <c r="AH70" i="6" s="1"/>
  <c r="V70" i="6"/>
  <c r="Q70" i="6"/>
  <c r="P70" i="6"/>
  <c r="O70" i="6"/>
  <c r="N70" i="6"/>
  <c r="M70" i="6"/>
  <c r="L70" i="6"/>
  <c r="K70" i="6"/>
  <c r="J70" i="6"/>
  <c r="AK70" i="6" s="1"/>
  <c r="I70" i="6"/>
  <c r="H70" i="6"/>
  <c r="AI70" i="6" s="1"/>
  <c r="G70" i="6"/>
  <c r="F70" i="6"/>
  <c r="E70" i="6"/>
  <c r="D70" i="6"/>
  <c r="AM69" i="6"/>
  <c r="AJ69" i="6"/>
  <c r="AI69" i="6"/>
  <c r="AH69" i="6"/>
  <c r="AG69" i="6"/>
  <c r="W69" i="6"/>
  <c r="E69" i="7" s="1"/>
  <c r="Q69" i="6"/>
  <c r="P69" i="6"/>
  <c r="O69" i="6"/>
  <c r="N69" i="6"/>
  <c r="AL69" i="6" s="1"/>
  <c r="M69" i="6"/>
  <c r="L69" i="6"/>
  <c r="K69" i="6"/>
  <c r="J69" i="6"/>
  <c r="AK69" i="6" s="1"/>
  <c r="I69" i="6"/>
  <c r="H69" i="6"/>
  <c r="G69" i="6"/>
  <c r="F69" i="6"/>
  <c r="E69" i="6"/>
  <c r="D69" i="6"/>
  <c r="AM68" i="6"/>
  <c r="AL68" i="6"/>
  <c r="AJ68" i="6"/>
  <c r="AG68" i="6"/>
  <c r="AH68" i="6" s="1"/>
  <c r="W68" i="6"/>
  <c r="E68" i="7" s="1"/>
  <c r="V68" i="6"/>
  <c r="Q68" i="6"/>
  <c r="P68" i="6"/>
  <c r="O68" i="6"/>
  <c r="N68" i="6"/>
  <c r="M68" i="6"/>
  <c r="L68" i="6"/>
  <c r="K68" i="6"/>
  <c r="J68" i="6"/>
  <c r="AK68" i="6" s="1"/>
  <c r="I68" i="6"/>
  <c r="H68" i="6"/>
  <c r="AI68" i="6" s="1"/>
  <c r="G68" i="6"/>
  <c r="F68" i="6"/>
  <c r="E68" i="6"/>
  <c r="D68" i="6"/>
  <c r="AM67" i="6"/>
  <c r="AK67" i="6"/>
  <c r="AJ67" i="6"/>
  <c r="AI67" i="6"/>
  <c r="AH67" i="6"/>
  <c r="AG67" i="6"/>
  <c r="Q67" i="6"/>
  <c r="P67" i="6"/>
  <c r="O67" i="6"/>
  <c r="N67" i="6"/>
  <c r="AL67" i="6" s="1"/>
  <c r="M67" i="6"/>
  <c r="L67" i="6"/>
  <c r="K67" i="6"/>
  <c r="J67" i="6"/>
  <c r="I67" i="6"/>
  <c r="H67" i="6"/>
  <c r="G67" i="6"/>
  <c r="F67" i="6"/>
  <c r="E67" i="6"/>
  <c r="D67" i="6"/>
  <c r="AM66" i="6"/>
  <c r="AL66" i="6"/>
  <c r="AJ66" i="6"/>
  <c r="AG66" i="6"/>
  <c r="AH66" i="6" s="1"/>
  <c r="Q66" i="6"/>
  <c r="P66" i="6"/>
  <c r="O66" i="6"/>
  <c r="N66" i="6"/>
  <c r="M66" i="6"/>
  <c r="L66" i="6"/>
  <c r="K66" i="6"/>
  <c r="J66" i="6"/>
  <c r="AK66" i="6" s="1"/>
  <c r="I66" i="6"/>
  <c r="H66" i="6"/>
  <c r="AI66" i="6" s="1"/>
  <c r="G66" i="6"/>
  <c r="F66" i="6"/>
  <c r="E66" i="6"/>
  <c r="D66" i="6"/>
  <c r="AM65" i="6"/>
  <c r="AK65" i="6"/>
  <c r="AJ65" i="6"/>
  <c r="AI65" i="6"/>
  <c r="AH65" i="6"/>
  <c r="AG65" i="6"/>
  <c r="Q65" i="6"/>
  <c r="P65" i="6"/>
  <c r="O65" i="6"/>
  <c r="N65" i="6"/>
  <c r="AL65" i="6" s="1"/>
  <c r="M65" i="6"/>
  <c r="L65" i="6"/>
  <c r="K65" i="6"/>
  <c r="J65" i="6"/>
  <c r="I65" i="6"/>
  <c r="H65" i="6"/>
  <c r="G65" i="6"/>
  <c r="F65" i="6"/>
  <c r="E65" i="6"/>
  <c r="D65" i="6"/>
  <c r="B65" i="6" s="1"/>
  <c r="AM64" i="6"/>
  <c r="AL64" i="6"/>
  <c r="AK64" i="6"/>
  <c r="AJ64" i="6"/>
  <c r="AG64" i="6"/>
  <c r="AH64" i="6" s="1"/>
  <c r="W64" i="6"/>
  <c r="E64" i="7" s="1"/>
  <c r="V64" i="6"/>
  <c r="T64" i="6"/>
  <c r="Q64" i="6"/>
  <c r="P64" i="6"/>
  <c r="O64" i="6"/>
  <c r="N64" i="6"/>
  <c r="M64" i="6"/>
  <c r="L64" i="6"/>
  <c r="K64" i="6"/>
  <c r="J64" i="6"/>
  <c r="I64" i="6"/>
  <c r="H64" i="6"/>
  <c r="AI64" i="6" s="1"/>
  <c r="G64" i="6"/>
  <c r="F64" i="6"/>
  <c r="E64" i="6"/>
  <c r="D64" i="6"/>
  <c r="AM63" i="6"/>
  <c r="AJ63" i="6"/>
  <c r="AI63" i="6"/>
  <c r="AH63" i="6"/>
  <c r="AG63" i="6"/>
  <c r="V63" i="6"/>
  <c r="Q63" i="6"/>
  <c r="P63" i="6"/>
  <c r="O63" i="6"/>
  <c r="N63" i="6"/>
  <c r="AL63" i="6" s="1"/>
  <c r="M63" i="6"/>
  <c r="L63" i="6"/>
  <c r="K63" i="6"/>
  <c r="J63" i="6"/>
  <c r="AK63" i="6" s="1"/>
  <c r="I63" i="6"/>
  <c r="H63" i="6"/>
  <c r="G63" i="6"/>
  <c r="F63" i="6"/>
  <c r="E63" i="6"/>
  <c r="D63" i="6"/>
  <c r="B63" i="6" s="1"/>
  <c r="AM62" i="6"/>
  <c r="AL62" i="6"/>
  <c r="AJ62" i="6"/>
  <c r="AG62" i="6"/>
  <c r="AH62" i="6" s="1"/>
  <c r="T62" i="6"/>
  <c r="Q62" i="6"/>
  <c r="P62" i="6"/>
  <c r="O62" i="6"/>
  <c r="N62" i="6"/>
  <c r="M62" i="6"/>
  <c r="L62" i="6"/>
  <c r="K62" i="6"/>
  <c r="J62" i="6"/>
  <c r="AK62" i="6" s="1"/>
  <c r="I62" i="6"/>
  <c r="H62" i="6"/>
  <c r="AI62" i="6" s="1"/>
  <c r="G62" i="6"/>
  <c r="F62" i="6"/>
  <c r="E62" i="6"/>
  <c r="D62" i="6"/>
  <c r="AM61" i="6"/>
  <c r="AJ61" i="6"/>
  <c r="AI61" i="6"/>
  <c r="AH61" i="6"/>
  <c r="AG61" i="6"/>
  <c r="W61" i="6"/>
  <c r="E61" i="7" s="1"/>
  <c r="Q61" i="6"/>
  <c r="P61" i="6"/>
  <c r="O61" i="6"/>
  <c r="N61" i="6"/>
  <c r="AL61" i="6" s="1"/>
  <c r="M61" i="6"/>
  <c r="L61" i="6"/>
  <c r="K61" i="6"/>
  <c r="J61" i="6"/>
  <c r="AK61" i="6" s="1"/>
  <c r="I61" i="6"/>
  <c r="H61" i="6"/>
  <c r="G61" i="6"/>
  <c r="F61" i="6"/>
  <c r="E61" i="6"/>
  <c r="D61" i="6"/>
  <c r="B61" i="6"/>
  <c r="AM60" i="6"/>
  <c r="AL60" i="6"/>
  <c r="AK60" i="6"/>
  <c r="AJ60" i="6"/>
  <c r="AG60" i="6"/>
  <c r="AH60" i="6" s="1"/>
  <c r="Q60" i="6"/>
  <c r="P60" i="6"/>
  <c r="O60" i="6"/>
  <c r="N60" i="6"/>
  <c r="M60" i="6"/>
  <c r="L60" i="6"/>
  <c r="K60" i="6"/>
  <c r="J60" i="6"/>
  <c r="I60" i="6"/>
  <c r="H60" i="6"/>
  <c r="AI60" i="6" s="1"/>
  <c r="G60" i="6"/>
  <c r="F60" i="6"/>
  <c r="E60" i="6"/>
  <c r="D60" i="6"/>
  <c r="W60" i="6" s="1"/>
  <c r="E60" i="7" s="1"/>
  <c r="AM59" i="6"/>
  <c r="AJ59" i="6"/>
  <c r="AI59" i="6"/>
  <c r="AH59" i="6"/>
  <c r="AG59" i="6"/>
  <c r="W59" i="6"/>
  <c r="E59" i="7" s="1"/>
  <c r="V59" i="6"/>
  <c r="S59" i="6"/>
  <c r="Q59" i="6"/>
  <c r="P59" i="6"/>
  <c r="O59" i="6"/>
  <c r="N59" i="6"/>
  <c r="AL59" i="6" s="1"/>
  <c r="M59" i="6"/>
  <c r="L59" i="6"/>
  <c r="K59" i="6"/>
  <c r="J59" i="6"/>
  <c r="AK59" i="6" s="1"/>
  <c r="I59" i="6"/>
  <c r="H59" i="6"/>
  <c r="G59" i="6"/>
  <c r="F59" i="6"/>
  <c r="E59" i="6"/>
  <c r="D59" i="6"/>
  <c r="B59" i="6"/>
  <c r="AM58" i="6"/>
  <c r="AL58" i="6"/>
  <c r="AK58" i="6"/>
  <c r="AJ58" i="6"/>
  <c r="AG58" i="6"/>
  <c r="AH58" i="6" s="1"/>
  <c r="Q58" i="6"/>
  <c r="P58" i="6"/>
  <c r="O58" i="6"/>
  <c r="N58" i="6"/>
  <c r="M58" i="6"/>
  <c r="L58" i="6"/>
  <c r="K58" i="6"/>
  <c r="J58" i="6"/>
  <c r="I58" i="6"/>
  <c r="H58" i="6"/>
  <c r="AI58" i="6" s="1"/>
  <c r="G58" i="6"/>
  <c r="F58" i="6"/>
  <c r="E58" i="6"/>
  <c r="D58" i="6"/>
  <c r="W58" i="6" s="1"/>
  <c r="E58" i="7" s="1"/>
  <c r="AM57" i="6"/>
  <c r="AK57" i="6"/>
  <c r="AJ57" i="6"/>
  <c r="AI57" i="6"/>
  <c r="AH57" i="6"/>
  <c r="AG57" i="6"/>
  <c r="AF57" i="6"/>
  <c r="Q57" i="6"/>
  <c r="P57" i="6"/>
  <c r="O57" i="6"/>
  <c r="N57" i="6"/>
  <c r="AL57" i="6" s="1"/>
  <c r="M57" i="6"/>
  <c r="L57" i="6"/>
  <c r="K57" i="6"/>
  <c r="J57" i="6"/>
  <c r="I57" i="6"/>
  <c r="H57" i="6"/>
  <c r="G57" i="6"/>
  <c r="F57" i="6"/>
  <c r="E57" i="6"/>
  <c r="B57" i="7" s="1"/>
  <c r="D57" i="6"/>
  <c r="B57" i="6" s="1"/>
  <c r="AM56" i="6"/>
  <c r="AL56" i="6"/>
  <c r="AJ56" i="6"/>
  <c r="AG56" i="6"/>
  <c r="AH56" i="6" s="1"/>
  <c r="W56" i="6"/>
  <c r="E56" i="7" s="1"/>
  <c r="V56" i="6"/>
  <c r="T56" i="6"/>
  <c r="Q56" i="6"/>
  <c r="P56" i="6"/>
  <c r="O56" i="6"/>
  <c r="N56" i="6"/>
  <c r="M56" i="6"/>
  <c r="L56" i="6"/>
  <c r="K56" i="6"/>
  <c r="J56" i="6"/>
  <c r="AK56" i="6" s="1"/>
  <c r="I56" i="6"/>
  <c r="H56" i="6"/>
  <c r="AI56" i="6" s="1"/>
  <c r="G56" i="6"/>
  <c r="F56" i="6"/>
  <c r="E56" i="6"/>
  <c r="D56" i="6"/>
  <c r="AM55" i="6"/>
  <c r="AJ55" i="6"/>
  <c r="AI55" i="6"/>
  <c r="AF55" i="6"/>
  <c r="W55" i="6"/>
  <c r="E55" i="7" s="1"/>
  <c r="R55" i="6"/>
  <c r="D55" i="7" s="1"/>
  <c r="Q55" i="6"/>
  <c r="P55" i="6"/>
  <c r="O55" i="6"/>
  <c r="N55" i="6"/>
  <c r="AL55" i="6" s="1"/>
  <c r="M55" i="6"/>
  <c r="L55" i="6"/>
  <c r="K55" i="6"/>
  <c r="J55" i="6"/>
  <c r="AK55" i="6" s="1"/>
  <c r="I55" i="6"/>
  <c r="H55" i="6"/>
  <c r="G55" i="6"/>
  <c r="F55" i="6"/>
  <c r="AG55" i="6" s="1"/>
  <c r="AH55" i="6" s="1"/>
  <c r="E55" i="6"/>
  <c r="B55" i="7" s="1"/>
  <c r="D55" i="6"/>
  <c r="B55" i="6" s="1"/>
  <c r="AM54" i="6"/>
  <c r="AL54" i="6"/>
  <c r="AK54" i="6"/>
  <c r="AJ54" i="6"/>
  <c r="AF54" i="6"/>
  <c r="T54" i="6"/>
  <c r="S54" i="6"/>
  <c r="R54" i="6"/>
  <c r="D54" i="7" s="1"/>
  <c r="Q54" i="6"/>
  <c r="P54" i="6"/>
  <c r="O54" i="6"/>
  <c r="N54" i="6"/>
  <c r="M54" i="6"/>
  <c r="L54" i="6"/>
  <c r="K54" i="6"/>
  <c r="J54" i="6"/>
  <c r="I54" i="6"/>
  <c r="H54" i="6"/>
  <c r="AI54" i="6" s="1"/>
  <c r="G54" i="6"/>
  <c r="F54" i="6"/>
  <c r="AG54" i="6" s="1"/>
  <c r="AH54" i="6" s="1"/>
  <c r="E54" i="6"/>
  <c r="B54" i="7" s="1"/>
  <c r="D54" i="6"/>
  <c r="AM53" i="6"/>
  <c r="AJ53" i="6"/>
  <c r="AI53" i="6"/>
  <c r="AF53" i="6"/>
  <c r="V53" i="6"/>
  <c r="S53" i="6"/>
  <c r="Q53" i="6"/>
  <c r="P53" i="6"/>
  <c r="O53" i="6"/>
  <c r="N53" i="6"/>
  <c r="AL53" i="6" s="1"/>
  <c r="M53" i="6"/>
  <c r="L53" i="6"/>
  <c r="K53" i="6"/>
  <c r="J53" i="6"/>
  <c r="AK53" i="6" s="1"/>
  <c r="I53" i="6"/>
  <c r="H53" i="6"/>
  <c r="G53" i="6"/>
  <c r="F53" i="6"/>
  <c r="AG53" i="6" s="1"/>
  <c r="AH53" i="6" s="1"/>
  <c r="E53" i="6"/>
  <c r="B53" i="7" s="1"/>
  <c r="D53" i="6"/>
  <c r="C53" i="6" s="1"/>
  <c r="C53" i="7" s="1"/>
  <c r="B53" i="6"/>
  <c r="AM52" i="6"/>
  <c r="AL52" i="6"/>
  <c r="AJ52" i="6"/>
  <c r="W52" i="6"/>
  <c r="E52" i="7" s="1"/>
  <c r="V52" i="6"/>
  <c r="U52" i="6"/>
  <c r="T52" i="6"/>
  <c r="S52" i="6"/>
  <c r="R52" i="6"/>
  <c r="D52" i="7" s="1"/>
  <c r="Q52" i="6"/>
  <c r="P52" i="6"/>
  <c r="O52" i="6"/>
  <c r="N52" i="6"/>
  <c r="M52" i="6"/>
  <c r="L52" i="6"/>
  <c r="K52" i="6"/>
  <c r="J52" i="6"/>
  <c r="AK52" i="6" s="1"/>
  <c r="I52" i="6"/>
  <c r="H52" i="6"/>
  <c r="AI52" i="6" s="1"/>
  <c r="G52" i="6"/>
  <c r="F52" i="6"/>
  <c r="AG52" i="6" s="1"/>
  <c r="AH52" i="6" s="1"/>
  <c r="E52" i="6"/>
  <c r="B52" i="7" s="1"/>
  <c r="D52" i="6"/>
  <c r="C52" i="6"/>
  <c r="C52" i="7" s="1"/>
  <c r="AM51" i="6"/>
  <c r="AL51" i="6"/>
  <c r="AK51" i="6"/>
  <c r="AI51" i="6"/>
  <c r="AF51" i="6"/>
  <c r="V51" i="6"/>
  <c r="R51" i="6"/>
  <c r="D51" i="7" s="1"/>
  <c r="Q51" i="6"/>
  <c r="P51" i="6"/>
  <c r="O51" i="6"/>
  <c r="N51" i="6"/>
  <c r="M51" i="6"/>
  <c r="L51" i="6"/>
  <c r="K51" i="6"/>
  <c r="J51" i="6"/>
  <c r="I51" i="6"/>
  <c r="AJ51" i="6" s="1"/>
  <c r="H51" i="6"/>
  <c r="G51" i="6"/>
  <c r="F51" i="6"/>
  <c r="AG51" i="6" s="1"/>
  <c r="AH51" i="6" s="1"/>
  <c r="E51" i="6"/>
  <c r="B51" i="7" s="1"/>
  <c r="D51" i="6"/>
  <c r="C51" i="6" s="1"/>
  <c r="C51" i="7" s="1"/>
  <c r="AM50" i="6"/>
  <c r="AL50" i="6"/>
  <c r="AI50" i="6"/>
  <c r="W50" i="6"/>
  <c r="E50" i="7" s="1"/>
  <c r="U50" i="6"/>
  <c r="T50" i="6"/>
  <c r="R50" i="6"/>
  <c r="D50" i="7" s="1"/>
  <c r="Q50" i="6"/>
  <c r="P50" i="6"/>
  <c r="O50" i="6"/>
  <c r="N50" i="6"/>
  <c r="M50" i="6"/>
  <c r="L50" i="6"/>
  <c r="K50" i="6"/>
  <c r="J50" i="6"/>
  <c r="AK50" i="6" s="1"/>
  <c r="I50" i="6"/>
  <c r="AJ50" i="6" s="1"/>
  <c r="H50" i="6"/>
  <c r="G50" i="6"/>
  <c r="F50" i="6"/>
  <c r="AG50" i="6" s="1"/>
  <c r="AH50" i="6" s="1"/>
  <c r="E50" i="6"/>
  <c r="B50" i="7" s="1"/>
  <c r="D50" i="6"/>
  <c r="C50" i="6"/>
  <c r="C50" i="7" s="1"/>
  <c r="AJ49" i="6"/>
  <c r="AI49" i="6"/>
  <c r="AF49" i="6"/>
  <c r="W49" i="6"/>
  <c r="V49" i="6"/>
  <c r="U49" i="6"/>
  <c r="S49" i="6"/>
  <c r="R49" i="6"/>
  <c r="Q49" i="6"/>
  <c r="P49" i="6"/>
  <c r="O49" i="6"/>
  <c r="AM49" i="6" s="1"/>
  <c r="N49" i="6"/>
  <c r="AL49" i="6" s="1"/>
  <c r="M49" i="6"/>
  <c r="L49" i="6"/>
  <c r="K49" i="6"/>
  <c r="J49" i="6"/>
  <c r="AK49" i="6" s="1"/>
  <c r="I49" i="6"/>
  <c r="H49" i="6"/>
  <c r="G49" i="6"/>
  <c r="F49" i="6"/>
  <c r="AG49" i="6" s="1"/>
  <c r="AH49" i="6" s="1"/>
  <c r="E49" i="6"/>
  <c r="D49" i="6"/>
  <c r="T49" i="6" s="1"/>
  <c r="C49" i="6"/>
  <c r="B49" i="6"/>
  <c r="AL48" i="6"/>
  <c r="AK48" i="6"/>
  <c r="AJ48" i="6"/>
  <c r="W48" i="6"/>
  <c r="T48" i="6"/>
  <c r="S48" i="6"/>
  <c r="R48" i="6"/>
  <c r="Q48" i="6"/>
  <c r="P48" i="6"/>
  <c r="O48" i="6"/>
  <c r="AM48" i="6" s="1"/>
  <c r="N48" i="6"/>
  <c r="M48" i="6"/>
  <c r="L48" i="6"/>
  <c r="K48" i="6"/>
  <c r="J48" i="6"/>
  <c r="I48" i="6"/>
  <c r="H48" i="6"/>
  <c r="AI48" i="6" s="1"/>
  <c r="G48" i="6"/>
  <c r="F48" i="6"/>
  <c r="AG48" i="6" s="1"/>
  <c r="AH48" i="6" s="1"/>
  <c r="E48" i="6"/>
  <c r="AF48" i="6" s="1"/>
  <c r="D48" i="6"/>
  <c r="B48" i="6" s="1"/>
  <c r="C48" i="6"/>
  <c r="AL47" i="6"/>
  <c r="AJ47" i="6"/>
  <c r="AI47" i="6"/>
  <c r="AG47" i="6"/>
  <c r="AH47" i="6" s="1"/>
  <c r="W47" i="6"/>
  <c r="S47" i="6"/>
  <c r="Q47" i="6"/>
  <c r="P47" i="6"/>
  <c r="O47" i="6"/>
  <c r="AM47" i="6" s="1"/>
  <c r="N47" i="6"/>
  <c r="M47" i="6"/>
  <c r="L47" i="6"/>
  <c r="K47" i="6"/>
  <c r="J47" i="6"/>
  <c r="AK47" i="6" s="1"/>
  <c r="I47" i="6"/>
  <c r="H47" i="6"/>
  <c r="G47" i="6"/>
  <c r="F47" i="6"/>
  <c r="E47" i="6"/>
  <c r="AF47" i="6" s="1"/>
  <c r="D47" i="6"/>
  <c r="T47" i="6" s="1"/>
  <c r="C47" i="6"/>
  <c r="AL46" i="6"/>
  <c r="AJ46" i="6"/>
  <c r="AG46" i="6"/>
  <c r="AH46" i="6" s="1"/>
  <c r="W46" i="6"/>
  <c r="V46" i="6"/>
  <c r="U46" i="6"/>
  <c r="T46" i="6"/>
  <c r="Q46" i="6"/>
  <c r="P46" i="6"/>
  <c r="O46" i="6"/>
  <c r="AM46" i="6" s="1"/>
  <c r="N46" i="6"/>
  <c r="M46" i="6"/>
  <c r="L46" i="6"/>
  <c r="K46" i="6"/>
  <c r="J46" i="6"/>
  <c r="AK46" i="6" s="1"/>
  <c r="I46" i="6"/>
  <c r="H46" i="6"/>
  <c r="AI46" i="6" s="1"/>
  <c r="G46" i="6"/>
  <c r="F46" i="6"/>
  <c r="E46" i="6"/>
  <c r="AF46" i="6" s="1"/>
  <c r="D46" i="6"/>
  <c r="B46" i="6" s="1"/>
  <c r="C46" i="6"/>
  <c r="AM45" i="6"/>
  <c r="AK45" i="6"/>
  <c r="AI45" i="6"/>
  <c r="AG45" i="6"/>
  <c r="AH45" i="6" s="1"/>
  <c r="V45" i="6"/>
  <c r="Q45" i="6"/>
  <c r="P45" i="6"/>
  <c r="O45" i="6"/>
  <c r="N45" i="6"/>
  <c r="AL45" i="6" s="1"/>
  <c r="M45" i="6"/>
  <c r="L45" i="6"/>
  <c r="K45" i="6"/>
  <c r="J45" i="6"/>
  <c r="I45" i="6"/>
  <c r="AJ45" i="6" s="1"/>
  <c r="H45" i="6"/>
  <c r="G45" i="6"/>
  <c r="F45" i="6"/>
  <c r="E45" i="6"/>
  <c r="AF45" i="6" s="1"/>
  <c r="D45" i="6"/>
  <c r="T45" i="6" s="1"/>
  <c r="AM44" i="6"/>
  <c r="AL44" i="6"/>
  <c r="AI44" i="6"/>
  <c r="W44" i="6"/>
  <c r="V44" i="6"/>
  <c r="U44" i="6"/>
  <c r="T44" i="6"/>
  <c r="S44" i="6"/>
  <c r="R44" i="6"/>
  <c r="Q44" i="6"/>
  <c r="P44" i="6"/>
  <c r="O44" i="6"/>
  <c r="N44" i="6"/>
  <c r="M44" i="6"/>
  <c r="L44" i="6"/>
  <c r="K44" i="6"/>
  <c r="J44" i="6"/>
  <c r="AK44" i="6" s="1"/>
  <c r="I44" i="6"/>
  <c r="AJ44" i="6" s="1"/>
  <c r="H44" i="6"/>
  <c r="G44" i="6"/>
  <c r="F44" i="6"/>
  <c r="AG44" i="6" s="1"/>
  <c r="AH44" i="6" s="1"/>
  <c r="E44" i="6"/>
  <c r="AF44" i="6" s="1"/>
  <c r="D44" i="6"/>
  <c r="B44" i="6" s="1"/>
  <c r="C44" i="6"/>
  <c r="AM43" i="6"/>
  <c r="AL43" i="6"/>
  <c r="AK43" i="6"/>
  <c r="AI43" i="6"/>
  <c r="AF43" i="6"/>
  <c r="V43" i="6"/>
  <c r="R43" i="6"/>
  <c r="Q43" i="6"/>
  <c r="P43" i="6"/>
  <c r="O43" i="6"/>
  <c r="N43" i="6"/>
  <c r="M43" i="6"/>
  <c r="L43" i="6"/>
  <c r="K43" i="6"/>
  <c r="J43" i="6"/>
  <c r="I43" i="6"/>
  <c r="AJ43" i="6" s="1"/>
  <c r="H43" i="6"/>
  <c r="G43" i="6"/>
  <c r="F43" i="6"/>
  <c r="AG43" i="6" s="1"/>
  <c r="AH43" i="6" s="1"/>
  <c r="E43" i="6"/>
  <c r="D43" i="6"/>
  <c r="T43" i="6" s="1"/>
  <c r="AM42" i="6"/>
  <c r="AL42" i="6"/>
  <c r="AK42" i="6"/>
  <c r="AI42" i="6"/>
  <c r="W42" i="6"/>
  <c r="U42" i="6"/>
  <c r="T42" i="6"/>
  <c r="R42" i="6"/>
  <c r="Q42" i="6"/>
  <c r="P42" i="6"/>
  <c r="O42" i="6"/>
  <c r="N42" i="6"/>
  <c r="M42" i="6"/>
  <c r="L42" i="6"/>
  <c r="K42" i="6"/>
  <c r="J42" i="6"/>
  <c r="I42" i="6"/>
  <c r="AJ42" i="6" s="1"/>
  <c r="H42" i="6"/>
  <c r="G42" i="6"/>
  <c r="F42" i="6"/>
  <c r="AG42" i="6" s="1"/>
  <c r="AH42" i="6" s="1"/>
  <c r="E42" i="6"/>
  <c r="AF42" i="6" s="1"/>
  <c r="D42" i="6"/>
  <c r="B42" i="6" s="1"/>
  <c r="C42" i="6"/>
  <c r="AL41" i="6"/>
  <c r="AJ41" i="6"/>
  <c r="AI41" i="6"/>
  <c r="W41" i="6"/>
  <c r="V41" i="6"/>
  <c r="U41" i="6"/>
  <c r="S41" i="6"/>
  <c r="R41" i="6"/>
  <c r="Q41" i="6"/>
  <c r="P41" i="6"/>
  <c r="O41" i="6"/>
  <c r="AM41" i="6" s="1"/>
  <c r="N41" i="6"/>
  <c r="M41" i="6"/>
  <c r="L41" i="6"/>
  <c r="K41" i="6"/>
  <c r="J41" i="6"/>
  <c r="AK41" i="6" s="1"/>
  <c r="I41" i="6"/>
  <c r="H41" i="6"/>
  <c r="G41" i="6"/>
  <c r="F41" i="6"/>
  <c r="AG41" i="6" s="1"/>
  <c r="AH41" i="6" s="1"/>
  <c r="E41" i="6"/>
  <c r="AF41" i="6" s="1"/>
  <c r="D41" i="6"/>
  <c r="T41" i="6" s="1"/>
  <c r="C41" i="6"/>
  <c r="B41" i="6"/>
  <c r="AL40" i="6"/>
  <c r="AJ40" i="6"/>
  <c r="W40" i="6"/>
  <c r="V40" i="6"/>
  <c r="T40" i="6"/>
  <c r="S40" i="6"/>
  <c r="R40" i="6"/>
  <c r="Q40" i="6"/>
  <c r="P40" i="6"/>
  <c r="O40" i="6"/>
  <c r="AM40" i="6" s="1"/>
  <c r="N40" i="6"/>
  <c r="M40" i="6"/>
  <c r="L40" i="6"/>
  <c r="K40" i="6"/>
  <c r="J40" i="6"/>
  <c r="AK40" i="6" s="1"/>
  <c r="I40" i="6"/>
  <c r="H40" i="6"/>
  <c r="AI40" i="6" s="1"/>
  <c r="G40" i="6"/>
  <c r="F40" i="6"/>
  <c r="AG40" i="6" s="1"/>
  <c r="AH40" i="6" s="1"/>
  <c r="E40" i="6"/>
  <c r="AF40" i="6" s="1"/>
  <c r="D40" i="6"/>
  <c r="B40" i="6" s="1"/>
  <c r="C40" i="6"/>
  <c r="AJ39" i="6"/>
  <c r="AI39" i="6"/>
  <c r="AG39" i="6"/>
  <c r="AH39" i="6" s="1"/>
  <c r="W39" i="6"/>
  <c r="S39" i="6"/>
  <c r="Q39" i="6"/>
  <c r="P39" i="6"/>
  <c r="O39" i="6"/>
  <c r="AM39" i="6" s="1"/>
  <c r="N39" i="6"/>
  <c r="AL39" i="6" s="1"/>
  <c r="M39" i="6"/>
  <c r="L39" i="6"/>
  <c r="K39" i="6"/>
  <c r="J39" i="6"/>
  <c r="AK39" i="6" s="1"/>
  <c r="I39" i="6"/>
  <c r="H39" i="6"/>
  <c r="G39" i="6"/>
  <c r="F39" i="6"/>
  <c r="E39" i="6"/>
  <c r="AF39" i="6" s="1"/>
  <c r="D39" i="6"/>
  <c r="T39" i="6" s="1"/>
  <c r="C39" i="6"/>
  <c r="B39" i="6"/>
  <c r="AL38" i="6"/>
  <c r="AJ38" i="6"/>
  <c r="AG38" i="6"/>
  <c r="AH38" i="6" s="1"/>
  <c r="W38" i="6"/>
  <c r="U38" i="6"/>
  <c r="T38" i="6"/>
  <c r="S38" i="6"/>
  <c r="Q38" i="6"/>
  <c r="P38" i="6"/>
  <c r="O38" i="6"/>
  <c r="AM38" i="6" s="1"/>
  <c r="N38" i="6"/>
  <c r="M38" i="6"/>
  <c r="L38" i="6"/>
  <c r="K38" i="6"/>
  <c r="J38" i="6"/>
  <c r="AK38" i="6" s="1"/>
  <c r="I38" i="6"/>
  <c r="H38" i="6"/>
  <c r="AI38" i="6" s="1"/>
  <c r="G38" i="6"/>
  <c r="F38" i="6"/>
  <c r="E38" i="6"/>
  <c r="AF38" i="6" s="1"/>
  <c r="D38" i="6"/>
  <c r="B38" i="6" s="1"/>
  <c r="C38" i="6"/>
  <c r="AK37" i="6"/>
  <c r="AI37" i="6"/>
  <c r="AG37" i="6"/>
  <c r="AH37" i="6" s="1"/>
  <c r="AF37" i="6"/>
  <c r="V37" i="6"/>
  <c r="Q37" i="6"/>
  <c r="P37" i="6"/>
  <c r="O37" i="6"/>
  <c r="AM37" i="6" s="1"/>
  <c r="N37" i="6"/>
  <c r="AL37" i="6" s="1"/>
  <c r="M37" i="6"/>
  <c r="L37" i="6"/>
  <c r="K37" i="6"/>
  <c r="J37" i="6"/>
  <c r="I37" i="6"/>
  <c r="AJ37" i="6" s="1"/>
  <c r="H37" i="6"/>
  <c r="G37" i="6"/>
  <c r="F37" i="6"/>
  <c r="E37" i="6"/>
  <c r="D37" i="6"/>
  <c r="T37" i="6" s="1"/>
  <c r="AL36" i="6"/>
  <c r="V36" i="6"/>
  <c r="U36" i="6"/>
  <c r="T36" i="6"/>
  <c r="S36" i="6"/>
  <c r="W36" i="6" s="1"/>
  <c r="Q36" i="6"/>
  <c r="P36" i="6"/>
  <c r="O36" i="6"/>
  <c r="AM36" i="6" s="1"/>
  <c r="N36" i="6"/>
  <c r="M36" i="6"/>
  <c r="L36" i="6"/>
  <c r="K36" i="6"/>
  <c r="J36" i="6"/>
  <c r="AK36" i="6" s="1"/>
  <c r="I36" i="6"/>
  <c r="AJ36" i="6" s="1"/>
  <c r="H36" i="6"/>
  <c r="AI36" i="6" s="1"/>
  <c r="G36" i="6"/>
  <c r="F36" i="6"/>
  <c r="AG36" i="6" s="1"/>
  <c r="AH36" i="6" s="1"/>
  <c r="E36" i="6"/>
  <c r="AF36" i="6" s="1"/>
  <c r="D36" i="6"/>
  <c r="B36" i="6"/>
  <c r="AK35" i="6"/>
  <c r="AJ35" i="6"/>
  <c r="AI35" i="6"/>
  <c r="AG35" i="6"/>
  <c r="AH35" i="6" s="1"/>
  <c r="AF35" i="6"/>
  <c r="Q35" i="6"/>
  <c r="P35" i="6"/>
  <c r="O35" i="6"/>
  <c r="AM35" i="6" s="1"/>
  <c r="N35" i="6"/>
  <c r="AL35" i="6" s="1"/>
  <c r="M35" i="6"/>
  <c r="L35" i="6"/>
  <c r="K35" i="6"/>
  <c r="J35" i="6"/>
  <c r="I35" i="6"/>
  <c r="H35" i="6"/>
  <c r="G35" i="6"/>
  <c r="F35" i="6"/>
  <c r="E35" i="6"/>
  <c r="D35" i="6"/>
  <c r="B35" i="6"/>
  <c r="AM34" i="6"/>
  <c r="V34" i="6"/>
  <c r="U34" i="6"/>
  <c r="T34" i="6"/>
  <c r="S34" i="6"/>
  <c r="W34" i="6" s="1"/>
  <c r="Q34" i="6"/>
  <c r="P34" i="6"/>
  <c r="O34" i="6"/>
  <c r="N34" i="6"/>
  <c r="AL34" i="6" s="1"/>
  <c r="M34" i="6"/>
  <c r="L34" i="6"/>
  <c r="K34" i="6"/>
  <c r="J34" i="6"/>
  <c r="AK34" i="6" s="1"/>
  <c r="I34" i="6"/>
  <c r="AJ34" i="6" s="1"/>
  <c r="H34" i="6"/>
  <c r="AI34" i="6" s="1"/>
  <c r="G34" i="6"/>
  <c r="F34" i="6"/>
  <c r="AG34" i="6" s="1"/>
  <c r="AH34" i="6" s="1"/>
  <c r="E34" i="6"/>
  <c r="AF34" i="6" s="1"/>
  <c r="D34" i="6"/>
  <c r="B34" i="6"/>
  <c r="AK33" i="6"/>
  <c r="AJ33" i="6"/>
  <c r="AI33" i="6"/>
  <c r="AG33" i="6"/>
  <c r="AH33" i="6" s="1"/>
  <c r="AF33" i="6"/>
  <c r="Q33" i="6"/>
  <c r="P33" i="6"/>
  <c r="O33" i="6"/>
  <c r="AM33" i="6" s="1"/>
  <c r="N33" i="6"/>
  <c r="AL33" i="6" s="1"/>
  <c r="M33" i="6"/>
  <c r="L33" i="6"/>
  <c r="K33" i="6"/>
  <c r="J33" i="6"/>
  <c r="I33" i="6"/>
  <c r="H33" i="6"/>
  <c r="G33" i="6"/>
  <c r="F33" i="6"/>
  <c r="E33" i="6"/>
  <c r="D33" i="6"/>
  <c r="B33" i="6"/>
  <c r="AM32" i="6"/>
  <c r="V32" i="6"/>
  <c r="U32" i="6"/>
  <c r="T32" i="6"/>
  <c r="S32" i="6"/>
  <c r="W32" i="6" s="1"/>
  <c r="Q32" i="6"/>
  <c r="P32" i="6"/>
  <c r="O32" i="6"/>
  <c r="N32" i="6"/>
  <c r="AL32" i="6" s="1"/>
  <c r="M32" i="6"/>
  <c r="L32" i="6"/>
  <c r="K32" i="6"/>
  <c r="J32" i="6"/>
  <c r="AK32" i="6" s="1"/>
  <c r="I32" i="6"/>
  <c r="AJ32" i="6" s="1"/>
  <c r="H32" i="6"/>
  <c r="AI32" i="6" s="1"/>
  <c r="G32" i="6"/>
  <c r="F32" i="6"/>
  <c r="AG32" i="6" s="1"/>
  <c r="AH32" i="6" s="1"/>
  <c r="E32" i="6"/>
  <c r="AF32" i="6" s="1"/>
  <c r="D32" i="6"/>
  <c r="B32" i="6"/>
  <c r="AK31" i="6"/>
  <c r="AJ31" i="6"/>
  <c r="AI31" i="6"/>
  <c r="AG31" i="6"/>
  <c r="AH31" i="6" s="1"/>
  <c r="AF31" i="6"/>
  <c r="Q31" i="6"/>
  <c r="P31" i="6"/>
  <c r="O31" i="6"/>
  <c r="AM31" i="6" s="1"/>
  <c r="N31" i="6"/>
  <c r="AL31" i="6" s="1"/>
  <c r="M31" i="6"/>
  <c r="L31" i="6"/>
  <c r="K31" i="6"/>
  <c r="J31" i="6"/>
  <c r="I31" i="6"/>
  <c r="H31" i="6"/>
  <c r="G31" i="6"/>
  <c r="F31" i="6"/>
  <c r="E31" i="6"/>
  <c r="D31" i="6"/>
  <c r="B31" i="6"/>
  <c r="AM30" i="6"/>
  <c r="AJ30" i="6"/>
  <c r="V30" i="6"/>
  <c r="U30" i="6"/>
  <c r="T30" i="6"/>
  <c r="S30" i="6"/>
  <c r="W30" i="6" s="1"/>
  <c r="Q30" i="6"/>
  <c r="P30" i="6"/>
  <c r="O30" i="6"/>
  <c r="N30" i="6"/>
  <c r="AL30" i="6" s="1"/>
  <c r="M30" i="6"/>
  <c r="L30" i="6"/>
  <c r="K30" i="6"/>
  <c r="J30" i="6"/>
  <c r="AK30" i="6" s="1"/>
  <c r="I30" i="6"/>
  <c r="H30" i="6"/>
  <c r="AI30" i="6" s="1"/>
  <c r="G30" i="6"/>
  <c r="F30" i="6"/>
  <c r="AG30" i="6" s="1"/>
  <c r="AH30" i="6" s="1"/>
  <c r="E30" i="6"/>
  <c r="AF30" i="6" s="1"/>
  <c r="D30" i="6"/>
  <c r="B30" i="6"/>
  <c r="AK29" i="6"/>
  <c r="AJ29" i="6"/>
  <c r="AI29" i="6"/>
  <c r="AG29" i="6"/>
  <c r="AH29" i="6" s="1"/>
  <c r="AF29" i="6"/>
  <c r="Q29" i="6"/>
  <c r="P29" i="6"/>
  <c r="O29" i="6"/>
  <c r="AM29" i="6" s="1"/>
  <c r="N29" i="6"/>
  <c r="AL29" i="6" s="1"/>
  <c r="M29" i="6"/>
  <c r="L29" i="6"/>
  <c r="K29" i="6"/>
  <c r="J29" i="6"/>
  <c r="I29" i="6"/>
  <c r="H29" i="6"/>
  <c r="G29" i="6"/>
  <c r="F29" i="6"/>
  <c r="E29" i="6"/>
  <c r="D29" i="6"/>
  <c r="B29" i="6"/>
  <c r="AM28" i="6"/>
  <c r="V28" i="6"/>
  <c r="U28" i="6"/>
  <c r="T28" i="6"/>
  <c r="S28" i="6"/>
  <c r="W28" i="6" s="1"/>
  <c r="Q28" i="6"/>
  <c r="P28" i="6"/>
  <c r="O28" i="6"/>
  <c r="N28" i="6"/>
  <c r="AL28" i="6" s="1"/>
  <c r="M28" i="6"/>
  <c r="L28" i="6"/>
  <c r="K28" i="6"/>
  <c r="J28" i="6"/>
  <c r="AK28" i="6" s="1"/>
  <c r="I28" i="6"/>
  <c r="AJ28" i="6" s="1"/>
  <c r="H28" i="6"/>
  <c r="AI28" i="6" s="1"/>
  <c r="G28" i="6"/>
  <c r="F28" i="6"/>
  <c r="AG28" i="6" s="1"/>
  <c r="AH28" i="6" s="1"/>
  <c r="E28" i="6"/>
  <c r="AF28" i="6" s="1"/>
  <c r="D28" i="6"/>
  <c r="B28" i="6"/>
  <c r="AK27" i="6"/>
  <c r="AJ27" i="6"/>
  <c r="AI27" i="6"/>
  <c r="AG27" i="6"/>
  <c r="AH27" i="6" s="1"/>
  <c r="AF27" i="6"/>
  <c r="Q27" i="6"/>
  <c r="P27" i="6"/>
  <c r="O27" i="6"/>
  <c r="AM27" i="6" s="1"/>
  <c r="N27" i="6"/>
  <c r="AL27" i="6" s="1"/>
  <c r="M27" i="6"/>
  <c r="L27" i="6"/>
  <c r="K27" i="6"/>
  <c r="J27" i="6"/>
  <c r="I27" i="6"/>
  <c r="H27" i="6"/>
  <c r="G27" i="6"/>
  <c r="F27" i="6"/>
  <c r="E27" i="6"/>
  <c r="D27" i="6"/>
  <c r="B27" i="6"/>
  <c r="AM26" i="6"/>
  <c r="V26" i="6"/>
  <c r="U26" i="6"/>
  <c r="T26" i="6"/>
  <c r="S26" i="6"/>
  <c r="W26" i="6" s="1"/>
  <c r="Q26" i="6"/>
  <c r="P26" i="6"/>
  <c r="O26" i="6"/>
  <c r="N26" i="6"/>
  <c r="AL26" i="6" s="1"/>
  <c r="M26" i="6"/>
  <c r="L26" i="6"/>
  <c r="K26" i="6"/>
  <c r="J26" i="6"/>
  <c r="AK26" i="6" s="1"/>
  <c r="I26" i="6"/>
  <c r="AJ26" i="6" s="1"/>
  <c r="H26" i="6"/>
  <c r="AI26" i="6" s="1"/>
  <c r="G26" i="6"/>
  <c r="F26" i="6"/>
  <c r="AG26" i="6" s="1"/>
  <c r="AH26" i="6" s="1"/>
  <c r="E26" i="6"/>
  <c r="AF26" i="6" s="1"/>
  <c r="D26" i="6"/>
  <c r="B26" i="6"/>
  <c r="AK25" i="6"/>
  <c r="AJ25" i="6"/>
  <c r="AI25" i="6"/>
  <c r="AG25" i="6"/>
  <c r="AH25" i="6" s="1"/>
  <c r="AF25" i="6"/>
  <c r="Q25" i="6"/>
  <c r="P25" i="6"/>
  <c r="O25" i="6"/>
  <c r="AM25" i="6" s="1"/>
  <c r="N25" i="6"/>
  <c r="AL25" i="6" s="1"/>
  <c r="M25" i="6"/>
  <c r="L25" i="6"/>
  <c r="K25" i="6"/>
  <c r="J25" i="6"/>
  <c r="I25" i="6"/>
  <c r="H25" i="6"/>
  <c r="G25" i="6"/>
  <c r="F25" i="6"/>
  <c r="E25" i="6"/>
  <c r="D25" i="6"/>
  <c r="B25" i="6"/>
  <c r="AM24" i="6"/>
  <c r="AJ24" i="6"/>
  <c r="V24" i="6"/>
  <c r="U24" i="6"/>
  <c r="T24" i="6"/>
  <c r="S24" i="6"/>
  <c r="W24" i="6" s="1"/>
  <c r="Q24" i="6"/>
  <c r="P24" i="6"/>
  <c r="O24" i="6"/>
  <c r="N24" i="6"/>
  <c r="AL24" i="6" s="1"/>
  <c r="M24" i="6"/>
  <c r="L24" i="6"/>
  <c r="K24" i="6"/>
  <c r="J24" i="6"/>
  <c r="AK24" i="6" s="1"/>
  <c r="I24" i="6"/>
  <c r="H24" i="6"/>
  <c r="AI24" i="6" s="1"/>
  <c r="G24" i="6"/>
  <c r="F24" i="6"/>
  <c r="AG24" i="6" s="1"/>
  <c r="AH24" i="6" s="1"/>
  <c r="E24" i="6"/>
  <c r="AF24" i="6" s="1"/>
  <c r="D24" i="6"/>
  <c r="B24" i="6"/>
  <c r="AK23" i="6"/>
  <c r="AJ23" i="6"/>
  <c r="AI23" i="6"/>
  <c r="AG23" i="6"/>
  <c r="AH23" i="6" s="1"/>
  <c r="AF23" i="6"/>
  <c r="Q23" i="6"/>
  <c r="P23" i="6"/>
  <c r="O23" i="6"/>
  <c r="AM23" i="6" s="1"/>
  <c r="N23" i="6"/>
  <c r="AL23" i="6" s="1"/>
  <c r="M23" i="6"/>
  <c r="L23" i="6"/>
  <c r="K23" i="6"/>
  <c r="J23" i="6"/>
  <c r="I23" i="6"/>
  <c r="H23" i="6"/>
  <c r="G23" i="6"/>
  <c r="F23" i="6"/>
  <c r="E23" i="6"/>
  <c r="D23" i="6"/>
  <c r="B23" i="6"/>
  <c r="AM22" i="6"/>
  <c r="AF22" i="6"/>
  <c r="V22" i="6"/>
  <c r="U22" i="6"/>
  <c r="T22" i="6"/>
  <c r="S22" i="6"/>
  <c r="W22" i="6" s="1"/>
  <c r="Q22" i="6"/>
  <c r="P22" i="6"/>
  <c r="O22" i="6"/>
  <c r="N22" i="6"/>
  <c r="AL22" i="6" s="1"/>
  <c r="M22" i="6"/>
  <c r="L22" i="6"/>
  <c r="K22" i="6"/>
  <c r="J22" i="6"/>
  <c r="AK22" i="6" s="1"/>
  <c r="I22" i="6"/>
  <c r="AJ22" i="6" s="1"/>
  <c r="H22" i="6"/>
  <c r="AI22" i="6" s="1"/>
  <c r="G22" i="6"/>
  <c r="F22" i="6"/>
  <c r="AG22" i="6" s="1"/>
  <c r="AH22" i="6" s="1"/>
  <c r="E22" i="6"/>
  <c r="D22" i="6"/>
  <c r="B22" i="6"/>
  <c r="AK21" i="6"/>
  <c r="AJ21" i="6"/>
  <c r="AI21" i="6"/>
  <c r="AG21" i="6"/>
  <c r="AH21" i="6" s="1"/>
  <c r="AF21" i="6"/>
  <c r="Q21" i="6"/>
  <c r="P21" i="6"/>
  <c r="O21" i="6"/>
  <c r="AM21" i="6" s="1"/>
  <c r="N21" i="6"/>
  <c r="AL21" i="6" s="1"/>
  <c r="M21" i="6"/>
  <c r="L21" i="6"/>
  <c r="K21" i="6"/>
  <c r="J21" i="6"/>
  <c r="I21" i="6"/>
  <c r="H21" i="6"/>
  <c r="G21" i="6"/>
  <c r="F21" i="6"/>
  <c r="E21" i="6"/>
  <c r="D21" i="6"/>
  <c r="B21" i="6"/>
  <c r="AM20" i="6"/>
  <c r="V20" i="6"/>
  <c r="U20" i="6"/>
  <c r="T20" i="6"/>
  <c r="S20" i="6"/>
  <c r="W20" i="6" s="1"/>
  <c r="Q20" i="6"/>
  <c r="P20" i="6"/>
  <c r="O20" i="6"/>
  <c r="N20" i="6"/>
  <c r="AL20" i="6" s="1"/>
  <c r="M20" i="6"/>
  <c r="L20" i="6"/>
  <c r="K20" i="6"/>
  <c r="J20" i="6"/>
  <c r="AK20" i="6" s="1"/>
  <c r="I20" i="6"/>
  <c r="AJ20" i="6" s="1"/>
  <c r="H20" i="6"/>
  <c r="AI20" i="6" s="1"/>
  <c r="G20" i="6"/>
  <c r="F20" i="6"/>
  <c r="AG20" i="6" s="1"/>
  <c r="AH20" i="6" s="1"/>
  <c r="E20" i="6"/>
  <c r="AF20" i="6" s="1"/>
  <c r="D20" i="6"/>
  <c r="B20" i="6"/>
  <c r="AK19" i="6"/>
  <c r="AJ19" i="6"/>
  <c r="AI19" i="6"/>
  <c r="AG19" i="6"/>
  <c r="AH19" i="6" s="1"/>
  <c r="AF19" i="6"/>
  <c r="Q19" i="6"/>
  <c r="P19" i="6"/>
  <c r="O19" i="6"/>
  <c r="AM19" i="6" s="1"/>
  <c r="N19" i="6"/>
  <c r="AL19" i="6" s="1"/>
  <c r="M19" i="6"/>
  <c r="L19" i="6"/>
  <c r="K19" i="6"/>
  <c r="J19" i="6"/>
  <c r="I19" i="6"/>
  <c r="H19" i="6"/>
  <c r="G19" i="6"/>
  <c r="F19" i="6"/>
  <c r="E19" i="6"/>
  <c r="D19" i="6"/>
  <c r="B19" i="6"/>
  <c r="AM18" i="6"/>
  <c r="V18" i="6"/>
  <c r="U18" i="6"/>
  <c r="T18" i="6"/>
  <c r="S18" i="6"/>
  <c r="W18" i="6" s="1"/>
  <c r="Q18" i="6"/>
  <c r="P18" i="6"/>
  <c r="O18" i="6"/>
  <c r="N18" i="6"/>
  <c r="AL18" i="6" s="1"/>
  <c r="M18" i="6"/>
  <c r="L18" i="6"/>
  <c r="K18" i="6"/>
  <c r="J18" i="6"/>
  <c r="AK18" i="6" s="1"/>
  <c r="I18" i="6"/>
  <c r="AJ18" i="6" s="1"/>
  <c r="H18" i="6"/>
  <c r="AI18" i="6" s="1"/>
  <c r="G18" i="6"/>
  <c r="F18" i="6"/>
  <c r="AG18" i="6" s="1"/>
  <c r="AH18" i="6" s="1"/>
  <c r="E18" i="6"/>
  <c r="AF18" i="6" s="1"/>
  <c r="D18" i="6"/>
  <c r="B18" i="6"/>
  <c r="AK17" i="6"/>
  <c r="AJ17" i="6"/>
  <c r="AI17" i="6"/>
  <c r="AG17" i="6"/>
  <c r="AH17" i="6" s="1"/>
  <c r="AF17" i="6"/>
  <c r="Q17" i="6"/>
  <c r="P17" i="6"/>
  <c r="O17" i="6"/>
  <c r="AM17" i="6" s="1"/>
  <c r="N17" i="6"/>
  <c r="AL17" i="6" s="1"/>
  <c r="M17" i="6"/>
  <c r="L17" i="6"/>
  <c r="K17" i="6"/>
  <c r="J17" i="6"/>
  <c r="I17" i="6"/>
  <c r="H17" i="6"/>
  <c r="G17" i="6"/>
  <c r="F17" i="6"/>
  <c r="E17" i="6"/>
  <c r="D17" i="6"/>
  <c r="B17" i="6"/>
  <c r="AM16" i="6"/>
  <c r="V16" i="6"/>
  <c r="U16" i="6"/>
  <c r="T16" i="6"/>
  <c r="S16" i="6"/>
  <c r="W16" i="6" s="1"/>
  <c r="Q16" i="6"/>
  <c r="P16" i="6"/>
  <c r="O16" i="6"/>
  <c r="N16" i="6"/>
  <c r="AL16" i="6" s="1"/>
  <c r="M16" i="6"/>
  <c r="L16" i="6"/>
  <c r="K16" i="6"/>
  <c r="J16" i="6"/>
  <c r="AK16" i="6" s="1"/>
  <c r="I16" i="6"/>
  <c r="AJ16" i="6" s="1"/>
  <c r="H16" i="6"/>
  <c r="AI16" i="6" s="1"/>
  <c r="G16" i="6"/>
  <c r="F16" i="6"/>
  <c r="AG16" i="6" s="1"/>
  <c r="AH16" i="6" s="1"/>
  <c r="E16" i="6"/>
  <c r="AF16" i="6" s="1"/>
  <c r="D16" i="6"/>
  <c r="B16" i="6"/>
  <c r="AK15" i="6"/>
  <c r="AJ15" i="6"/>
  <c r="AI15" i="6"/>
  <c r="AG15" i="6"/>
  <c r="AH15" i="6" s="1"/>
  <c r="AF15" i="6"/>
  <c r="Q15" i="6"/>
  <c r="P15" i="6"/>
  <c r="O15" i="6"/>
  <c r="AM15" i="6" s="1"/>
  <c r="N15" i="6"/>
  <c r="AL15" i="6" s="1"/>
  <c r="M15" i="6"/>
  <c r="L15" i="6"/>
  <c r="K15" i="6"/>
  <c r="J15" i="6"/>
  <c r="I15" i="6"/>
  <c r="H15" i="6"/>
  <c r="G15" i="6"/>
  <c r="F15" i="6"/>
  <c r="E15" i="6"/>
  <c r="D15" i="6"/>
  <c r="B15" i="6"/>
  <c r="AM14" i="6"/>
  <c r="V14" i="6"/>
  <c r="U14" i="6"/>
  <c r="T14" i="6"/>
  <c r="S14" i="6"/>
  <c r="W14" i="6" s="1"/>
  <c r="Q14" i="6"/>
  <c r="P14" i="6"/>
  <c r="O14" i="6"/>
  <c r="N14" i="6"/>
  <c r="AL14" i="6" s="1"/>
  <c r="M14" i="6"/>
  <c r="L14" i="6"/>
  <c r="K14" i="6"/>
  <c r="J14" i="6"/>
  <c r="AK14" i="6" s="1"/>
  <c r="I14" i="6"/>
  <c r="AJ14" i="6" s="1"/>
  <c r="H14" i="6"/>
  <c r="AI14" i="6" s="1"/>
  <c r="G14" i="6"/>
  <c r="F14" i="6"/>
  <c r="AG14" i="6" s="1"/>
  <c r="AH14" i="6" s="1"/>
  <c r="E14" i="6"/>
  <c r="AF14" i="6" s="1"/>
  <c r="D14" i="6"/>
  <c r="B14" i="6"/>
  <c r="AK13" i="6"/>
  <c r="AJ13" i="6"/>
  <c r="AI13" i="6"/>
  <c r="AG13" i="6"/>
  <c r="AH13" i="6" s="1"/>
  <c r="AF13" i="6"/>
  <c r="Q13" i="6"/>
  <c r="P13" i="6"/>
  <c r="O13" i="6"/>
  <c r="AM13" i="6" s="1"/>
  <c r="N13" i="6"/>
  <c r="AL13" i="6" s="1"/>
  <c r="M13" i="6"/>
  <c r="L13" i="6"/>
  <c r="K13" i="6"/>
  <c r="J13" i="6"/>
  <c r="I13" i="6"/>
  <c r="H13" i="6"/>
  <c r="G13" i="6"/>
  <c r="F13" i="6"/>
  <c r="E13" i="6"/>
  <c r="D13" i="6"/>
  <c r="B13" i="6"/>
  <c r="AM12" i="6"/>
  <c r="V12" i="6"/>
  <c r="U12" i="6"/>
  <c r="T12" i="6"/>
  <c r="S12" i="6"/>
  <c r="W12" i="6" s="1"/>
  <c r="Q12" i="6"/>
  <c r="P12" i="6"/>
  <c r="O12" i="6"/>
  <c r="N12" i="6"/>
  <c r="AL12" i="6" s="1"/>
  <c r="M12" i="6"/>
  <c r="L12" i="6"/>
  <c r="K12" i="6"/>
  <c r="J12" i="6"/>
  <c r="AK12" i="6" s="1"/>
  <c r="I12" i="6"/>
  <c r="AJ12" i="6" s="1"/>
  <c r="H12" i="6"/>
  <c r="AI12" i="6" s="1"/>
  <c r="G12" i="6"/>
  <c r="F12" i="6"/>
  <c r="AG12" i="6" s="1"/>
  <c r="AH12" i="6" s="1"/>
  <c r="E12" i="6"/>
  <c r="AF12" i="6" s="1"/>
  <c r="D12" i="6"/>
  <c r="B12" i="6"/>
  <c r="AK11" i="6"/>
  <c r="AJ11" i="6"/>
  <c r="AI11" i="6"/>
  <c r="AG11" i="6"/>
  <c r="AH11" i="6" s="1"/>
  <c r="AF11" i="6"/>
  <c r="Q11" i="6"/>
  <c r="P11" i="6"/>
  <c r="O11" i="6"/>
  <c r="AM11" i="6" s="1"/>
  <c r="N11" i="6"/>
  <c r="AL11" i="6" s="1"/>
  <c r="M11" i="6"/>
  <c r="L11" i="6"/>
  <c r="K11" i="6"/>
  <c r="J11" i="6"/>
  <c r="I11" i="6"/>
  <c r="H11" i="6"/>
  <c r="G11" i="6"/>
  <c r="F11" i="6"/>
  <c r="E11" i="6"/>
  <c r="D11" i="6"/>
  <c r="B11" i="6"/>
  <c r="AM10" i="6"/>
  <c r="V10" i="6"/>
  <c r="U10" i="6"/>
  <c r="T10" i="6"/>
  <c r="S10" i="6"/>
  <c r="W10" i="6" s="1"/>
  <c r="Q10" i="6"/>
  <c r="P10" i="6"/>
  <c r="O10" i="6"/>
  <c r="N10" i="6"/>
  <c r="AL10" i="6" s="1"/>
  <c r="M10" i="6"/>
  <c r="L10" i="6"/>
  <c r="K10" i="6"/>
  <c r="J10" i="6"/>
  <c r="AK10" i="6" s="1"/>
  <c r="I10" i="6"/>
  <c r="AJ10" i="6" s="1"/>
  <c r="H10" i="6"/>
  <c r="AI10" i="6" s="1"/>
  <c r="G10" i="6"/>
  <c r="F10" i="6"/>
  <c r="AG10" i="6" s="1"/>
  <c r="AH10" i="6" s="1"/>
  <c r="E10" i="6"/>
  <c r="AF10" i="6" s="1"/>
  <c r="D10" i="6"/>
  <c r="B10" i="6"/>
  <c r="AK9" i="6"/>
  <c r="AJ9" i="6"/>
  <c r="AI9" i="6"/>
  <c r="AG9" i="6"/>
  <c r="AH9" i="6" s="1"/>
  <c r="AF9" i="6"/>
  <c r="Q9" i="6"/>
  <c r="P9" i="6"/>
  <c r="O9" i="6"/>
  <c r="AM9" i="6" s="1"/>
  <c r="N9" i="6"/>
  <c r="AL9" i="6" s="1"/>
  <c r="M9" i="6"/>
  <c r="L9" i="6"/>
  <c r="K9" i="6"/>
  <c r="J9" i="6"/>
  <c r="I9" i="6"/>
  <c r="H9" i="6"/>
  <c r="G9" i="6"/>
  <c r="F9" i="6"/>
  <c r="E9" i="6"/>
  <c r="D9" i="6"/>
  <c r="B9" i="6"/>
  <c r="AM8" i="6"/>
  <c r="V8" i="6"/>
  <c r="U8" i="6"/>
  <c r="T8" i="6"/>
  <c r="S8" i="6"/>
  <c r="W8" i="6" s="1"/>
  <c r="Q8" i="6"/>
  <c r="P8" i="6"/>
  <c r="O8" i="6"/>
  <c r="N8" i="6"/>
  <c r="AL8" i="6" s="1"/>
  <c r="M8" i="6"/>
  <c r="L8" i="6"/>
  <c r="K8" i="6"/>
  <c r="J8" i="6"/>
  <c r="AK8" i="6" s="1"/>
  <c r="I8" i="6"/>
  <c r="AJ8" i="6" s="1"/>
  <c r="H8" i="6"/>
  <c r="AI8" i="6" s="1"/>
  <c r="G8" i="6"/>
  <c r="F8" i="6"/>
  <c r="AG8" i="6" s="1"/>
  <c r="AH8" i="6" s="1"/>
  <c r="E8" i="6"/>
  <c r="AF8" i="6" s="1"/>
  <c r="D8" i="6"/>
  <c r="B8" i="6"/>
  <c r="AK7" i="6"/>
  <c r="AJ7" i="6"/>
  <c r="AI7" i="6"/>
  <c r="AG7" i="6"/>
  <c r="AH7" i="6" s="1"/>
  <c r="AF7" i="6"/>
  <c r="Q7" i="6"/>
  <c r="P7" i="6"/>
  <c r="O7" i="6"/>
  <c r="AM7" i="6" s="1"/>
  <c r="N7" i="6"/>
  <c r="AL7" i="6" s="1"/>
  <c r="M7" i="6"/>
  <c r="L7" i="6"/>
  <c r="K7" i="6"/>
  <c r="J7" i="6"/>
  <c r="I7" i="6"/>
  <c r="H7" i="6"/>
  <c r="G7" i="6"/>
  <c r="F7" i="6"/>
  <c r="E7" i="6"/>
  <c r="D7" i="6"/>
  <c r="B7" i="6"/>
  <c r="AM6" i="6"/>
  <c r="V6" i="6"/>
  <c r="U6" i="6"/>
  <c r="T6" i="6"/>
  <c r="S6" i="6"/>
  <c r="W6" i="6" s="1"/>
  <c r="Q6" i="6"/>
  <c r="P6" i="6"/>
  <c r="O6" i="6"/>
  <c r="N6" i="6"/>
  <c r="AL6" i="6" s="1"/>
  <c r="M6" i="6"/>
  <c r="L6" i="6"/>
  <c r="K6" i="6"/>
  <c r="J6" i="6"/>
  <c r="AK6" i="6" s="1"/>
  <c r="I6" i="6"/>
  <c r="AJ6" i="6" s="1"/>
  <c r="H6" i="6"/>
  <c r="AI6" i="6" s="1"/>
  <c r="G6" i="6"/>
  <c r="F6" i="6"/>
  <c r="AG6" i="6" s="1"/>
  <c r="AH6" i="6" s="1"/>
  <c r="E6" i="6"/>
  <c r="AF6" i="6" s="1"/>
  <c r="D6" i="6"/>
  <c r="B6" i="6"/>
  <c r="AK5" i="6"/>
  <c r="AJ5" i="6"/>
  <c r="AI5" i="6"/>
  <c r="AG5" i="6"/>
  <c r="AH5" i="6" s="1"/>
  <c r="AF5" i="6"/>
  <c r="Q5" i="6"/>
  <c r="P5" i="6"/>
  <c r="O5" i="6"/>
  <c r="AM5" i="6" s="1"/>
  <c r="N5" i="6"/>
  <c r="AL5" i="6" s="1"/>
  <c r="M5" i="6"/>
  <c r="L5" i="6"/>
  <c r="K5" i="6"/>
  <c r="J5" i="6"/>
  <c r="I5" i="6"/>
  <c r="H5" i="6"/>
  <c r="G5" i="6"/>
  <c r="F5" i="6"/>
  <c r="E5" i="6"/>
  <c r="D5" i="6"/>
  <c r="B5" i="6"/>
  <c r="AM4" i="6"/>
  <c r="AI4" i="6"/>
  <c r="V4" i="6"/>
  <c r="U4" i="6"/>
  <c r="T4" i="6"/>
  <c r="S4" i="6"/>
  <c r="W4" i="6" s="1"/>
  <c r="Q4" i="6"/>
  <c r="P4" i="6"/>
  <c r="O4" i="6"/>
  <c r="N4" i="6"/>
  <c r="AL4" i="6" s="1"/>
  <c r="M4" i="6"/>
  <c r="L4" i="6"/>
  <c r="K4" i="6"/>
  <c r="J4" i="6"/>
  <c r="AK4" i="6" s="1"/>
  <c r="I4" i="6"/>
  <c r="AJ4" i="6" s="1"/>
  <c r="H4" i="6"/>
  <c r="G4" i="6"/>
  <c r="F4" i="6"/>
  <c r="AG4" i="6" s="1"/>
  <c r="AH4" i="6" s="1"/>
  <c r="E4" i="6"/>
  <c r="AF4" i="6" s="1"/>
  <c r="D4" i="6"/>
  <c r="B4" i="6"/>
  <c r="AK3" i="6"/>
  <c r="AJ3" i="6"/>
  <c r="AI3" i="6"/>
  <c r="AG3" i="6"/>
  <c r="AH3" i="6" s="1"/>
  <c r="AF3" i="6"/>
  <c r="Q3" i="6"/>
  <c r="P3" i="6"/>
  <c r="O3" i="6"/>
  <c r="AM3" i="6" s="1"/>
  <c r="N3" i="6"/>
  <c r="AL3" i="6" s="1"/>
  <c r="M3" i="6"/>
  <c r="L3" i="6"/>
  <c r="K3" i="6"/>
  <c r="J3" i="6"/>
  <c r="I3" i="6"/>
  <c r="H3" i="6"/>
  <c r="G3" i="6"/>
  <c r="F3" i="6"/>
  <c r="E3" i="6"/>
  <c r="D3" i="6"/>
  <c r="B3" i="6"/>
  <c r="AM2" i="6"/>
  <c r="U2" i="6"/>
  <c r="T2" i="6"/>
  <c r="S2" i="6"/>
  <c r="W2" i="6" s="1"/>
  <c r="Q2" i="6"/>
  <c r="P2" i="6"/>
  <c r="O2" i="6"/>
  <c r="N2" i="6"/>
  <c r="AL2" i="6" s="1"/>
  <c r="M2" i="6"/>
  <c r="L2" i="6"/>
  <c r="K2" i="6"/>
  <c r="J2" i="6"/>
  <c r="AK2" i="6" s="1"/>
  <c r="I2" i="6"/>
  <c r="AJ2" i="6" s="1"/>
  <c r="H2" i="6"/>
  <c r="AI2" i="6" s="1"/>
  <c r="G2" i="6"/>
  <c r="F2" i="6"/>
  <c r="AG2" i="6" s="1"/>
  <c r="AH2" i="6" s="1"/>
  <c r="E2" i="6"/>
  <c r="AF2" i="6" s="1"/>
  <c r="D2" i="6"/>
  <c r="B2" i="6"/>
  <c r="B12" i="2"/>
  <c r="B11" i="2"/>
  <c r="B10" i="2"/>
  <c r="B9" i="2"/>
  <c r="B8" i="2"/>
  <c r="B7" i="2"/>
  <c r="B6" i="2"/>
  <c r="B5" i="2"/>
  <c r="B4" i="2"/>
  <c r="R2" i="6" l="1"/>
  <c r="R4" i="6"/>
  <c r="C4" i="6" s="1"/>
  <c r="R6" i="6"/>
  <c r="C6" i="6" s="1"/>
  <c r="R8" i="6"/>
  <c r="C8" i="6" s="1"/>
  <c r="R10" i="6"/>
  <c r="C10" i="6" s="1"/>
  <c r="R12" i="6"/>
  <c r="C12" i="6" s="1"/>
  <c r="R14" i="6"/>
  <c r="C14" i="6" s="1"/>
  <c r="R16" i="6"/>
  <c r="C16" i="6" s="1"/>
  <c r="R18" i="6"/>
  <c r="C18" i="6" s="1"/>
  <c r="R20" i="6"/>
  <c r="C20" i="6" s="1"/>
  <c r="R22" i="6"/>
  <c r="C22" i="6" s="1"/>
  <c r="R24" i="6"/>
  <c r="C24" i="6" s="1"/>
  <c r="R26" i="6"/>
  <c r="C26" i="6" s="1"/>
  <c r="R28" i="6"/>
  <c r="C28" i="6" s="1"/>
  <c r="R30" i="6"/>
  <c r="C30" i="6" s="1"/>
  <c r="R32" i="6"/>
  <c r="C32" i="6" s="1"/>
  <c r="R34" i="6"/>
  <c r="C34" i="6" s="1"/>
  <c r="R36" i="6"/>
  <c r="C36" i="6" s="1"/>
  <c r="V57" i="6"/>
  <c r="S58" i="6"/>
  <c r="V60" i="6"/>
  <c r="A67" i="7"/>
  <c r="U67" i="6"/>
  <c r="T67" i="6"/>
  <c r="R67" i="6"/>
  <c r="D67" i="7" s="1"/>
  <c r="C67" i="6"/>
  <c r="C67" i="7" s="1"/>
  <c r="B67" i="6"/>
  <c r="B68" i="7"/>
  <c r="AF68" i="6"/>
  <c r="A73" i="7"/>
  <c r="U73" i="6"/>
  <c r="T73" i="6"/>
  <c r="R73" i="6"/>
  <c r="D73" i="7" s="1"/>
  <c r="C73" i="6"/>
  <c r="C73" i="7" s="1"/>
  <c r="B73" i="6"/>
  <c r="B74" i="7"/>
  <c r="AF74" i="6"/>
  <c r="A79" i="7"/>
  <c r="U79" i="6"/>
  <c r="T79" i="6"/>
  <c r="R79" i="6"/>
  <c r="D79" i="7" s="1"/>
  <c r="C79" i="6"/>
  <c r="C79" i="7" s="1"/>
  <c r="B79" i="6"/>
  <c r="B80" i="7"/>
  <c r="AF80" i="6"/>
  <c r="A85" i="7"/>
  <c r="U85" i="6"/>
  <c r="T85" i="6"/>
  <c r="R85" i="6"/>
  <c r="D85" i="7" s="1"/>
  <c r="C85" i="6"/>
  <c r="C85" i="7" s="1"/>
  <c r="B85" i="6"/>
  <c r="B86" i="7"/>
  <c r="AF86" i="6"/>
  <c r="A134" i="7"/>
  <c r="C134" i="6"/>
  <c r="C134" i="7" s="1"/>
  <c r="B134" i="6"/>
  <c r="W134" i="6"/>
  <c r="E134" i="7" s="1"/>
  <c r="V134" i="6"/>
  <c r="U134" i="6"/>
  <c r="T134" i="6"/>
  <c r="S134" i="6"/>
  <c r="R134" i="6"/>
  <c r="D134" i="7" s="1"/>
  <c r="A163" i="7"/>
  <c r="R163" i="6"/>
  <c r="D163" i="7" s="1"/>
  <c r="S163" i="6"/>
  <c r="C163" i="6"/>
  <c r="C163" i="7" s="1"/>
  <c r="B163" i="6"/>
  <c r="W163" i="6"/>
  <c r="E163" i="7" s="1"/>
  <c r="V163" i="6"/>
  <c r="U163" i="6"/>
  <c r="T163" i="6"/>
  <c r="W43" i="6"/>
  <c r="W51" i="6"/>
  <c r="E51" i="7" s="1"/>
  <c r="W57" i="6"/>
  <c r="E57" i="7" s="1"/>
  <c r="T58" i="6"/>
  <c r="B67" i="7"/>
  <c r="AF67" i="6"/>
  <c r="B73" i="7"/>
  <c r="AF73" i="6"/>
  <c r="B79" i="7"/>
  <c r="AF79" i="6"/>
  <c r="B85" i="7"/>
  <c r="AF85" i="6"/>
  <c r="A101" i="7"/>
  <c r="U101" i="6"/>
  <c r="T101" i="6"/>
  <c r="R101" i="6"/>
  <c r="D101" i="7" s="1"/>
  <c r="C101" i="6"/>
  <c r="C101" i="7" s="1"/>
  <c r="B101" i="6"/>
  <c r="W101" i="6"/>
  <c r="E101" i="7" s="1"/>
  <c r="A107" i="7"/>
  <c r="U107" i="6"/>
  <c r="T107" i="6"/>
  <c r="R107" i="6"/>
  <c r="D107" i="7" s="1"/>
  <c r="C107" i="6"/>
  <c r="C107" i="7" s="1"/>
  <c r="B107" i="6"/>
  <c r="W107" i="6"/>
  <c r="E107" i="7" s="1"/>
  <c r="A110" i="7"/>
  <c r="C110" i="6"/>
  <c r="C110" i="7" s="1"/>
  <c r="B110" i="6"/>
  <c r="W110" i="6"/>
  <c r="E110" i="7" s="1"/>
  <c r="V110" i="6"/>
  <c r="U110" i="6"/>
  <c r="T110" i="6"/>
  <c r="S110" i="6"/>
  <c r="R110" i="6"/>
  <c r="D110" i="7" s="1"/>
  <c r="A118" i="7"/>
  <c r="C118" i="6"/>
  <c r="C118" i="7" s="1"/>
  <c r="B118" i="6"/>
  <c r="W118" i="6"/>
  <c r="E118" i="7" s="1"/>
  <c r="V118" i="6"/>
  <c r="U118" i="6"/>
  <c r="T118" i="6"/>
  <c r="S118" i="6"/>
  <c r="R118" i="6"/>
  <c r="D118" i="7" s="1"/>
  <c r="A126" i="7"/>
  <c r="C126" i="6"/>
  <c r="C126" i="7" s="1"/>
  <c r="B126" i="6"/>
  <c r="W126" i="6"/>
  <c r="E126" i="7" s="1"/>
  <c r="V126" i="6"/>
  <c r="U126" i="6"/>
  <c r="T126" i="6"/>
  <c r="S126" i="6"/>
  <c r="R126" i="6"/>
  <c r="D126" i="7" s="1"/>
  <c r="B175" i="7"/>
  <c r="AF175" i="6"/>
  <c r="B185" i="7"/>
  <c r="AF185" i="6"/>
  <c r="B37" i="6"/>
  <c r="V38" i="6"/>
  <c r="B45" i="6"/>
  <c r="A50" i="7"/>
  <c r="B50" i="6"/>
  <c r="V58" i="6"/>
  <c r="S67" i="6"/>
  <c r="S73" i="6"/>
  <c r="S79" i="6"/>
  <c r="S85" i="6"/>
  <c r="A90" i="7"/>
  <c r="C90" i="6"/>
  <c r="C90" i="7" s="1"/>
  <c r="B90" i="6"/>
  <c r="W90" i="6"/>
  <c r="E90" i="7" s="1"/>
  <c r="U90" i="6"/>
  <c r="T90" i="6"/>
  <c r="S90" i="6"/>
  <c r="R90" i="6"/>
  <c r="D90" i="7" s="1"/>
  <c r="A94" i="7"/>
  <c r="C94" i="6"/>
  <c r="C94" i="7" s="1"/>
  <c r="B94" i="6"/>
  <c r="W94" i="6"/>
  <c r="E94" i="7" s="1"/>
  <c r="U94" i="6"/>
  <c r="T94" i="6"/>
  <c r="S94" i="6"/>
  <c r="R94" i="6"/>
  <c r="D94" i="7" s="1"/>
  <c r="A98" i="7"/>
  <c r="C98" i="6"/>
  <c r="C98" i="7" s="1"/>
  <c r="B98" i="6"/>
  <c r="W98" i="6"/>
  <c r="E98" i="7" s="1"/>
  <c r="U98" i="6"/>
  <c r="T98" i="6"/>
  <c r="S98" i="6"/>
  <c r="R98" i="6"/>
  <c r="D98" i="7" s="1"/>
  <c r="A104" i="7"/>
  <c r="C104" i="6"/>
  <c r="C104" i="7" s="1"/>
  <c r="B104" i="6"/>
  <c r="W104" i="6"/>
  <c r="E104" i="7" s="1"/>
  <c r="U104" i="6"/>
  <c r="T104" i="6"/>
  <c r="S104" i="6"/>
  <c r="R104" i="6"/>
  <c r="D104" i="7" s="1"/>
  <c r="A136" i="7"/>
  <c r="C136" i="6"/>
  <c r="C136" i="7" s="1"/>
  <c r="B136" i="6"/>
  <c r="W136" i="6"/>
  <c r="E136" i="7" s="1"/>
  <c r="V136" i="6"/>
  <c r="U136" i="6"/>
  <c r="T136" i="6"/>
  <c r="S136" i="6"/>
  <c r="R136" i="6"/>
  <c r="D136" i="7" s="1"/>
  <c r="A155" i="7"/>
  <c r="R155" i="6"/>
  <c r="D155" i="7" s="1"/>
  <c r="S155" i="6"/>
  <c r="C155" i="6"/>
  <c r="C155" i="7" s="1"/>
  <c r="B155" i="6"/>
  <c r="W155" i="6"/>
  <c r="E155" i="7" s="1"/>
  <c r="V155" i="6"/>
  <c r="U155" i="6"/>
  <c r="T155" i="6"/>
  <c r="R39" i="6"/>
  <c r="C45" i="6"/>
  <c r="R47" i="6"/>
  <c r="A53" i="7"/>
  <c r="U53" i="6"/>
  <c r="T53" i="6"/>
  <c r="A66" i="7"/>
  <c r="C66" i="6"/>
  <c r="C66" i="7" s="1"/>
  <c r="B66" i="6"/>
  <c r="U66" i="6"/>
  <c r="T66" i="6"/>
  <c r="S66" i="6"/>
  <c r="R66" i="6"/>
  <c r="D66" i="7" s="1"/>
  <c r="V67" i="6"/>
  <c r="A72" i="7"/>
  <c r="C72" i="6"/>
  <c r="C72" i="7" s="1"/>
  <c r="B72" i="6"/>
  <c r="U72" i="6"/>
  <c r="T72" i="6"/>
  <c r="S72" i="6"/>
  <c r="R72" i="6"/>
  <c r="D72" i="7" s="1"/>
  <c r="V73" i="6"/>
  <c r="A78" i="7"/>
  <c r="C78" i="6"/>
  <c r="C78" i="7" s="1"/>
  <c r="B78" i="6"/>
  <c r="U78" i="6"/>
  <c r="T78" i="6"/>
  <c r="S78" i="6"/>
  <c r="R78" i="6"/>
  <c r="D78" i="7" s="1"/>
  <c r="V79" i="6"/>
  <c r="A84" i="7"/>
  <c r="C84" i="6"/>
  <c r="C84" i="7" s="1"/>
  <c r="B84" i="6"/>
  <c r="U84" i="6"/>
  <c r="T84" i="6"/>
  <c r="S84" i="6"/>
  <c r="R84" i="6"/>
  <c r="D84" i="7" s="1"/>
  <c r="V85" i="6"/>
  <c r="B90" i="7"/>
  <c r="AF90" i="6"/>
  <c r="B94" i="7"/>
  <c r="AF94" i="6"/>
  <c r="B98" i="7"/>
  <c r="AF98" i="6"/>
  <c r="S101" i="6"/>
  <c r="S107" i="6"/>
  <c r="A65" i="7"/>
  <c r="U65" i="6"/>
  <c r="T65" i="6"/>
  <c r="R65" i="6"/>
  <c r="D65" i="7" s="1"/>
  <c r="C65" i="6"/>
  <c r="C65" i="7" s="1"/>
  <c r="B66" i="7"/>
  <c r="AF66" i="6"/>
  <c r="W67" i="6"/>
  <c r="E67" i="7" s="1"/>
  <c r="A71" i="7"/>
  <c r="U71" i="6"/>
  <c r="T71" i="6"/>
  <c r="R71" i="6"/>
  <c r="D71" i="7" s="1"/>
  <c r="C71" i="6"/>
  <c r="C71" i="7" s="1"/>
  <c r="B71" i="6"/>
  <c r="B72" i="7"/>
  <c r="AF72" i="6"/>
  <c r="W73" i="6"/>
  <c r="E73" i="7" s="1"/>
  <c r="A77" i="7"/>
  <c r="U77" i="6"/>
  <c r="T77" i="6"/>
  <c r="R77" i="6"/>
  <c r="D77" i="7" s="1"/>
  <c r="C77" i="6"/>
  <c r="C77" i="7" s="1"/>
  <c r="B77" i="6"/>
  <c r="B78" i="7"/>
  <c r="AF78" i="6"/>
  <c r="W79" i="6"/>
  <c r="E79" i="7" s="1"/>
  <c r="A83" i="7"/>
  <c r="U83" i="6"/>
  <c r="T83" i="6"/>
  <c r="R83" i="6"/>
  <c r="D83" i="7" s="1"/>
  <c r="C83" i="6"/>
  <c r="C83" i="7" s="1"/>
  <c r="B83" i="6"/>
  <c r="B84" i="7"/>
  <c r="AF84" i="6"/>
  <c r="W85" i="6"/>
  <c r="E85" i="7" s="1"/>
  <c r="A89" i="7"/>
  <c r="U89" i="6"/>
  <c r="T89" i="6"/>
  <c r="R89" i="6"/>
  <c r="D89" i="7" s="1"/>
  <c r="C89" i="6"/>
  <c r="C89" i="7" s="1"/>
  <c r="B89" i="6"/>
  <c r="A93" i="7"/>
  <c r="U93" i="6"/>
  <c r="T93" i="6"/>
  <c r="R93" i="6"/>
  <c r="D93" i="7" s="1"/>
  <c r="C93" i="6"/>
  <c r="C93" i="7" s="1"/>
  <c r="B93" i="6"/>
  <c r="A97" i="7"/>
  <c r="U97" i="6"/>
  <c r="T97" i="6"/>
  <c r="R97" i="6"/>
  <c r="D97" i="7" s="1"/>
  <c r="C97" i="6"/>
  <c r="C97" i="7" s="1"/>
  <c r="B97" i="6"/>
  <c r="A112" i="7"/>
  <c r="C112" i="6"/>
  <c r="C112" i="7" s="1"/>
  <c r="B112" i="6"/>
  <c r="W112" i="6"/>
  <c r="E112" i="7" s="1"/>
  <c r="V112" i="6"/>
  <c r="U112" i="6"/>
  <c r="T112" i="6"/>
  <c r="S112" i="6"/>
  <c r="R112" i="6"/>
  <c r="D112" i="7" s="1"/>
  <c r="A120" i="7"/>
  <c r="C120" i="6"/>
  <c r="C120" i="7" s="1"/>
  <c r="B120" i="6"/>
  <c r="W120" i="6"/>
  <c r="E120" i="7" s="1"/>
  <c r="V120" i="6"/>
  <c r="U120" i="6"/>
  <c r="T120" i="6"/>
  <c r="S120" i="6"/>
  <c r="R120" i="6"/>
  <c r="D120" i="7" s="1"/>
  <c r="A128" i="7"/>
  <c r="C128" i="6"/>
  <c r="C128" i="7" s="1"/>
  <c r="B128" i="6"/>
  <c r="W128" i="6"/>
  <c r="E128" i="7" s="1"/>
  <c r="V128" i="6"/>
  <c r="U128" i="6"/>
  <c r="T128" i="6"/>
  <c r="S128" i="6"/>
  <c r="R128" i="6"/>
  <c r="D128" i="7" s="1"/>
  <c r="A138" i="7"/>
  <c r="C138" i="6"/>
  <c r="C138" i="7" s="1"/>
  <c r="B138" i="6"/>
  <c r="W138" i="6"/>
  <c r="E138" i="7" s="1"/>
  <c r="V138" i="6"/>
  <c r="U138" i="6"/>
  <c r="T138" i="6"/>
  <c r="S138" i="6"/>
  <c r="R138" i="6"/>
  <c r="D138" i="7" s="1"/>
  <c r="A147" i="7"/>
  <c r="R147" i="6"/>
  <c r="D147" i="7" s="1"/>
  <c r="S147" i="6"/>
  <c r="C147" i="6"/>
  <c r="C147" i="7" s="1"/>
  <c r="B147" i="6"/>
  <c r="W147" i="6"/>
  <c r="E147" i="7" s="1"/>
  <c r="V147" i="6"/>
  <c r="U147" i="6"/>
  <c r="T147" i="6"/>
  <c r="U39" i="6"/>
  <c r="S42" i="6"/>
  <c r="B43" i="6"/>
  <c r="U47" i="6"/>
  <c r="S50" i="6"/>
  <c r="B51" i="6"/>
  <c r="R53" i="6"/>
  <c r="D53" i="7" s="1"/>
  <c r="A54" i="7"/>
  <c r="C54" i="6"/>
  <c r="C54" i="7" s="1"/>
  <c r="B54" i="6"/>
  <c r="U54" i="6"/>
  <c r="A64" i="7"/>
  <c r="C64" i="6"/>
  <c r="C64" i="7" s="1"/>
  <c r="B64" i="6"/>
  <c r="U64" i="6"/>
  <c r="S64" i="6"/>
  <c r="R64" i="6"/>
  <c r="D64" i="7" s="1"/>
  <c r="B65" i="7"/>
  <c r="AF65" i="6"/>
  <c r="V66" i="6"/>
  <c r="B71" i="7"/>
  <c r="AF71" i="6"/>
  <c r="V72" i="6"/>
  <c r="B77" i="7"/>
  <c r="AF77" i="6"/>
  <c r="V78" i="6"/>
  <c r="B83" i="7"/>
  <c r="AF83" i="6"/>
  <c r="V84" i="6"/>
  <c r="A103" i="7"/>
  <c r="U103" i="6"/>
  <c r="T103" i="6"/>
  <c r="R103" i="6"/>
  <c r="D103" i="7" s="1"/>
  <c r="C103" i="6"/>
  <c r="C103" i="7" s="1"/>
  <c r="B103" i="6"/>
  <c r="W103" i="6"/>
  <c r="E103" i="7" s="1"/>
  <c r="B191" i="7"/>
  <c r="AF191" i="6"/>
  <c r="R3" i="6"/>
  <c r="R5" i="6"/>
  <c r="R7" i="6"/>
  <c r="R9" i="6"/>
  <c r="R11" i="6"/>
  <c r="R13" i="6"/>
  <c r="R15" i="6"/>
  <c r="R17" i="6"/>
  <c r="R19" i="6"/>
  <c r="R21" i="6"/>
  <c r="R23" i="6"/>
  <c r="R25" i="6"/>
  <c r="R27" i="6"/>
  <c r="R29" i="6"/>
  <c r="R31" i="6"/>
  <c r="R33" i="6"/>
  <c r="R35" i="6"/>
  <c r="R37" i="6"/>
  <c r="V39" i="6"/>
  <c r="C43" i="6"/>
  <c r="R45" i="6"/>
  <c r="V47" i="6"/>
  <c r="A63" i="7"/>
  <c r="U63" i="6"/>
  <c r="T63" i="6"/>
  <c r="R63" i="6"/>
  <c r="D63" i="7" s="1"/>
  <c r="C63" i="6"/>
  <c r="C63" i="7" s="1"/>
  <c r="B64" i="7"/>
  <c r="AF64" i="6"/>
  <c r="S65" i="6"/>
  <c r="W66" i="6"/>
  <c r="E66" i="7" s="1"/>
  <c r="S71" i="6"/>
  <c r="W72" i="6"/>
  <c r="E72" i="7" s="1"/>
  <c r="S77" i="6"/>
  <c r="W78" i="6"/>
  <c r="E78" i="7" s="1"/>
  <c r="S83" i="6"/>
  <c r="W84" i="6"/>
  <c r="E84" i="7" s="1"/>
  <c r="S89" i="6"/>
  <c r="S93" i="6"/>
  <c r="S97" i="6"/>
  <c r="A100" i="7"/>
  <c r="C100" i="6"/>
  <c r="C100" i="7" s="1"/>
  <c r="B100" i="6"/>
  <c r="W100" i="6"/>
  <c r="E100" i="7" s="1"/>
  <c r="U100" i="6"/>
  <c r="T100" i="6"/>
  <c r="S100" i="6"/>
  <c r="R100" i="6"/>
  <c r="D100" i="7" s="1"/>
  <c r="A106" i="7"/>
  <c r="C106" i="6"/>
  <c r="C106" i="7" s="1"/>
  <c r="B106" i="6"/>
  <c r="W106" i="6"/>
  <c r="E106" i="7" s="1"/>
  <c r="U106" i="6"/>
  <c r="T106" i="6"/>
  <c r="S106" i="6"/>
  <c r="R106" i="6"/>
  <c r="D106" i="7" s="1"/>
  <c r="A184" i="7"/>
  <c r="C184" i="6"/>
  <c r="C184" i="7" s="1"/>
  <c r="B184" i="6"/>
  <c r="U184" i="6"/>
  <c r="R184" i="6"/>
  <c r="D184" i="7" s="1"/>
  <c r="W184" i="6"/>
  <c r="E184" i="7" s="1"/>
  <c r="V184" i="6"/>
  <c r="T184" i="6"/>
  <c r="S184" i="6"/>
  <c r="S3" i="6"/>
  <c r="W3" i="6" s="1"/>
  <c r="S5" i="6"/>
  <c r="W5" i="6" s="1"/>
  <c r="S7" i="6"/>
  <c r="W7" i="6" s="1"/>
  <c r="S9" i="6"/>
  <c r="W9" i="6" s="1"/>
  <c r="S11" i="6"/>
  <c r="W11" i="6" s="1"/>
  <c r="S13" i="6"/>
  <c r="W13" i="6" s="1"/>
  <c r="S15" i="6"/>
  <c r="W15" i="6" s="1"/>
  <c r="S17" i="6"/>
  <c r="W17" i="6" s="1"/>
  <c r="S19" i="6"/>
  <c r="W19" i="6" s="1"/>
  <c r="S21" i="6"/>
  <c r="W21" i="6" s="1"/>
  <c r="S23" i="6"/>
  <c r="W23" i="6" s="1"/>
  <c r="S25" i="6"/>
  <c r="W25" i="6" s="1"/>
  <c r="S27" i="6"/>
  <c r="W27" i="6" s="1"/>
  <c r="S29" i="6"/>
  <c r="W29" i="6" s="1"/>
  <c r="S31" i="6"/>
  <c r="W31" i="6" s="1"/>
  <c r="S33" i="6"/>
  <c r="W33" i="6" s="1"/>
  <c r="S35" i="6"/>
  <c r="W35" i="6" s="1"/>
  <c r="S37" i="6"/>
  <c r="S45" i="6"/>
  <c r="A51" i="7"/>
  <c r="T51" i="6"/>
  <c r="AF52" i="6"/>
  <c r="A55" i="7"/>
  <c r="U55" i="6"/>
  <c r="T55" i="6"/>
  <c r="C55" i="6"/>
  <c r="C55" i="7" s="1"/>
  <c r="A62" i="7"/>
  <c r="C62" i="6"/>
  <c r="C62" i="7" s="1"/>
  <c r="B62" i="6"/>
  <c r="U62" i="6"/>
  <c r="S62" i="6"/>
  <c r="R62" i="6"/>
  <c r="D62" i="7" s="1"/>
  <c r="B63" i="7"/>
  <c r="AF63" i="6"/>
  <c r="V65" i="6"/>
  <c r="A70" i="7"/>
  <c r="C70" i="6"/>
  <c r="C70" i="7" s="1"/>
  <c r="B70" i="6"/>
  <c r="U70" i="6"/>
  <c r="T70" i="6"/>
  <c r="S70" i="6"/>
  <c r="R70" i="6"/>
  <c r="D70" i="7" s="1"/>
  <c r="V71" i="6"/>
  <c r="A76" i="7"/>
  <c r="C76" i="6"/>
  <c r="C76" i="7" s="1"/>
  <c r="B76" i="6"/>
  <c r="U76" i="6"/>
  <c r="T76" i="6"/>
  <c r="S76" i="6"/>
  <c r="R76" i="6"/>
  <c r="D76" i="7" s="1"/>
  <c r="V77" i="6"/>
  <c r="A82" i="7"/>
  <c r="C82" i="6"/>
  <c r="C82" i="7" s="1"/>
  <c r="B82" i="6"/>
  <c r="U82" i="6"/>
  <c r="T82" i="6"/>
  <c r="S82" i="6"/>
  <c r="R82" i="6"/>
  <c r="D82" i="7" s="1"/>
  <c r="V83" i="6"/>
  <c r="A88" i="7"/>
  <c r="C88" i="6"/>
  <c r="C88" i="7" s="1"/>
  <c r="B88" i="6"/>
  <c r="U88" i="6"/>
  <c r="T88" i="6"/>
  <c r="S88" i="6"/>
  <c r="R88" i="6"/>
  <c r="D88" i="7" s="1"/>
  <c r="V89" i="6"/>
  <c r="V93" i="6"/>
  <c r="V97" i="6"/>
  <c r="A114" i="7"/>
  <c r="C114" i="6"/>
  <c r="C114" i="7" s="1"/>
  <c r="B114" i="6"/>
  <c r="W114" i="6"/>
  <c r="E114" i="7" s="1"/>
  <c r="V114" i="6"/>
  <c r="U114" i="6"/>
  <c r="T114" i="6"/>
  <c r="S114" i="6"/>
  <c r="R114" i="6"/>
  <c r="D114" i="7" s="1"/>
  <c r="A122" i="7"/>
  <c r="C122" i="6"/>
  <c r="C122" i="7" s="1"/>
  <c r="B122" i="6"/>
  <c r="W122" i="6"/>
  <c r="E122" i="7" s="1"/>
  <c r="V122" i="6"/>
  <c r="U122" i="6"/>
  <c r="T122" i="6"/>
  <c r="S122" i="6"/>
  <c r="R122" i="6"/>
  <c r="D122" i="7" s="1"/>
  <c r="A130" i="7"/>
  <c r="C130" i="6"/>
  <c r="C130" i="7" s="1"/>
  <c r="B130" i="6"/>
  <c r="W130" i="6"/>
  <c r="E130" i="7" s="1"/>
  <c r="V130" i="6"/>
  <c r="U130" i="6"/>
  <c r="T130" i="6"/>
  <c r="S130" i="6"/>
  <c r="R130" i="6"/>
  <c r="D130" i="7" s="1"/>
  <c r="T3" i="6"/>
  <c r="T5" i="6"/>
  <c r="T7" i="6"/>
  <c r="T9" i="6"/>
  <c r="T11" i="6"/>
  <c r="T13" i="6"/>
  <c r="T15" i="6"/>
  <c r="T17" i="6"/>
  <c r="T19" i="6"/>
  <c r="T21" i="6"/>
  <c r="T23" i="6"/>
  <c r="T25" i="6"/>
  <c r="T27" i="6"/>
  <c r="T29" i="6"/>
  <c r="T31" i="6"/>
  <c r="T33" i="6"/>
  <c r="T35" i="6"/>
  <c r="U37" i="6"/>
  <c r="V42" i="6"/>
  <c r="U45" i="6"/>
  <c r="V50" i="6"/>
  <c r="W53" i="6"/>
  <c r="E53" i="7" s="1"/>
  <c r="A56" i="7"/>
  <c r="C56" i="6"/>
  <c r="C56" i="7" s="1"/>
  <c r="B56" i="6"/>
  <c r="U56" i="6"/>
  <c r="A61" i="7"/>
  <c r="U61" i="6"/>
  <c r="T61" i="6"/>
  <c r="R61" i="6"/>
  <c r="D61" i="7" s="1"/>
  <c r="C61" i="6"/>
  <c r="C61" i="7" s="1"/>
  <c r="B62" i="7"/>
  <c r="AF62" i="6"/>
  <c r="S63" i="6"/>
  <c r="W65" i="6"/>
  <c r="E65" i="7" s="1"/>
  <c r="A69" i="7"/>
  <c r="U69" i="6"/>
  <c r="T69" i="6"/>
  <c r="R69" i="6"/>
  <c r="D69" i="7" s="1"/>
  <c r="C69" i="6"/>
  <c r="C69" i="7" s="1"/>
  <c r="B69" i="6"/>
  <c r="B70" i="7"/>
  <c r="AF70" i="6"/>
  <c r="W71" i="6"/>
  <c r="E71" i="7" s="1"/>
  <c r="A75" i="7"/>
  <c r="U75" i="6"/>
  <c r="T75" i="6"/>
  <c r="R75" i="6"/>
  <c r="D75" i="7" s="1"/>
  <c r="C75" i="6"/>
  <c r="C75" i="7" s="1"/>
  <c r="B75" i="6"/>
  <c r="B76" i="7"/>
  <c r="AF76" i="6"/>
  <c r="W77" i="6"/>
  <c r="E77" i="7" s="1"/>
  <c r="A81" i="7"/>
  <c r="U81" i="6"/>
  <c r="T81" i="6"/>
  <c r="R81" i="6"/>
  <c r="D81" i="7" s="1"/>
  <c r="C81" i="6"/>
  <c r="C81" i="7" s="1"/>
  <c r="B81" i="6"/>
  <c r="B82" i="7"/>
  <c r="AF82" i="6"/>
  <c r="W83" i="6"/>
  <c r="E83" i="7" s="1"/>
  <c r="A87" i="7"/>
  <c r="U87" i="6"/>
  <c r="T87" i="6"/>
  <c r="R87" i="6"/>
  <c r="D87" i="7" s="1"/>
  <c r="C87" i="6"/>
  <c r="C87" i="7" s="1"/>
  <c r="B87" i="6"/>
  <c r="B88" i="7"/>
  <c r="AF88" i="6"/>
  <c r="W89" i="6"/>
  <c r="E89" i="7" s="1"/>
  <c r="A92" i="7"/>
  <c r="C92" i="6"/>
  <c r="C92" i="7" s="1"/>
  <c r="B92" i="6"/>
  <c r="W92" i="6"/>
  <c r="E92" i="7" s="1"/>
  <c r="U92" i="6"/>
  <c r="T92" i="6"/>
  <c r="S92" i="6"/>
  <c r="R92" i="6"/>
  <c r="D92" i="7" s="1"/>
  <c r="W93" i="6"/>
  <c r="E93" i="7" s="1"/>
  <c r="A96" i="7"/>
  <c r="C96" i="6"/>
  <c r="C96" i="7" s="1"/>
  <c r="B96" i="6"/>
  <c r="W96" i="6"/>
  <c r="E96" i="7" s="1"/>
  <c r="U96" i="6"/>
  <c r="T96" i="6"/>
  <c r="S96" i="6"/>
  <c r="R96" i="6"/>
  <c r="D96" i="7" s="1"/>
  <c r="W97" i="6"/>
  <c r="E97" i="7" s="1"/>
  <c r="V100" i="6"/>
  <c r="V103" i="6"/>
  <c r="V106" i="6"/>
  <c r="U3" i="6"/>
  <c r="U5" i="6"/>
  <c r="U7" i="6"/>
  <c r="U9" i="6"/>
  <c r="U11" i="6"/>
  <c r="B56" i="7"/>
  <c r="AF56" i="6"/>
  <c r="A57" i="7"/>
  <c r="U57" i="6"/>
  <c r="T57" i="6"/>
  <c r="R57" i="6"/>
  <c r="D57" i="7" s="1"/>
  <c r="C57" i="6"/>
  <c r="C57" i="7" s="1"/>
  <c r="A58" i="7"/>
  <c r="C58" i="6"/>
  <c r="C58" i="7" s="1"/>
  <c r="B58" i="6"/>
  <c r="U58" i="6"/>
  <c r="A60" i="7"/>
  <c r="C60" i="6"/>
  <c r="C60" i="7" s="1"/>
  <c r="B60" i="6"/>
  <c r="U60" i="6"/>
  <c r="S60" i="6"/>
  <c r="R60" i="6"/>
  <c r="D60" i="7" s="1"/>
  <c r="B61" i="7"/>
  <c r="AF61" i="6"/>
  <c r="B69" i="7"/>
  <c r="AF69" i="6"/>
  <c r="B75" i="7"/>
  <c r="AF75" i="6"/>
  <c r="B81" i="7"/>
  <c r="AF81" i="6"/>
  <c r="B87" i="7"/>
  <c r="AF87" i="6"/>
  <c r="B92" i="7"/>
  <c r="AF92" i="6"/>
  <c r="B96" i="7"/>
  <c r="AF96" i="6"/>
  <c r="A99" i="7"/>
  <c r="U99" i="6"/>
  <c r="T99" i="6"/>
  <c r="R99" i="6"/>
  <c r="D99" i="7" s="1"/>
  <c r="C99" i="6"/>
  <c r="C99" i="7" s="1"/>
  <c r="B99" i="6"/>
  <c r="W99" i="6"/>
  <c r="E99" i="7" s="1"/>
  <c r="A105" i="7"/>
  <c r="U105" i="6"/>
  <c r="T105" i="6"/>
  <c r="R105" i="6"/>
  <c r="D105" i="7" s="1"/>
  <c r="C105" i="6"/>
  <c r="C105" i="7" s="1"/>
  <c r="B105" i="6"/>
  <c r="W105" i="6"/>
  <c r="E105" i="7" s="1"/>
  <c r="U13" i="6"/>
  <c r="U15" i="6"/>
  <c r="U17" i="6"/>
  <c r="U19" i="6"/>
  <c r="U21" i="6"/>
  <c r="U23" i="6"/>
  <c r="U25" i="6"/>
  <c r="U27" i="6"/>
  <c r="U29" i="6"/>
  <c r="U31" i="6"/>
  <c r="U33" i="6"/>
  <c r="U35" i="6"/>
  <c r="V3" i="6"/>
  <c r="V5" i="6"/>
  <c r="V7" i="6"/>
  <c r="V9" i="6"/>
  <c r="V11" i="6"/>
  <c r="V13" i="6"/>
  <c r="V15" i="6"/>
  <c r="V17" i="6"/>
  <c r="V19" i="6"/>
  <c r="V21" i="6"/>
  <c r="V23" i="6"/>
  <c r="V25" i="6"/>
  <c r="V27" i="6"/>
  <c r="V29" i="6"/>
  <c r="V31" i="6"/>
  <c r="V33" i="6"/>
  <c r="V35" i="6"/>
  <c r="W37" i="6"/>
  <c r="R38" i="6"/>
  <c r="U40" i="6"/>
  <c r="S43" i="6"/>
  <c r="W45" i="6"/>
  <c r="R46" i="6"/>
  <c r="U48" i="6"/>
  <c r="AF50" i="6"/>
  <c r="S51" i="6"/>
  <c r="V54" i="6"/>
  <c r="S55" i="6"/>
  <c r="R56" i="6"/>
  <c r="D56" i="7" s="1"/>
  <c r="B58" i="7"/>
  <c r="AF58" i="6"/>
  <c r="A59" i="7"/>
  <c r="U59" i="6"/>
  <c r="T59" i="6"/>
  <c r="R59" i="6"/>
  <c r="D59" i="7" s="1"/>
  <c r="C59" i="6"/>
  <c r="C59" i="7" s="1"/>
  <c r="B60" i="7"/>
  <c r="AF60" i="6"/>
  <c r="S61" i="6"/>
  <c r="V62" i="6"/>
  <c r="W63" i="6"/>
  <c r="E63" i="7" s="1"/>
  <c r="S69" i="6"/>
  <c r="W70" i="6"/>
  <c r="E70" i="7" s="1"/>
  <c r="S75" i="6"/>
  <c r="W76" i="6"/>
  <c r="E76" i="7" s="1"/>
  <c r="S81" i="6"/>
  <c r="W82" i="6"/>
  <c r="E82" i="7" s="1"/>
  <c r="S87" i="6"/>
  <c r="W88" i="6"/>
  <c r="E88" i="7" s="1"/>
  <c r="A91" i="7"/>
  <c r="U91" i="6"/>
  <c r="T91" i="6"/>
  <c r="R91" i="6"/>
  <c r="D91" i="7" s="1"/>
  <c r="C91" i="6"/>
  <c r="C91" i="7" s="1"/>
  <c r="B91" i="6"/>
  <c r="V92" i="6"/>
  <c r="A95" i="7"/>
  <c r="U95" i="6"/>
  <c r="T95" i="6"/>
  <c r="R95" i="6"/>
  <c r="D95" i="7" s="1"/>
  <c r="C95" i="6"/>
  <c r="C95" i="7" s="1"/>
  <c r="B95" i="6"/>
  <c r="V96" i="6"/>
  <c r="A102" i="7"/>
  <c r="C102" i="6"/>
  <c r="C102" i="7" s="1"/>
  <c r="B102" i="6"/>
  <c r="W102" i="6"/>
  <c r="E102" i="7" s="1"/>
  <c r="U102" i="6"/>
  <c r="T102" i="6"/>
  <c r="S102" i="6"/>
  <c r="R102" i="6"/>
  <c r="D102" i="7" s="1"/>
  <c r="A108" i="7"/>
  <c r="C108" i="6"/>
  <c r="C108" i="7" s="1"/>
  <c r="B108" i="6"/>
  <c r="W108" i="6"/>
  <c r="E108" i="7" s="1"/>
  <c r="V108" i="6"/>
  <c r="U108" i="6"/>
  <c r="T108" i="6"/>
  <c r="S108" i="6"/>
  <c r="R108" i="6"/>
  <c r="D108" i="7" s="1"/>
  <c r="A116" i="7"/>
  <c r="C116" i="6"/>
  <c r="C116" i="7" s="1"/>
  <c r="B116" i="6"/>
  <c r="W116" i="6"/>
  <c r="E116" i="7" s="1"/>
  <c r="V116" i="6"/>
  <c r="U116" i="6"/>
  <c r="T116" i="6"/>
  <c r="S116" i="6"/>
  <c r="R116" i="6"/>
  <c r="D116" i="7" s="1"/>
  <c r="A124" i="7"/>
  <c r="C124" i="6"/>
  <c r="C124" i="7" s="1"/>
  <c r="B124" i="6"/>
  <c r="W124" i="6"/>
  <c r="E124" i="7" s="1"/>
  <c r="V124" i="6"/>
  <c r="U124" i="6"/>
  <c r="T124" i="6"/>
  <c r="S124" i="6"/>
  <c r="R124" i="6"/>
  <c r="D124" i="7" s="1"/>
  <c r="A132" i="7"/>
  <c r="C132" i="6"/>
  <c r="C132" i="7" s="1"/>
  <c r="B132" i="6"/>
  <c r="W132" i="6"/>
  <c r="E132" i="7" s="1"/>
  <c r="V132" i="6"/>
  <c r="U132" i="6"/>
  <c r="T132" i="6"/>
  <c r="S132" i="6"/>
  <c r="R132" i="6"/>
  <c r="D132" i="7" s="1"/>
  <c r="A190" i="7"/>
  <c r="C190" i="6"/>
  <c r="C190" i="7" s="1"/>
  <c r="B190" i="6"/>
  <c r="U190" i="6"/>
  <c r="R190" i="6"/>
  <c r="D190" i="7" s="1"/>
  <c r="W190" i="6"/>
  <c r="E190" i="7" s="1"/>
  <c r="V190" i="6"/>
  <c r="T190" i="6"/>
  <c r="S190" i="6"/>
  <c r="U43" i="6"/>
  <c r="S46" i="6"/>
  <c r="B47" i="6"/>
  <c r="V48" i="6"/>
  <c r="U51" i="6"/>
  <c r="A52" i="7"/>
  <c r="B52" i="6"/>
  <c r="W54" i="6"/>
  <c r="E54" i="7" s="1"/>
  <c r="V55" i="6"/>
  <c r="S56" i="6"/>
  <c r="S57" i="6"/>
  <c r="R58" i="6"/>
  <c r="D58" i="7" s="1"/>
  <c r="B59" i="7"/>
  <c r="AF59" i="6"/>
  <c r="T60" i="6"/>
  <c r="V61" i="6"/>
  <c r="W62" i="6"/>
  <c r="E62" i="7" s="1"/>
  <c r="A68" i="7"/>
  <c r="C68" i="6"/>
  <c r="C68" i="7" s="1"/>
  <c r="B68" i="6"/>
  <c r="U68" i="6"/>
  <c r="T68" i="6"/>
  <c r="S68" i="6"/>
  <c r="R68" i="6"/>
  <c r="D68" i="7" s="1"/>
  <c r="V69" i="6"/>
  <c r="A74" i="7"/>
  <c r="C74" i="6"/>
  <c r="C74" i="7" s="1"/>
  <c r="B74" i="6"/>
  <c r="U74" i="6"/>
  <c r="T74" i="6"/>
  <c r="S74" i="6"/>
  <c r="R74" i="6"/>
  <c r="D74" i="7" s="1"/>
  <c r="V75" i="6"/>
  <c r="A80" i="7"/>
  <c r="C80" i="6"/>
  <c r="C80" i="7" s="1"/>
  <c r="B80" i="6"/>
  <c r="U80" i="6"/>
  <c r="T80" i="6"/>
  <c r="S80" i="6"/>
  <c r="R80" i="6"/>
  <c r="D80" i="7" s="1"/>
  <c r="V81" i="6"/>
  <c r="A86" i="7"/>
  <c r="C86" i="6"/>
  <c r="C86" i="7" s="1"/>
  <c r="B86" i="6"/>
  <c r="U86" i="6"/>
  <c r="T86" i="6"/>
  <c r="S86" i="6"/>
  <c r="R86" i="6"/>
  <c r="D86" i="7" s="1"/>
  <c r="V87" i="6"/>
  <c r="S99" i="6"/>
  <c r="S105" i="6"/>
  <c r="A172" i="7"/>
  <c r="C172" i="6"/>
  <c r="C172" i="7" s="1"/>
  <c r="B172" i="6"/>
  <c r="R172" i="6"/>
  <c r="D172" i="7" s="1"/>
  <c r="W172" i="6"/>
  <c r="E172" i="7" s="1"/>
  <c r="V172" i="6"/>
  <c r="U172" i="6"/>
  <c r="T172" i="6"/>
  <c r="S172" i="6"/>
  <c r="H140" i="7"/>
  <c r="F140" i="7"/>
  <c r="G140" i="7" s="1"/>
  <c r="A145" i="7"/>
  <c r="R145" i="6"/>
  <c r="D145" i="7" s="1"/>
  <c r="A153" i="7"/>
  <c r="R153" i="6"/>
  <c r="D153" i="7" s="1"/>
  <c r="A161" i="7"/>
  <c r="R161" i="6"/>
  <c r="D161" i="7" s="1"/>
  <c r="A183" i="7"/>
  <c r="W183" i="6"/>
  <c r="E183" i="7" s="1"/>
  <c r="U183" i="6"/>
  <c r="T183" i="6"/>
  <c r="S183" i="6"/>
  <c r="R183" i="6"/>
  <c r="D183" i="7" s="1"/>
  <c r="A189" i="7"/>
  <c r="W189" i="6"/>
  <c r="E189" i="7" s="1"/>
  <c r="U189" i="6"/>
  <c r="T189" i="6"/>
  <c r="S189" i="6"/>
  <c r="R189" i="6"/>
  <c r="D189" i="7" s="1"/>
  <c r="C189" i="6"/>
  <c r="C189" i="7" s="1"/>
  <c r="A194" i="7"/>
  <c r="C194" i="6"/>
  <c r="C194" i="7" s="1"/>
  <c r="B194" i="6"/>
  <c r="U194" i="6"/>
  <c r="S194" i="6"/>
  <c r="A212" i="7"/>
  <c r="C212" i="6"/>
  <c r="C212" i="7" s="1"/>
  <c r="B212" i="6"/>
  <c r="W212" i="6"/>
  <c r="E212" i="7" s="1"/>
  <c r="U212" i="6"/>
  <c r="S212" i="6"/>
  <c r="A248" i="7"/>
  <c r="C248" i="6"/>
  <c r="C248" i="7" s="1"/>
  <c r="W248" i="6"/>
  <c r="E248" i="7" s="1"/>
  <c r="U248" i="6"/>
  <c r="T248" i="6"/>
  <c r="S248" i="6"/>
  <c r="R248" i="6"/>
  <c r="D248" i="7" s="1"/>
  <c r="B248" i="6"/>
  <c r="W109" i="6"/>
  <c r="E109" i="7" s="1"/>
  <c r="W111" i="6"/>
  <c r="E111" i="7" s="1"/>
  <c r="W113" i="6"/>
  <c r="E113" i="7" s="1"/>
  <c r="W115" i="6"/>
  <c r="E115" i="7" s="1"/>
  <c r="W117" i="6"/>
  <c r="E117" i="7" s="1"/>
  <c r="W119" i="6"/>
  <c r="E119" i="7" s="1"/>
  <c r="W121" i="6"/>
  <c r="E121" i="7" s="1"/>
  <c r="W123" i="6"/>
  <c r="E123" i="7" s="1"/>
  <c r="W125" i="6"/>
  <c r="E125" i="7" s="1"/>
  <c r="W127" i="6"/>
  <c r="E127" i="7" s="1"/>
  <c r="W129" i="6"/>
  <c r="E129" i="7" s="1"/>
  <c r="W131" i="6"/>
  <c r="E131" i="7" s="1"/>
  <c r="W133" i="6"/>
  <c r="E133" i="7" s="1"/>
  <c r="W135" i="6"/>
  <c r="E135" i="7" s="1"/>
  <c r="W137" i="6"/>
  <c r="E137" i="7" s="1"/>
  <c r="W139" i="6"/>
  <c r="E139" i="7" s="1"/>
  <c r="H148" i="7"/>
  <c r="F148" i="7"/>
  <c r="G148" i="7" s="1"/>
  <c r="F156" i="7"/>
  <c r="G156" i="7" s="1"/>
  <c r="H156" i="7"/>
  <c r="H164" i="7"/>
  <c r="F164" i="7"/>
  <c r="G164" i="7" s="1"/>
  <c r="A180" i="7"/>
  <c r="C180" i="6"/>
  <c r="C180" i="7" s="1"/>
  <c r="B180" i="6"/>
  <c r="A188" i="7"/>
  <c r="C188" i="6"/>
  <c r="C188" i="7" s="1"/>
  <c r="B188" i="6"/>
  <c r="U188" i="6"/>
  <c r="A198" i="7"/>
  <c r="C198" i="6"/>
  <c r="C198" i="7" s="1"/>
  <c r="B198" i="6"/>
  <c r="W198" i="6"/>
  <c r="E198" i="7" s="1"/>
  <c r="U198" i="6"/>
  <c r="S198" i="6"/>
  <c r="A205" i="7"/>
  <c r="W205" i="6"/>
  <c r="E205" i="7" s="1"/>
  <c r="U205" i="6"/>
  <c r="T205" i="6"/>
  <c r="S205" i="6"/>
  <c r="R205" i="6"/>
  <c r="D205" i="7" s="1"/>
  <c r="C205" i="6"/>
  <c r="C205" i="7" s="1"/>
  <c r="A219" i="7"/>
  <c r="W219" i="6"/>
  <c r="E219" i="7" s="1"/>
  <c r="U219" i="6"/>
  <c r="T219" i="6"/>
  <c r="S219" i="6"/>
  <c r="R219" i="6"/>
  <c r="D219" i="7" s="1"/>
  <c r="C219" i="6"/>
  <c r="C219" i="7" s="1"/>
  <c r="A223" i="7"/>
  <c r="W223" i="6"/>
  <c r="E223" i="7" s="1"/>
  <c r="U223" i="6"/>
  <c r="T223" i="6"/>
  <c r="S223" i="6"/>
  <c r="R223" i="6"/>
  <c r="D223" i="7" s="1"/>
  <c r="C223" i="6"/>
  <c r="C223" i="7" s="1"/>
  <c r="A227" i="7"/>
  <c r="W227" i="6"/>
  <c r="E227" i="7" s="1"/>
  <c r="U227" i="6"/>
  <c r="T227" i="6"/>
  <c r="S227" i="6"/>
  <c r="R227" i="6"/>
  <c r="D227" i="7" s="1"/>
  <c r="C227" i="6"/>
  <c r="C227" i="7" s="1"/>
  <c r="B253" i="7"/>
  <c r="AF253" i="6"/>
  <c r="B257" i="7"/>
  <c r="AF257" i="6"/>
  <c r="AF89" i="6"/>
  <c r="AF91" i="6"/>
  <c r="AF93" i="6"/>
  <c r="AF95" i="6"/>
  <c r="AF97" i="6"/>
  <c r="AF99" i="6"/>
  <c r="AF101" i="6"/>
  <c r="AF103" i="6"/>
  <c r="AF105" i="6"/>
  <c r="AF107" i="6"/>
  <c r="AF109" i="6"/>
  <c r="AF111" i="6"/>
  <c r="AF113" i="6"/>
  <c r="AF115" i="6"/>
  <c r="AF117" i="6"/>
  <c r="AF119" i="6"/>
  <c r="AF121" i="6"/>
  <c r="AF123" i="6"/>
  <c r="AF125" i="6"/>
  <c r="AF127" i="6"/>
  <c r="AF129" i="6"/>
  <c r="AF131" i="6"/>
  <c r="AF133" i="6"/>
  <c r="AF135" i="6"/>
  <c r="AF137" i="6"/>
  <c r="AF139" i="6"/>
  <c r="R140" i="6"/>
  <c r="D140" i="7" s="1"/>
  <c r="W144" i="6"/>
  <c r="E144" i="7" s="1"/>
  <c r="S145" i="6"/>
  <c r="B146" i="6"/>
  <c r="B148" i="7"/>
  <c r="AF148" i="6"/>
  <c r="W152" i="6"/>
  <c r="E152" i="7" s="1"/>
  <c r="S153" i="6"/>
  <c r="B154" i="6"/>
  <c r="B156" i="7"/>
  <c r="AF156" i="6"/>
  <c r="W160" i="6"/>
  <c r="E160" i="7" s="1"/>
  <c r="S161" i="6"/>
  <c r="B162" i="6"/>
  <c r="B164" i="7"/>
  <c r="AF164" i="6"/>
  <c r="A167" i="7"/>
  <c r="T167" i="6"/>
  <c r="R167" i="6"/>
  <c r="D167" i="7" s="1"/>
  <c r="B179" i="6"/>
  <c r="A181" i="7"/>
  <c r="W181" i="6"/>
  <c r="E181" i="7" s="1"/>
  <c r="U181" i="6"/>
  <c r="T181" i="6"/>
  <c r="S181" i="6"/>
  <c r="R181" i="6"/>
  <c r="D181" i="7" s="1"/>
  <c r="S182" i="6"/>
  <c r="V183" i="6"/>
  <c r="V189" i="6"/>
  <c r="R194" i="6"/>
  <c r="D194" i="7" s="1"/>
  <c r="T202" i="6"/>
  <c r="A208" i="7"/>
  <c r="C208" i="6"/>
  <c r="C208" i="7" s="1"/>
  <c r="B208" i="6"/>
  <c r="W208" i="6"/>
  <c r="E208" i="7" s="1"/>
  <c r="U208" i="6"/>
  <c r="S208" i="6"/>
  <c r="R212" i="6"/>
  <c r="D212" i="7" s="1"/>
  <c r="A215" i="7"/>
  <c r="W215" i="6"/>
  <c r="E215" i="7" s="1"/>
  <c r="U215" i="6"/>
  <c r="T215" i="6"/>
  <c r="S215" i="6"/>
  <c r="R215" i="6"/>
  <c r="D215" i="7" s="1"/>
  <c r="C215" i="6"/>
  <c r="C215" i="7" s="1"/>
  <c r="A231" i="7"/>
  <c r="U231" i="6"/>
  <c r="C231" i="6"/>
  <c r="C231" i="7" s="1"/>
  <c r="W231" i="6"/>
  <c r="E231" i="7" s="1"/>
  <c r="V231" i="6"/>
  <c r="S231" i="6"/>
  <c r="V248" i="6"/>
  <c r="S140" i="6"/>
  <c r="A143" i="7"/>
  <c r="R143" i="6"/>
  <c r="D143" i="7" s="1"/>
  <c r="T145" i="6"/>
  <c r="C146" i="6"/>
  <c r="C146" i="7" s="1"/>
  <c r="R148" i="6"/>
  <c r="D148" i="7" s="1"/>
  <c r="A151" i="7"/>
  <c r="R151" i="6"/>
  <c r="D151" i="7" s="1"/>
  <c r="T153" i="6"/>
  <c r="C154" i="6"/>
  <c r="C154" i="7" s="1"/>
  <c r="R156" i="6"/>
  <c r="D156" i="7" s="1"/>
  <c r="A159" i="7"/>
  <c r="R159" i="6"/>
  <c r="D159" i="7" s="1"/>
  <c r="T161" i="6"/>
  <c r="C162" i="6"/>
  <c r="C162" i="7" s="1"/>
  <c r="R164" i="6"/>
  <c r="D164" i="7" s="1"/>
  <c r="AF171" i="6"/>
  <c r="A178" i="7"/>
  <c r="C178" i="6"/>
  <c r="C178" i="7" s="1"/>
  <c r="B178" i="6"/>
  <c r="R180" i="6"/>
  <c r="D180" i="7" s="1"/>
  <c r="T182" i="6"/>
  <c r="AF183" i="6"/>
  <c r="R188" i="6"/>
  <c r="D188" i="7" s="1"/>
  <c r="AF189" i="6"/>
  <c r="A193" i="7"/>
  <c r="W193" i="6"/>
  <c r="E193" i="7" s="1"/>
  <c r="U193" i="6"/>
  <c r="T193" i="6"/>
  <c r="S193" i="6"/>
  <c r="R193" i="6"/>
  <c r="D193" i="7" s="1"/>
  <c r="C193" i="6"/>
  <c r="C193" i="7" s="1"/>
  <c r="T194" i="6"/>
  <c r="R198" i="6"/>
  <c r="D198" i="7" s="1"/>
  <c r="A201" i="7"/>
  <c r="W201" i="6"/>
  <c r="E201" i="7" s="1"/>
  <c r="U201" i="6"/>
  <c r="T201" i="6"/>
  <c r="S201" i="6"/>
  <c r="R201" i="6"/>
  <c r="D201" i="7" s="1"/>
  <c r="C201" i="6"/>
  <c r="C201" i="7" s="1"/>
  <c r="V205" i="6"/>
  <c r="T212" i="6"/>
  <c r="A218" i="7"/>
  <c r="C218" i="6"/>
  <c r="C218" i="7" s="1"/>
  <c r="B218" i="6"/>
  <c r="W218" i="6"/>
  <c r="E218" i="7" s="1"/>
  <c r="U218" i="6"/>
  <c r="S218" i="6"/>
  <c r="V219" i="6"/>
  <c r="A222" i="7"/>
  <c r="C222" i="6"/>
  <c r="C222" i="7" s="1"/>
  <c r="B222" i="6"/>
  <c r="W222" i="6"/>
  <c r="E222" i="7" s="1"/>
  <c r="U222" i="6"/>
  <c r="S222" i="6"/>
  <c r="V223" i="6"/>
  <c r="A226" i="7"/>
  <c r="C226" i="6"/>
  <c r="C226" i="7" s="1"/>
  <c r="B226" i="6"/>
  <c r="W226" i="6"/>
  <c r="E226" i="7" s="1"/>
  <c r="U226" i="6"/>
  <c r="S226" i="6"/>
  <c r="V227" i="6"/>
  <c r="B299" i="7"/>
  <c r="AF299" i="6"/>
  <c r="B109" i="6"/>
  <c r="B111" i="6"/>
  <c r="B113" i="6"/>
  <c r="B115" i="6"/>
  <c r="B117" i="6"/>
  <c r="B119" i="6"/>
  <c r="B121" i="6"/>
  <c r="B123" i="6"/>
  <c r="B125" i="6"/>
  <c r="B127" i="6"/>
  <c r="B129" i="6"/>
  <c r="B131" i="6"/>
  <c r="B133" i="6"/>
  <c r="B135" i="6"/>
  <c r="B137" i="6"/>
  <c r="B139" i="6"/>
  <c r="T140" i="6"/>
  <c r="B141" i="6"/>
  <c r="U145" i="6"/>
  <c r="H146" i="7"/>
  <c r="F146" i="7"/>
  <c r="G146" i="7" s="1"/>
  <c r="S148" i="6"/>
  <c r="B149" i="6"/>
  <c r="U153" i="6"/>
  <c r="H154" i="7"/>
  <c r="F154" i="7"/>
  <c r="G154" i="7" s="1"/>
  <c r="S156" i="6"/>
  <c r="B157" i="6"/>
  <c r="U161" i="6"/>
  <c r="F162" i="7"/>
  <c r="G162" i="7" s="1"/>
  <c r="H162" i="7"/>
  <c r="S164" i="6"/>
  <c r="B165" i="6"/>
  <c r="A168" i="7"/>
  <c r="B168" i="6"/>
  <c r="B177" i="6"/>
  <c r="A179" i="7"/>
  <c r="W179" i="6"/>
  <c r="E179" i="7" s="1"/>
  <c r="U179" i="6"/>
  <c r="T179" i="6"/>
  <c r="S179" i="6"/>
  <c r="R179" i="6"/>
  <c r="D179" i="7" s="1"/>
  <c r="S180" i="6"/>
  <c r="A187" i="7"/>
  <c r="W187" i="6"/>
  <c r="E187" i="7" s="1"/>
  <c r="U187" i="6"/>
  <c r="T187" i="6"/>
  <c r="S187" i="6"/>
  <c r="R187" i="6"/>
  <c r="D187" i="7" s="1"/>
  <c r="C187" i="6"/>
  <c r="C187" i="7" s="1"/>
  <c r="S188" i="6"/>
  <c r="V194" i="6"/>
  <c r="T198" i="6"/>
  <c r="A204" i="7"/>
  <c r="C204" i="6"/>
  <c r="C204" i="7" s="1"/>
  <c r="B204" i="6"/>
  <c r="W204" i="6"/>
  <c r="E204" i="7" s="1"/>
  <c r="U204" i="6"/>
  <c r="S204" i="6"/>
  <c r="A211" i="7"/>
  <c r="W211" i="6"/>
  <c r="E211" i="7" s="1"/>
  <c r="U211" i="6"/>
  <c r="T211" i="6"/>
  <c r="S211" i="6"/>
  <c r="R211" i="6"/>
  <c r="D211" i="7" s="1"/>
  <c r="C211" i="6"/>
  <c r="C211" i="7" s="1"/>
  <c r="V212" i="6"/>
  <c r="A236" i="7"/>
  <c r="C236" i="6"/>
  <c r="C236" i="7" s="1"/>
  <c r="B236" i="6"/>
  <c r="W236" i="6"/>
  <c r="E236" i="7" s="1"/>
  <c r="U236" i="6"/>
  <c r="S236" i="6"/>
  <c r="B242" i="7"/>
  <c r="AF242" i="6"/>
  <c r="A247" i="7"/>
  <c r="U247" i="6"/>
  <c r="C247" i="6"/>
  <c r="C247" i="7" s="1"/>
  <c r="W247" i="6"/>
  <c r="E247" i="7" s="1"/>
  <c r="V247" i="6"/>
  <c r="S247" i="6"/>
  <c r="A265" i="7"/>
  <c r="W265" i="6"/>
  <c r="E265" i="7" s="1"/>
  <c r="V265" i="6"/>
  <c r="U265" i="6"/>
  <c r="S265" i="6"/>
  <c r="T265" i="6"/>
  <c r="R265" i="6"/>
  <c r="D265" i="7" s="1"/>
  <c r="C265" i="6"/>
  <c r="C265" i="7" s="1"/>
  <c r="B383" i="7"/>
  <c r="AF383" i="6"/>
  <c r="C109" i="6"/>
  <c r="C109" i="7" s="1"/>
  <c r="C111" i="6"/>
  <c r="C111" i="7" s="1"/>
  <c r="C113" i="6"/>
  <c r="C113" i="7" s="1"/>
  <c r="C115" i="6"/>
  <c r="C115" i="7" s="1"/>
  <c r="C117" i="6"/>
  <c r="C117" i="7" s="1"/>
  <c r="C119" i="6"/>
  <c r="C119" i="7" s="1"/>
  <c r="C121" i="6"/>
  <c r="C121" i="7" s="1"/>
  <c r="C123" i="6"/>
  <c r="C123" i="7" s="1"/>
  <c r="C125" i="6"/>
  <c r="C125" i="7" s="1"/>
  <c r="C127" i="6"/>
  <c r="C127" i="7" s="1"/>
  <c r="C129" i="6"/>
  <c r="C129" i="7" s="1"/>
  <c r="C131" i="6"/>
  <c r="C131" i="7" s="1"/>
  <c r="C133" i="6"/>
  <c r="C133" i="7" s="1"/>
  <c r="C135" i="6"/>
  <c r="C135" i="7" s="1"/>
  <c r="C137" i="6"/>
  <c r="C137" i="7" s="1"/>
  <c r="C139" i="6"/>
  <c r="C139" i="7" s="1"/>
  <c r="U140" i="6"/>
  <c r="S143" i="6"/>
  <c r="B144" i="6"/>
  <c r="V145" i="6"/>
  <c r="B146" i="7"/>
  <c r="AF146" i="6"/>
  <c r="T148" i="6"/>
  <c r="S151" i="6"/>
  <c r="B152" i="6"/>
  <c r="V153" i="6"/>
  <c r="B154" i="7"/>
  <c r="AF154" i="6"/>
  <c r="T156" i="6"/>
  <c r="S159" i="6"/>
  <c r="B160" i="6"/>
  <c r="V161" i="6"/>
  <c r="B162" i="7"/>
  <c r="AF162" i="6"/>
  <c r="T164" i="6"/>
  <c r="B168" i="7"/>
  <c r="AF168" i="6"/>
  <c r="A176" i="7"/>
  <c r="C176" i="6"/>
  <c r="C176" i="7" s="1"/>
  <c r="B176" i="6"/>
  <c r="R178" i="6"/>
  <c r="D178" i="7" s="1"/>
  <c r="T180" i="6"/>
  <c r="AF181" i="6"/>
  <c r="A186" i="7"/>
  <c r="C186" i="6"/>
  <c r="C186" i="7" s="1"/>
  <c r="B186" i="6"/>
  <c r="U186" i="6"/>
  <c r="T188" i="6"/>
  <c r="A192" i="7"/>
  <c r="C192" i="6"/>
  <c r="C192" i="7" s="1"/>
  <c r="B192" i="6"/>
  <c r="U192" i="6"/>
  <c r="S192" i="6"/>
  <c r="V193" i="6"/>
  <c r="W194" i="6"/>
  <c r="E194" i="7" s="1"/>
  <c r="A197" i="7"/>
  <c r="W197" i="6"/>
  <c r="E197" i="7" s="1"/>
  <c r="U197" i="6"/>
  <c r="T197" i="6"/>
  <c r="S197" i="6"/>
  <c r="R197" i="6"/>
  <c r="D197" i="7" s="1"/>
  <c r="C197" i="6"/>
  <c r="C197" i="7" s="1"/>
  <c r="V198" i="6"/>
  <c r="V201" i="6"/>
  <c r="A214" i="7"/>
  <c r="C214" i="6"/>
  <c r="C214" i="7" s="1"/>
  <c r="B214" i="6"/>
  <c r="W214" i="6"/>
  <c r="E214" i="7" s="1"/>
  <c r="U214" i="6"/>
  <c r="S214" i="6"/>
  <c r="R218" i="6"/>
  <c r="D218" i="7" s="1"/>
  <c r="R222" i="6"/>
  <c r="D222" i="7" s="1"/>
  <c r="R226" i="6"/>
  <c r="D226" i="7" s="1"/>
  <c r="AF237" i="6"/>
  <c r="A240" i="7"/>
  <c r="C240" i="6"/>
  <c r="C240" i="7" s="1"/>
  <c r="W240" i="6"/>
  <c r="E240" i="7" s="1"/>
  <c r="U240" i="6"/>
  <c r="T240" i="6"/>
  <c r="S240" i="6"/>
  <c r="R240" i="6"/>
  <c r="D240" i="7" s="1"/>
  <c r="B240" i="6"/>
  <c r="AF261" i="6"/>
  <c r="A271" i="7"/>
  <c r="W271" i="6"/>
  <c r="E271" i="7" s="1"/>
  <c r="V271" i="6"/>
  <c r="U271" i="6"/>
  <c r="S271" i="6"/>
  <c r="C271" i="6"/>
  <c r="C271" i="7" s="1"/>
  <c r="B271" i="6"/>
  <c r="T271" i="6"/>
  <c r="H109" i="7"/>
  <c r="F109" i="7"/>
  <c r="G109" i="7" s="1"/>
  <c r="H111" i="7"/>
  <c r="F111" i="7"/>
  <c r="G111" i="7" s="1"/>
  <c r="H113" i="7"/>
  <c r="F113" i="7"/>
  <c r="G113" i="7" s="1"/>
  <c r="H115" i="7"/>
  <c r="F115" i="7"/>
  <c r="G115" i="7" s="1"/>
  <c r="H117" i="7"/>
  <c r="F117" i="7"/>
  <c r="G117" i="7" s="1"/>
  <c r="H119" i="7"/>
  <c r="F119" i="7"/>
  <c r="G119" i="7" s="1"/>
  <c r="H121" i="7"/>
  <c r="F121" i="7"/>
  <c r="G121" i="7" s="1"/>
  <c r="H123" i="7"/>
  <c r="F123" i="7"/>
  <c r="G123" i="7" s="1"/>
  <c r="H125" i="7"/>
  <c r="F125" i="7"/>
  <c r="G125" i="7" s="1"/>
  <c r="H127" i="7"/>
  <c r="F127" i="7"/>
  <c r="G127" i="7" s="1"/>
  <c r="H129" i="7"/>
  <c r="F129" i="7"/>
  <c r="G129" i="7" s="1"/>
  <c r="H131" i="7"/>
  <c r="F131" i="7"/>
  <c r="G131" i="7" s="1"/>
  <c r="H133" i="7"/>
  <c r="F133" i="7"/>
  <c r="G133" i="7" s="1"/>
  <c r="H135" i="7"/>
  <c r="F135" i="7"/>
  <c r="G135" i="7" s="1"/>
  <c r="H137" i="7"/>
  <c r="F137" i="7"/>
  <c r="G137" i="7" s="1"/>
  <c r="H139" i="7"/>
  <c r="F139" i="7"/>
  <c r="G139" i="7" s="1"/>
  <c r="V140" i="6"/>
  <c r="A141" i="7"/>
  <c r="R141" i="6"/>
  <c r="D141" i="7" s="1"/>
  <c r="W145" i="6"/>
  <c r="E145" i="7" s="1"/>
  <c r="A149" i="7"/>
  <c r="R149" i="6"/>
  <c r="D149" i="7" s="1"/>
  <c r="W153" i="6"/>
  <c r="E153" i="7" s="1"/>
  <c r="A157" i="7"/>
  <c r="R157" i="6"/>
  <c r="D157" i="7" s="1"/>
  <c r="W161" i="6"/>
  <c r="E161" i="7" s="1"/>
  <c r="A165" i="7"/>
  <c r="R165" i="6"/>
  <c r="D165" i="7" s="1"/>
  <c r="A177" i="7"/>
  <c r="W177" i="6"/>
  <c r="E177" i="7" s="1"/>
  <c r="U177" i="6"/>
  <c r="T177" i="6"/>
  <c r="S177" i="6"/>
  <c r="R177" i="6"/>
  <c r="D177" i="7" s="1"/>
  <c r="A200" i="7"/>
  <c r="C200" i="6"/>
  <c r="C200" i="7" s="1"/>
  <c r="B200" i="6"/>
  <c r="W200" i="6"/>
  <c r="E200" i="7" s="1"/>
  <c r="U200" i="6"/>
  <c r="S200" i="6"/>
  <c r="A207" i="7"/>
  <c r="W207" i="6"/>
  <c r="E207" i="7" s="1"/>
  <c r="U207" i="6"/>
  <c r="T207" i="6"/>
  <c r="S207" i="6"/>
  <c r="R207" i="6"/>
  <c r="D207" i="7" s="1"/>
  <c r="C207" i="6"/>
  <c r="C207" i="7" s="1"/>
  <c r="W140" i="6"/>
  <c r="E140" i="7" s="1"/>
  <c r="F144" i="7"/>
  <c r="G144" i="7" s="1"/>
  <c r="H144" i="7"/>
  <c r="AF145" i="6"/>
  <c r="V148" i="6"/>
  <c r="H152" i="7"/>
  <c r="F152" i="7"/>
  <c r="G152" i="7" s="1"/>
  <c r="AF153" i="6"/>
  <c r="V156" i="6"/>
  <c r="H160" i="7"/>
  <c r="F160" i="7"/>
  <c r="G160" i="7" s="1"/>
  <c r="AF161" i="6"/>
  <c r="V164" i="6"/>
  <c r="A169" i="7"/>
  <c r="U169" i="6"/>
  <c r="T169" i="6"/>
  <c r="R169" i="6"/>
  <c r="D169" i="7" s="1"/>
  <c r="A170" i="7"/>
  <c r="C170" i="6"/>
  <c r="C170" i="7" s="1"/>
  <c r="B170" i="6"/>
  <c r="A174" i="7"/>
  <c r="C174" i="6"/>
  <c r="C174" i="7" s="1"/>
  <c r="B174" i="6"/>
  <c r="V180" i="6"/>
  <c r="W188" i="6"/>
  <c r="E188" i="7" s="1"/>
  <c r="A196" i="7"/>
  <c r="C196" i="6"/>
  <c r="C196" i="7" s="1"/>
  <c r="B196" i="6"/>
  <c r="U196" i="6"/>
  <c r="S196" i="6"/>
  <c r="A210" i="7"/>
  <c r="C210" i="6"/>
  <c r="C210" i="7" s="1"/>
  <c r="B210" i="6"/>
  <c r="W210" i="6"/>
  <c r="E210" i="7" s="1"/>
  <c r="U210" i="6"/>
  <c r="S210" i="6"/>
  <c r="A217" i="7"/>
  <c r="W217" i="6"/>
  <c r="E217" i="7" s="1"/>
  <c r="U217" i="6"/>
  <c r="T217" i="6"/>
  <c r="S217" i="6"/>
  <c r="R217" i="6"/>
  <c r="D217" i="7" s="1"/>
  <c r="C217" i="6"/>
  <c r="C217" i="7" s="1"/>
  <c r="A221" i="7"/>
  <c r="W221" i="6"/>
  <c r="E221" i="7" s="1"/>
  <c r="U221" i="6"/>
  <c r="T221" i="6"/>
  <c r="S221" i="6"/>
  <c r="R221" i="6"/>
  <c r="D221" i="7" s="1"/>
  <c r="C221" i="6"/>
  <c r="C221" i="7" s="1"/>
  <c r="A225" i="7"/>
  <c r="W225" i="6"/>
  <c r="E225" i="7" s="1"/>
  <c r="U225" i="6"/>
  <c r="T225" i="6"/>
  <c r="S225" i="6"/>
  <c r="R225" i="6"/>
  <c r="D225" i="7" s="1"/>
  <c r="C225" i="6"/>
  <c r="C225" i="7" s="1"/>
  <c r="A297" i="7"/>
  <c r="W297" i="6"/>
  <c r="E297" i="7" s="1"/>
  <c r="V297" i="6"/>
  <c r="U297" i="6"/>
  <c r="T297" i="6"/>
  <c r="S297" i="6"/>
  <c r="R297" i="6"/>
  <c r="D297" i="7" s="1"/>
  <c r="C297" i="6"/>
  <c r="C297" i="7" s="1"/>
  <c r="AF100" i="6"/>
  <c r="AF102" i="6"/>
  <c r="AF104" i="6"/>
  <c r="AF106" i="6"/>
  <c r="AF108" i="6"/>
  <c r="R109" i="6"/>
  <c r="D109" i="7" s="1"/>
  <c r="AF110" i="6"/>
  <c r="R111" i="6"/>
  <c r="D111" i="7" s="1"/>
  <c r="AF112" i="6"/>
  <c r="R113" i="6"/>
  <c r="D113" i="7" s="1"/>
  <c r="AF114" i="6"/>
  <c r="R115" i="6"/>
  <c r="D115" i="7" s="1"/>
  <c r="AF116" i="6"/>
  <c r="R117" i="6"/>
  <c r="D117" i="7" s="1"/>
  <c r="AF118" i="6"/>
  <c r="R119" i="6"/>
  <c r="D119" i="7" s="1"/>
  <c r="AF120" i="6"/>
  <c r="R121" i="6"/>
  <c r="D121" i="7" s="1"/>
  <c r="AF122" i="6"/>
  <c r="R123" i="6"/>
  <c r="D123" i="7" s="1"/>
  <c r="AF124" i="6"/>
  <c r="R125" i="6"/>
  <c r="D125" i="7" s="1"/>
  <c r="AF126" i="6"/>
  <c r="R127" i="6"/>
  <c r="D127" i="7" s="1"/>
  <c r="AF128" i="6"/>
  <c r="R129" i="6"/>
  <c r="D129" i="7" s="1"/>
  <c r="AF130" i="6"/>
  <c r="R131" i="6"/>
  <c r="D131" i="7" s="1"/>
  <c r="AF132" i="6"/>
  <c r="R133" i="6"/>
  <c r="D133" i="7" s="1"/>
  <c r="AF134" i="6"/>
  <c r="R135" i="6"/>
  <c r="D135" i="7" s="1"/>
  <c r="AF136" i="6"/>
  <c r="R137" i="6"/>
  <c r="D137" i="7" s="1"/>
  <c r="AF138" i="6"/>
  <c r="R139" i="6"/>
  <c r="D139" i="7" s="1"/>
  <c r="AF140" i="6"/>
  <c r="S141" i="6"/>
  <c r="V143" i="6"/>
  <c r="B144" i="7"/>
  <c r="AF144" i="6"/>
  <c r="T146" i="6"/>
  <c r="W148" i="6"/>
  <c r="E148" i="7" s="1"/>
  <c r="S149" i="6"/>
  <c r="V151" i="6"/>
  <c r="B152" i="7"/>
  <c r="AF152" i="6"/>
  <c r="T154" i="6"/>
  <c r="W156" i="6"/>
  <c r="E156" i="7" s="1"/>
  <c r="S157" i="6"/>
  <c r="V159" i="6"/>
  <c r="B160" i="7"/>
  <c r="AF160" i="6"/>
  <c r="T162" i="6"/>
  <c r="W164" i="6"/>
  <c r="E164" i="7" s="1"/>
  <c r="S165" i="6"/>
  <c r="AF167" i="6"/>
  <c r="T168" i="6"/>
  <c r="B170" i="7"/>
  <c r="AF170" i="6"/>
  <c r="A175" i="7"/>
  <c r="W175" i="6"/>
  <c r="E175" i="7" s="1"/>
  <c r="U175" i="6"/>
  <c r="T175" i="6"/>
  <c r="S175" i="6"/>
  <c r="R175" i="6"/>
  <c r="D175" i="7" s="1"/>
  <c r="S176" i="6"/>
  <c r="V177" i="6"/>
  <c r="U178" i="6"/>
  <c r="W180" i="6"/>
  <c r="E180" i="7" s="1"/>
  <c r="A185" i="7"/>
  <c r="W185" i="6"/>
  <c r="E185" i="7" s="1"/>
  <c r="U185" i="6"/>
  <c r="T185" i="6"/>
  <c r="S185" i="6"/>
  <c r="R185" i="6"/>
  <c r="D185" i="7" s="1"/>
  <c r="C185" i="6"/>
  <c r="C185" i="7" s="1"/>
  <c r="S186" i="6"/>
  <c r="A191" i="7"/>
  <c r="W191" i="6"/>
  <c r="E191" i="7" s="1"/>
  <c r="U191" i="6"/>
  <c r="T191" i="6"/>
  <c r="S191" i="6"/>
  <c r="R191" i="6"/>
  <c r="D191" i="7" s="1"/>
  <c r="C191" i="6"/>
  <c r="C191" i="7" s="1"/>
  <c r="T192" i="6"/>
  <c r="R200" i="6"/>
  <c r="D200" i="7" s="1"/>
  <c r="A203" i="7"/>
  <c r="W203" i="6"/>
  <c r="E203" i="7" s="1"/>
  <c r="U203" i="6"/>
  <c r="T203" i="6"/>
  <c r="S203" i="6"/>
  <c r="R203" i="6"/>
  <c r="D203" i="7" s="1"/>
  <c r="C203" i="6"/>
  <c r="C203" i="7" s="1"/>
  <c r="V204" i="6"/>
  <c r="V207" i="6"/>
  <c r="T214" i="6"/>
  <c r="V236" i="6"/>
  <c r="A313" i="7"/>
  <c r="U313" i="6"/>
  <c r="V313" i="6"/>
  <c r="T313" i="6"/>
  <c r="S313" i="6"/>
  <c r="R313" i="6"/>
  <c r="D313" i="7" s="1"/>
  <c r="C313" i="6"/>
  <c r="C313" i="7" s="1"/>
  <c r="B313" i="6"/>
  <c r="W313" i="6"/>
  <c r="E313" i="7" s="1"/>
  <c r="V192" i="6"/>
  <c r="R196" i="6"/>
  <c r="D196" i="7" s="1"/>
  <c r="T200" i="6"/>
  <c r="A206" i="7"/>
  <c r="C206" i="6"/>
  <c r="C206" i="7" s="1"/>
  <c r="B206" i="6"/>
  <c r="W206" i="6"/>
  <c r="E206" i="7" s="1"/>
  <c r="U206" i="6"/>
  <c r="S206" i="6"/>
  <c r="R210" i="6"/>
  <c r="D210" i="7" s="1"/>
  <c r="A213" i="7"/>
  <c r="W213" i="6"/>
  <c r="E213" i="7" s="1"/>
  <c r="U213" i="6"/>
  <c r="T213" i="6"/>
  <c r="S213" i="6"/>
  <c r="R213" i="6"/>
  <c r="D213" i="7" s="1"/>
  <c r="C213" i="6"/>
  <c r="C213" i="7" s="1"/>
  <c r="V214" i="6"/>
  <c r="V217" i="6"/>
  <c r="A220" i="7"/>
  <c r="C220" i="6"/>
  <c r="C220" i="7" s="1"/>
  <c r="B220" i="6"/>
  <c r="W220" i="6"/>
  <c r="E220" i="7" s="1"/>
  <c r="U220" i="6"/>
  <c r="S220" i="6"/>
  <c r="V221" i="6"/>
  <c r="A224" i="7"/>
  <c r="C224" i="6"/>
  <c r="C224" i="7" s="1"/>
  <c r="B224" i="6"/>
  <c r="W224" i="6"/>
  <c r="E224" i="7" s="1"/>
  <c r="U224" i="6"/>
  <c r="S224" i="6"/>
  <c r="V225" i="6"/>
  <c r="A228" i="7"/>
  <c r="C228" i="6"/>
  <c r="C228" i="7" s="1"/>
  <c r="B228" i="6"/>
  <c r="W228" i="6"/>
  <c r="E228" i="7" s="1"/>
  <c r="U228" i="6"/>
  <c r="S228" i="6"/>
  <c r="B234" i="7"/>
  <c r="AF234" i="6"/>
  <c r="A239" i="7"/>
  <c r="U239" i="6"/>
  <c r="C239" i="6"/>
  <c r="C239" i="7" s="1"/>
  <c r="W239" i="6"/>
  <c r="E239" i="7" s="1"/>
  <c r="V239" i="6"/>
  <c r="S239" i="6"/>
  <c r="A263" i="7"/>
  <c r="W263" i="6"/>
  <c r="E263" i="7" s="1"/>
  <c r="V263" i="6"/>
  <c r="U263" i="6"/>
  <c r="S263" i="6"/>
  <c r="T263" i="6"/>
  <c r="C263" i="6"/>
  <c r="C263" i="7" s="1"/>
  <c r="A330" i="7"/>
  <c r="C330" i="6"/>
  <c r="C330" i="7" s="1"/>
  <c r="U330" i="6"/>
  <c r="T330" i="6"/>
  <c r="S330" i="6"/>
  <c r="R330" i="6"/>
  <c r="D330" i="7" s="1"/>
  <c r="B330" i="6"/>
  <c r="W330" i="6"/>
  <c r="E330" i="7" s="1"/>
  <c r="V330" i="6"/>
  <c r="T109" i="6"/>
  <c r="T111" i="6"/>
  <c r="T113" i="6"/>
  <c r="T115" i="6"/>
  <c r="T117" i="6"/>
  <c r="T119" i="6"/>
  <c r="T121" i="6"/>
  <c r="T123" i="6"/>
  <c r="T125" i="6"/>
  <c r="T127" i="6"/>
  <c r="T129" i="6"/>
  <c r="T131" i="6"/>
  <c r="T133" i="6"/>
  <c r="T135" i="6"/>
  <c r="T137" i="6"/>
  <c r="T139" i="6"/>
  <c r="B140" i="6"/>
  <c r="U141" i="6"/>
  <c r="F142" i="7"/>
  <c r="G142" i="7" s="1"/>
  <c r="H142" i="7"/>
  <c r="AF143" i="6"/>
  <c r="S144" i="6"/>
  <c r="B145" i="6"/>
  <c r="V146" i="6"/>
  <c r="U149" i="6"/>
  <c r="F150" i="7"/>
  <c r="G150" i="7" s="1"/>
  <c r="H150" i="7"/>
  <c r="AF151" i="6"/>
  <c r="S152" i="6"/>
  <c r="B153" i="6"/>
  <c r="V154" i="6"/>
  <c r="U157" i="6"/>
  <c r="H158" i="7"/>
  <c r="F158" i="7"/>
  <c r="G158" i="7" s="1"/>
  <c r="AF159" i="6"/>
  <c r="S160" i="6"/>
  <c r="B161" i="6"/>
  <c r="V162" i="6"/>
  <c r="U165" i="6"/>
  <c r="H166" i="7"/>
  <c r="F166" i="7"/>
  <c r="G166" i="7" s="1"/>
  <c r="V168" i="6"/>
  <c r="V169" i="6"/>
  <c r="S170" i="6"/>
  <c r="A171" i="7"/>
  <c r="U171" i="6"/>
  <c r="T171" i="6"/>
  <c r="R171" i="6"/>
  <c r="D171" i="7" s="1"/>
  <c r="B172" i="7"/>
  <c r="AF172" i="6"/>
  <c r="A173" i="7"/>
  <c r="W173" i="6"/>
  <c r="E173" i="7" s="1"/>
  <c r="U173" i="6"/>
  <c r="T173" i="6"/>
  <c r="S173" i="6"/>
  <c r="R173" i="6"/>
  <c r="D173" i="7" s="1"/>
  <c r="S174" i="6"/>
  <c r="V175" i="6"/>
  <c r="U176" i="6"/>
  <c r="W178" i="6"/>
  <c r="E178" i="7" s="1"/>
  <c r="B183" i="6"/>
  <c r="V185" i="6"/>
  <c r="V186" i="6"/>
  <c r="V191" i="6"/>
  <c r="W192" i="6"/>
  <c r="E192" i="7" s="1"/>
  <c r="A195" i="7"/>
  <c r="W195" i="6"/>
  <c r="E195" i="7" s="1"/>
  <c r="U195" i="6"/>
  <c r="T195" i="6"/>
  <c r="S195" i="6"/>
  <c r="R195" i="6"/>
  <c r="D195" i="7" s="1"/>
  <c r="C195" i="6"/>
  <c r="C195" i="7" s="1"/>
  <c r="T196" i="6"/>
  <c r="A199" i="7"/>
  <c r="W199" i="6"/>
  <c r="E199" i="7" s="1"/>
  <c r="U199" i="6"/>
  <c r="T199" i="6"/>
  <c r="S199" i="6"/>
  <c r="R199" i="6"/>
  <c r="D199" i="7" s="1"/>
  <c r="C199" i="6"/>
  <c r="C199" i="7" s="1"/>
  <c r="V200" i="6"/>
  <c r="V203" i="6"/>
  <c r="T210" i="6"/>
  <c r="A216" i="7"/>
  <c r="C216" i="6"/>
  <c r="C216" i="7" s="1"/>
  <c r="B216" i="6"/>
  <c r="W216" i="6"/>
  <c r="E216" i="7" s="1"/>
  <c r="U216" i="6"/>
  <c r="S216" i="6"/>
  <c r="AF229" i="6"/>
  <c r="A232" i="7"/>
  <c r="C232" i="6"/>
  <c r="C232" i="7" s="1"/>
  <c r="W232" i="6"/>
  <c r="E232" i="7" s="1"/>
  <c r="U232" i="6"/>
  <c r="T232" i="6"/>
  <c r="S232" i="6"/>
  <c r="R232" i="6"/>
  <c r="D232" i="7" s="1"/>
  <c r="B232" i="6"/>
  <c r="AF241" i="6"/>
  <c r="B250" i="7"/>
  <c r="AF250" i="6"/>
  <c r="B254" i="7"/>
  <c r="AF254" i="6"/>
  <c r="B258" i="7"/>
  <c r="AF258" i="6"/>
  <c r="U109" i="6"/>
  <c r="U111" i="6"/>
  <c r="U113" i="6"/>
  <c r="U115" i="6"/>
  <c r="U117" i="6"/>
  <c r="U119" i="6"/>
  <c r="U121" i="6"/>
  <c r="U123" i="6"/>
  <c r="U125" i="6"/>
  <c r="U127" i="6"/>
  <c r="U129" i="6"/>
  <c r="U131" i="6"/>
  <c r="U133" i="6"/>
  <c r="U135" i="6"/>
  <c r="U137" i="6"/>
  <c r="U139" i="6"/>
  <c r="C140" i="6"/>
  <c r="C140" i="7" s="1"/>
  <c r="V141" i="6"/>
  <c r="B142" i="7"/>
  <c r="AF142" i="6"/>
  <c r="T144" i="6"/>
  <c r="C145" i="6"/>
  <c r="C145" i="7" s="1"/>
  <c r="W146" i="6"/>
  <c r="E146" i="7" s="1"/>
  <c r="B148" i="6"/>
  <c r="V149" i="6"/>
  <c r="B150" i="7"/>
  <c r="AF150" i="6"/>
  <c r="T152" i="6"/>
  <c r="C153" i="6"/>
  <c r="C153" i="7" s="1"/>
  <c r="W154" i="6"/>
  <c r="E154" i="7" s="1"/>
  <c r="B156" i="6"/>
  <c r="V157" i="6"/>
  <c r="B158" i="7"/>
  <c r="AF158" i="6"/>
  <c r="T160" i="6"/>
  <c r="C161" i="6"/>
  <c r="C161" i="7" s="1"/>
  <c r="W162" i="6"/>
  <c r="E162" i="7" s="1"/>
  <c r="B164" i="6"/>
  <c r="V165" i="6"/>
  <c r="B166" i="7"/>
  <c r="AF166" i="6"/>
  <c r="W168" i="6"/>
  <c r="E168" i="7" s="1"/>
  <c r="W169" i="6"/>
  <c r="E169" i="7" s="1"/>
  <c r="T170" i="6"/>
  <c r="T174" i="6"/>
  <c r="A182" i="7"/>
  <c r="C182" i="6"/>
  <c r="C182" i="7" s="1"/>
  <c r="B182" i="6"/>
  <c r="C183" i="6"/>
  <c r="C183" i="7" s="1"/>
  <c r="B189" i="6"/>
  <c r="V196" i="6"/>
  <c r="A202" i="7"/>
  <c r="C202" i="6"/>
  <c r="C202" i="7" s="1"/>
  <c r="B202" i="6"/>
  <c r="W202" i="6"/>
  <c r="E202" i="7" s="1"/>
  <c r="U202" i="6"/>
  <c r="S202" i="6"/>
  <c r="A209" i="7"/>
  <c r="W209" i="6"/>
  <c r="E209" i="7" s="1"/>
  <c r="U209" i="6"/>
  <c r="T209" i="6"/>
  <c r="S209" i="6"/>
  <c r="R209" i="6"/>
  <c r="D209" i="7" s="1"/>
  <c r="C209" i="6"/>
  <c r="C209" i="7" s="1"/>
  <c r="V210" i="6"/>
  <c r="A244" i="7"/>
  <c r="C244" i="6"/>
  <c r="C244" i="7" s="1"/>
  <c r="B244" i="6"/>
  <c r="W244" i="6"/>
  <c r="E244" i="7" s="1"/>
  <c r="U244" i="6"/>
  <c r="S244" i="6"/>
  <c r="R263" i="6"/>
  <c r="D263" i="7" s="1"/>
  <c r="A234" i="7"/>
  <c r="C234" i="6"/>
  <c r="C234" i="7" s="1"/>
  <c r="A242" i="7"/>
  <c r="C242" i="6"/>
  <c r="C242" i="7" s="1"/>
  <c r="A250" i="7"/>
  <c r="C250" i="6"/>
  <c r="C250" i="7" s="1"/>
  <c r="A254" i="7"/>
  <c r="C254" i="6"/>
  <c r="C254" i="7" s="1"/>
  <c r="A258" i="7"/>
  <c r="C258" i="6"/>
  <c r="C258" i="7" s="1"/>
  <c r="A299" i="7"/>
  <c r="U299" i="6"/>
  <c r="W299" i="6"/>
  <c r="E299" i="7" s="1"/>
  <c r="V299" i="6"/>
  <c r="T299" i="6"/>
  <c r="R299" i="6"/>
  <c r="D299" i="7" s="1"/>
  <c r="B299" i="6"/>
  <c r="B350" i="7"/>
  <c r="AF350" i="6"/>
  <c r="B374" i="7"/>
  <c r="AF374" i="6"/>
  <c r="A380" i="7"/>
  <c r="U380" i="6"/>
  <c r="V380" i="6"/>
  <c r="T380" i="6"/>
  <c r="C380" i="6"/>
  <c r="C380" i="7" s="1"/>
  <c r="B380" i="6"/>
  <c r="S380" i="6"/>
  <c r="R380" i="6"/>
  <c r="D380" i="7" s="1"/>
  <c r="A229" i="7"/>
  <c r="U229" i="6"/>
  <c r="R234" i="6"/>
  <c r="D234" i="7" s="1"/>
  <c r="A237" i="7"/>
  <c r="U237" i="6"/>
  <c r="R242" i="6"/>
  <c r="D242" i="7" s="1"/>
  <c r="A245" i="7"/>
  <c r="U245" i="6"/>
  <c r="R250" i="6"/>
  <c r="D250" i="7" s="1"/>
  <c r="R254" i="6"/>
  <c r="D254" i="7" s="1"/>
  <c r="R258" i="6"/>
  <c r="D258" i="7" s="1"/>
  <c r="S299" i="6"/>
  <c r="B304" i="7"/>
  <c r="AF304" i="6"/>
  <c r="A321" i="7"/>
  <c r="U321" i="6"/>
  <c r="V321" i="6"/>
  <c r="T321" i="6"/>
  <c r="S321" i="6"/>
  <c r="R321" i="6"/>
  <c r="D321" i="7" s="1"/>
  <c r="C321" i="6"/>
  <c r="C321" i="7" s="1"/>
  <c r="B321" i="6"/>
  <c r="W321" i="6"/>
  <c r="E321" i="7" s="1"/>
  <c r="T234" i="6"/>
  <c r="T242" i="6"/>
  <c r="T250" i="6"/>
  <c r="A251" i="7"/>
  <c r="U251" i="6"/>
  <c r="S251" i="6"/>
  <c r="T254" i="6"/>
  <c r="A255" i="7"/>
  <c r="U255" i="6"/>
  <c r="S255" i="6"/>
  <c r="T258" i="6"/>
  <c r="A259" i="7"/>
  <c r="U259" i="6"/>
  <c r="S259" i="6"/>
  <c r="A295" i="7"/>
  <c r="W295" i="6"/>
  <c r="E295" i="7" s="1"/>
  <c r="V295" i="6"/>
  <c r="U295" i="6"/>
  <c r="T295" i="6"/>
  <c r="S295" i="6"/>
  <c r="A302" i="7"/>
  <c r="C302" i="6"/>
  <c r="C302" i="7" s="1"/>
  <c r="W302" i="6"/>
  <c r="E302" i="7" s="1"/>
  <c r="V302" i="6"/>
  <c r="U302" i="6"/>
  <c r="T302" i="6"/>
  <c r="S302" i="6"/>
  <c r="A307" i="7"/>
  <c r="U307" i="6"/>
  <c r="W307" i="6"/>
  <c r="E307" i="7" s="1"/>
  <c r="V307" i="6"/>
  <c r="T307" i="6"/>
  <c r="R307" i="6"/>
  <c r="D307" i="7" s="1"/>
  <c r="B307" i="6"/>
  <c r="A334" i="7"/>
  <c r="C334" i="6"/>
  <c r="C334" i="7" s="1"/>
  <c r="U334" i="6"/>
  <c r="T334" i="6"/>
  <c r="S334" i="6"/>
  <c r="R334" i="6"/>
  <c r="D334" i="7" s="1"/>
  <c r="B334" i="6"/>
  <c r="W334" i="6"/>
  <c r="E334" i="7" s="1"/>
  <c r="V334" i="6"/>
  <c r="A338" i="7"/>
  <c r="C338" i="6"/>
  <c r="C338" i="7" s="1"/>
  <c r="U338" i="6"/>
  <c r="T338" i="6"/>
  <c r="S338" i="6"/>
  <c r="R338" i="6"/>
  <c r="D338" i="7" s="1"/>
  <c r="B338" i="6"/>
  <c r="W338" i="6"/>
  <c r="E338" i="7" s="1"/>
  <c r="V338" i="6"/>
  <c r="AF349" i="6"/>
  <c r="AF174" i="6"/>
  <c r="AF176" i="6"/>
  <c r="AF178" i="6"/>
  <c r="AF180" i="6"/>
  <c r="AF182" i="6"/>
  <c r="AF184" i="6"/>
  <c r="AF186" i="6"/>
  <c r="AF188" i="6"/>
  <c r="AF190" i="6"/>
  <c r="AF192" i="6"/>
  <c r="AF194" i="6"/>
  <c r="AF196" i="6"/>
  <c r="AF198" i="6"/>
  <c r="AF200" i="6"/>
  <c r="AF202" i="6"/>
  <c r="AF204" i="6"/>
  <c r="AF206" i="6"/>
  <c r="AF208" i="6"/>
  <c r="AF210" i="6"/>
  <c r="AF212" i="6"/>
  <c r="AF214" i="6"/>
  <c r="AF216" i="6"/>
  <c r="S229" i="6"/>
  <c r="U234" i="6"/>
  <c r="A235" i="7"/>
  <c r="U235" i="6"/>
  <c r="S237" i="6"/>
  <c r="U242" i="6"/>
  <c r="A243" i="7"/>
  <c r="U243" i="6"/>
  <c r="S245" i="6"/>
  <c r="U250" i="6"/>
  <c r="U254" i="6"/>
  <c r="U258" i="6"/>
  <c r="AF263" i="6"/>
  <c r="A267" i="7"/>
  <c r="W267" i="6"/>
  <c r="E267" i="7" s="1"/>
  <c r="V267" i="6"/>
  <c r="U267" i="6"/>
  <c r="S267" i="6"/>
  <c r="A293" i="7"/>
  <c r="W293" i="6"/>
  <c r="E293" i="7" s="1"/>
  <c r="V293" i="6"/>
  <c r="U293" i="6"/>
  <c r="T293" i="6"/>
  <c r="S293" i="6"/>
  <c r="B312" i="7"/>
  <c r="AF312" i="6"/>
  <c r="B354" i="7"/>
  <c r="AF354" i="6"/>
  <c r="AF373" i="6"/>
  <c r="A378" i="7"/>
  <c r="U378" i="6"/>
  <c r="R378" i="6"/>
  <c r="D378" i="7" s="1"/>
  <c r="B378" i="6"/>
  <c r="T378" i="6"/>
  <c r="V378" i="6"/>
  <c r="S378" i="6"/>
  <c r="C378" i="6"/>
  <c r="C378" i="7" s="1"/>
  <c r="T229" i="6"/>
  <c r="A230" i="7"/>
  <c r="C230" i="6"/>
  <c r="C230" i="7" s="1"/>
  <c r="AF231" i="6"/>
  <c r="V234" i="6"/>
  <c r="T237" i="6"/>
  <c r="A238" i="7"/>
  <c r="C238" i="6"/>
  <c r="C238" i="7" s="1"/>
  <c r="AF239" i="6"/>
  <c r="V242" i="6"/>
  <c r="T245" i="6"/>
  <c r="A246" i="7"/>
  <c r="C246" i="6"/>
  <c r="C246" i="7" s="1"/>
  <c r="AF247" i="6"/>
  <c r="V250" i="6"/>
  <c r="R251" i="6"/>
  <c r="D251" i="7" s="1"/>
  <c r="A252" i="7"/>
  <c r="C252" i="6"/>
  <c r="C252" i="7" s="1"/>
  <c r="V254" i="6"/>
  <c r="R255" i="6"/>
  <c r="D255" i="7" s="1"/>
  <c r="A256" i="7"/>
  <c r="C256" i="6"/>
  <c r="C256" i="7" s="1"/>
  <c r="V258" i="6"/>
  <c r="R259" i="6"/>
  <c r="D259" i="7" s="1"/>
  <c r="A260" i="7"/>
  <c r="C260" i="6"/>
  <c r="C260" i="7" s="1"/>
  <c r="A291" i="7"/>
  <c r="W291" i="6"/>
  <c r="E291" i="7" s="1"/>
  <c r="V291" i="6"/>
  <c r="U291" i="6"/>
  <c r="T291" i="6"/>
  <c r="S291" i="6"/>
  <c r="R295" i="6"/>
  <c r="D295" i="7" s="1"/>
  <c r="R302" i="6"/>
  <c r="D302" i="7" s="1"/>
  <c r="S307" i="6"/>
  <c r="V229" i="6"/>
  <c r="W234" i="6"/>
  <c r="E234" i="7" s="1"/>
  <c r="V237" i="6"/>
  <c r="W242" i="6"/>
  <c r="E242" i="7" s="1"/>
  <c r="V245" i="6"/>
  <c r="W250" i="6"/>
  <c r="E250" i="7" s="1"/>
  <c r="T251" i="6"/>
  <c r="W254" i="6"/>
  <c r="E254" i="7" s="1"/>
  <c r="T255" i="6"/>
  <c r="W258" i="6"/>
  <c r="E258" i="7" s="1"/>
  <c r="T259" i="6"/>
  <c r="AF265" i="6"/>
  <c r="R267" i="6"/>
  <c r="D267" i="7" s="1"/>
  <c r="A269" i="7"/>
  <c r="W269" i="6"/>
  <c r="E269" i="7" s="1"/>
  <c r="V269" i="6"/>
  <c r="U269" i="6"/>
  <c r="S269" i="6"/>
  <c r="A289" i="7"/>
  <c r="W289" i="6"/>
  <c r="E289" i="7" s="1"/>
  <c r="V289" i="6"/>
  <c r="U289" i="6"/>
  <c r="T289" i="6"/>
  <c r="S289" i="6"/>
  <c r="R293" i="6"/>
  <c r="D293" i="7" s="1"/>
  <c r="A315" i="7"/>
  <c r="U315" i="6"/>
  <c r="W315" i="6"/>
  <c r="E315" i="7" s="1"/>
  <c r="V315" i="6"/>
  <c r="T315" i="6"/>
  <c r="R315" i="6"/>
  <c r="D315" i="7" s="1"/>
  <c r="B315" i="6"/>
  <c r="W229" i="6"/>
  <c r="E229" i="7" s="1"/>
  <c r="R230" i="6"/>
  <c r="D230" i="7" s="1"/>
  <c r="A233" i="7"/>
  <c r="U233" i="6"/>
  <c r="W237" i="6"/>
  <c r="E237" i="7" s="1"/>
  <c r="R238" i="6"/>
  <c r="D238" i="7" s="1"/>
  <c r="A241" i="7"/>
  <c r="U241" i="6"/>
  <c r="W245" i="6"/>
  <c r="E245" i="7" s="1"/>
  <c r="R246" i="6"/>
  <c r="D246" i="7" s="1"/>
  <c r="A249" i="7"/>
  <c r="U249" i="6"/>
  <c r="V251" i="6"/>
  <c r="R252" i="6"/>
  <c r="D252" i="7" s="1"/>
  <c r="V255" i="6"/>
  <c r="R256" i="6"/>
  <c r="D256" i="7" s="1"/>
  <c r="V259" i="6"/>
  <c r="R260" i="6"/>
  <c r="D260" i="7" s="1"/>
  <c r="T267" i="6"/>
  <c r="A287" i="7"/>
  <c r="W287" i="6"/>
  <c r="E287" i="7" s="1"/>
  <c r="V287" i="6"/>
  <c r="U287" i="6"/>
  <c r="T287" i="6"/>
  <c r="S287" i="6"/>
  <c r="R291" i="6"/>
  <c r="D291" i="7" s="1"/>
  <c r="A305" i="7"/>
  <c r="U305" i="6"/>
  <c r="V305" i="6"/>
  <c r="T305" i="6"/>
  <c r="S305" i="6"/>
  <c r="R305" i="6"/>
  <c r="D305" i="7" s="1"/>
  <c r="C305" i="6"/>
  <c r="C305" i="7" s="1"/>
  <c r="B305" i="6"/>
  <c r="W305" i="6"/>
  <c r="E305" i="7" s="1"/>
  <c r="B320" i="7"/>
  <c r="AF320" i="6"/>
  <c r="B353" i="7"/>
  <c r="AF353" i="6"/>
  <c r="A285" i="7"/>
  <c r="W285" i="6"/>
  <c r="E285" i="7" s="1"/>
  <c r="V285" i="6"/>
  <c r="U285" i="6"/>
  <c r="T285" i="6"/>
  <c r="S285" i="6"/>
  <c r="R289" i="6"/>
  <c r="D289" i="7" s="1"/>
  <c r="S315" i="6"/>
  <c r="B366" i="7"/>
  <c r="AF366" i="6"/>
  <c r="T230" i="6"/>
  <c r="R233" i="6"/>
  <c r="D233" i="7" s="1"/>
  <c r="V235" i="6"/>
  <c r="T238" i="6"/>
  <c r="R241" i="6"/>
  <c r="D241" i="7" s="1"/>
  <c r="V243" i="6"/>
  <c r="T246" i="6"/>
  <c r="R249" i="6"/>
  <c r="D249" i="7" s="1"/>
  <c r="AF251" i="6"/>
  <c r="T252" i="6"/>
  <c r="A253" i="7"/>
  <c r="U253" i="6"/>
  <c r="S253" i="6"/>
  <c r="AF255" i="6"/>
  <c r="T256" i="6"/>
  <c r="A257" i="7"/>
  <c r="U257" i="6"/>
  <c r="S257" i="6"/>
  <c r="AF259" i="6"/>
  <c r="T260" i="6"/>
  <c r="A261" i="7"/>
  <c r="W261" i="6"/>
  <c r="E261" i="7" s="1"/>
  <c r="U261" i="6"/>
  <c r="S261" i="6"/>
  <c r="T269" i="6"/>
  <c r="A273" i="7"/>
  <c r="W273" i="6"/>
  <c r="E273" i="7" s="1"/>
  <c r="V273" i="6"/>
  <c r="U273" i="6"/>
  <c r="T273" i="6"/>
  <c r="S273" i="6"/>
  <c r="A275" i="7"/>
  <c r="W275" i="6"/>
  <c r="E275" i="7" s="1"/>
  <c r="V275" i="6"/>
  <c r="U275" i="6"/>
  <c r="T275" i="6"/>
  <c r="S275" i="6"/>
  <c r="A277" i="7"/>
  <c r="W277" i="6"/>
  <c r="E277" i="7" s="1"/>
  <c r="V277" i="6"/>
  <c r="U277" i="6"/>
  <c r="T277" i="6"/>
  <c r="S277" i="6"/>
  <c r="A279" i="7"/>
  <c r="W279" i="6"/>
  <c r="E279" i="7" s="1"/>
  <c r="V279" i="6"/>
  <c r="U279" i="6"/>
  <c r="T279" i="6"/>
  <c r="S279" i="6"/>
  <c r="A281" i="7"/>
  <c r="W281" i="6"/>
  <c r="E281" i="7" s="1"/>
  <c r="V281" i="6"/>
  <c r="U281" i="6"/>
  <c r="T281" i="6"/>
  <c r="S281" i="6"/>
  <c r="A283" i="7"/>
  <c r="W283" i="6"/>
  <c r="E283" i="7" s="1"/>
  <c r="V283" i="6"/>
  <c r="U283" i="6"/>
  <c r="T283" i="6"/>
  <c r="S283" i="6"/>
  <c r="R287" i="6"/>
  <c r="D287" i="7" s="1"/>
  <c r="A323" i="7"/>
  <c r="U323" i="6"/>
  <c r="W323" i="6"/>
  <c r="E323" i="7" s="1"/>
  <c r="V323" i="6"/>
  <c r="T323" i="6"/>
  <c r="R323" i="6"/>
  <c r="D323" i="7" s="1"/>
  <c r="B323" i="6"/>
  <c r="A341" i="7"/>
  <c r="V341" i="6"/>
  <c r="U341" i="6"/>
  <c r="R341" i="6"/>
  <c r="D341" i="7" s="1"/>
  <c r="W341" i="6"/>
  <c r="E341" i="7" s="1"/>
  <c r="S341" i="6"/>
  <c r="B341" i="6"/>
  <c r="A351" i="7"/>
  <c r="V351" i="6"/>
  <c r="U351" i="6"/>
  <c r="R351" i="6"/>
  <c r="D351" i="7" s="1"/>
  <c r="C351" i="6"/>
  <c r="C351" i="7" s="1"/>
  <c r="W351" i="6"/>
  <c r="E351" i="7" s="1"/>
  <c r="S351" i="6"/>
  <c r="B365" i="7"/>
  <c r="AF365" i="6"/>
  <c r="B362" i="7"/>
  <c r="AF362" i="6"/>
  <c r="A390" i="7"/>
  <c r="U390" i="6"/>
  <c r="T390" i="6"/>
  <c r="W390" i="6"/>
  <c r="E390" i="7" s="1"/>
  <c r="S390" i="6"/>
  <c r="R390" i="6"/>
  <c r="D390" i="7" s="1"/>
  <c r="C390" i="6"/>
  <c r="C390" i="7" s="1"/>
  <c r="V390" i="6"/>
  <c r="B390" i="6"/>
  <c r="A403" i="7"/>
  <c r="R403" i="6"/>
  <c r="D403" i="7" s="1"/>
  <c r="C403" i="6"/>
  <c r="C403" i="7" s="1"/>
  <c r="B403" i="6"/>
  <c r="W403" i="6"/>
  <c r="E403" i="7" s="1"/>
  <c r="V403" i="6"/>
  <c r="T403" i="6"/>
  <c r="S403" i="6"/>
  <c r="U403" i="6"/>
  <c r="A301" i="7"/>
  <c r="U301" i="6"/>
  <c r="A309" i="7"/>
  <c r="U309" i="6"/>
  <c r="A317" i="7"/>
  <c r="U317" i="6"/>
  <c r="A325" i="7"/>
  <c r="U325" i="6"/>
  <c r="A328" i="7"/>
  <c r="C328" i="6"/>
  <c r="C328" i="7" s="1"/>
  <c r="A332" i="7"/>
  <c r="C332" i="6"/>
  <c r="C332" i="7" s="1"/>
  <c r="A336" i="7"/>
  <c r="C336" i="6"/>
  <c r="C336" i="7" s="1"/>
  <c r="H340" i="7"/>
  <c r="F340" i="7"/>
  <c r="G340" i="7" s="1"/>
  <c r="B348" i="7"/>
  <c r="AF348" i="6"/>
  <c r="B360" i="7"/>
  <c r="AF360" i="6"/>
  <c r="B372" i="7"/>
  <c r="AF372" i="6"/>
  <c r="B400" i="7"/>
  <c r="AF400" i="6"/>
  <c r="B404" i="7"/>
  <c r="AF404" i="6"/>
  <c r="A418" i="7"/>
  <c r="W418" i="6"/>
  <c r="E418" i="7" s="1"/>
  <c r="U418" i="6"/>
  <c r="T418" i="6"/>
  <c r="S418" i="6"/>
  <c r="V418" i="6"/>
  <c r="R418" i="6"/>
  <c r="D418" i="7" s="1"/>
  <c r="C418" i="6"/>
  <c r="C418" i="7" s="1"/>
  <c r="B418" i="6"/>
  <c r="A304" i="7"/>
  <c r="C304" i="6"/>
  <c r="C304" i="7" s="1"/>
  <c r="A312" i="7"/>
  <c r="C312" i="6"/>
  <c r="C312" i="7" s="1"/>
  <c r="A320" i="7"/>
  <c r="C320" i="6"/>
  <c r="C320" i="7" s="1"/>
  <c r="B328" i="7"/>
  <c r="AF328" i="6"/>
  <c r="B332" i="7"/>
  <c r="AF332" i="6"/>
  <c r="B336" i="7"/>
  <c r="AF336" i="6"/>
  <c r="B340" i="7"/>
  <c r="AF340" i="6"/>
  <c r="A349" i="7"/>
  <c r="V349" i="6"/>
  <c r="U349" i="6"/>
  <c r="R349" i="6"/>
  <c r="D349" i="7" s="1"/>
  <c r="C349" i="6"/>
  <c r="C349" i="7" s="1"/>
  <c r="A431" i="7"/>
  <c r="R431" i="6"/>
  <c r="D431" i="7" s="1"/>
  <c r="C431" i="6"/>
  <c r="C431" i="7" s="1"/>
  <c r="B431" i="6"/>
  <c r="W431" i="6"/>
  <c r="E431" i="7" s="1"/>
  <c r="V431" i="6"/>
  <c r="U431" i="6"/>
  <c r="S431" i="6"/>
  <c r="A434" i="7"/>
  <c r="W434" i="6"/>
  <c r="E434" i="7" s="1"/>
  <c r="U434" i="6"/>
  <c r="T434" i="6"/>
  <c r="S434" i="6"/>
  <c r="V434" i="6"/>
  <c r="R434" i="6"/>
  <c r="D434" i="7" s="1"/>
  <c r="C434" i="6"/>
  <c r="C434" i="7" s="1"/>
  <c r="B434" i="6"/>
  <c r="A382" i="7"/>
  <c r="U382" i="6"/>
  <c r="T382" i="6"/>
  <c r="R382" i="6"/>
  <c r="D382" i="7" s="1"/>
  <c r="B382" i="6"/>
  <c r="B403" i="7"/>
  <c r="AF403" i="6"/>
  <c r="T431" i="6"/>
  <c r="S304" i="6"/>
  <c r="T309" i="6"/>
  <c r="A310" i="7"/>
  <c r="C310" i="6"/>
  <c r="C310" i="7" s="1"/>
  <c r="S312" i="6"/>
  <c r="T317" i="6"/>
  <c r="A318" i="7"/>
  <c r="C318" i="6"/>
  <c r="C318" i="7" s="1"/>
  <c r="S320" i="6"/>
  <c r="T325" i="6"/>
  <c r="A326" i="7"/>
  <c r="C326" i="6"/>
  <c r="C326" i="7" s="1"/>
  <c r="T328" i="6"/>
  <c r="A329" i="7"/>
  <c r="U329" i="6"/>
  <c r="R329" i="6"/>
  <c r="D329" i="7" s="1"/>
  <c r="T332" i="6"/>
  <c r="A333" i="7"/>
  <c r="U333" i="6"/>
  <c r="R333" i="6"/>
  <c r="D333" i="7" s="1"/>
  <c r="T336" i="6"/>
  <c r="A337" i="7"/>
  <c r="U337" i="6"/>
  <c r="R337" i="6"/>
  <c r="D337" i="7" s="1"/>
  <c r="AF347" i="6"/>
  <c r="T349" i="6"/>
  <c r="B352" i="7"/>
  <c r="AF352" i="6"/>
  <c r="AF359" i="6"/>
  <c r="B364" i="7"/>
  <c r="AF364" i="6"/>
  <c r="AF371" i="6"/>
  <c r="B376" i="7"/>
  <c r="AF376" i="6"/>
  <c r="V301" i="6"/>
  <c r="T304" i="6"/>
  <c r="V309" i="6"/>
  <c r="T312" i="6"/>
  <c r="V317" i="6"/>
  <c r="T320" i="6"/>
  <c r="V325" i="6"/>
  <c r="U328" i="6"/>
  <c r="U332" i="6"/>
  <c r="U336" i="6"/>
  <c r="B342" i="7"/>
  <c r="AF342" i="6"/>
  <c r="W349" i="6"/>
  <c r="E349" i="7" s="1"/>
  <c r="A353" i="7"/>
  <c r="V353" i="6"/>
  <c r="U353" i="6"/>
  <c r="R353" i="6"/>
  <c r="D353" i="7" s="1"/>
  <c r="C353" i="6"/>
  <c r="C353" i="7" s="1"/>
  <c r="S382" i="6"/>
  <c r="A405" i="7"/>
  <c r="R405" i="6"/>
  <c r="D405" i="7" s="1"/>
  <c r="C405" i="6"/>
  <c r="C405" i="7" s="1"/>
  <c r="B405" i="6"/>
  <c r="W405" i="6"/>
  <c r="E405" i="7" s="1"/>
  <c r="V405" i="6"/>
  <c r="U405" i="6"/>
  <c r="S405" i="6"/>
  <c r="A419" i="7"/>
  <c r="R419" i="6"/>
  <c r="D419" i="7" s="1"/>
  <c r="C419" i="6"/>
  <c r="C419" i="7" s="1"/>
  <c r="B419" i="6"/>
  <c r="W419" i="6"/>
  <c r="E419" i="7" s="1"/>
  <c r="V419" i="6"/>
  <c r="U419" i="6"/>
  <c r="S419" i="6"/>
  <c r="A422" i="7"/>
  <c r="W422" i="6"/>
  <c r="E422" i="7" s="1"/>
  <c r="U422" i="6"/>
  <c r="T422" i="6"/>
  <c r="S422" i="6"/>
  <c r="V422" i="6"/>
  <c r="R422" i="6"/>
  <c r="D422" i="7" s="1"/>
  <c r="C422" i="6"/>
  <c r="C422" i="7" s="1"/>
  <c r="B422" i="6"/>
  <c r="A300" i="7"/>
  <c r="C300" i="6"/>
  <c r="C300" i="7" s="1"/>
  <c r="AF301" i="6"/>
  <c r="V304" i="6"/>
  <c r="A308" i="7"/>
  <c r="C308" i="6"/>
  <c r="C308" i="7" s="1"/>
  <c r="AF309" i="6"/>
  <c r="S310" i="6"/>
  <c r="V312" i="6"/>
  <c r="A316" i="7"/>
  <c r="C316" i="6"/>
  <c r="C316" i="7" s="1"/>
  <c r="AF317" i="6"/>
  <c r="S318" i="6"/>
  <c r="V320" i="6"/>
  <c r="A324" i="7"/>
  <c r="C324" i="6"/>
  <c r="C324" i="7" s="1"/>
  <c r="AF325" i="6"/>
  <c r="S326" i="6"/>
  <c r="W328" i="6"/>
  <c r="E328" i="7" s="1"/>
  <c r="T329" i="6"/>
  <c r="B330" i="7"/>
  <c r="AF330" i="6"/>
  <c r="W332" i="6"/>
  <c r="E332" i="7" s="1"/>
  <c r="T333" i="6"/>
  <c r="B334" i="7"/>
  <c r="AF334" i="6"/>
  <c r="W336" i="6"/>
  <c r="E336" i="7" s="1"/>
  <c r="T337" i="6"/>
  <c r="B338" i="7"/>
  <c r="AF338" i="6"/>
  <c r="A343" i="7"/>
  <c r="V343" i="6"/>
  <c r="U343" i="6"/>
  <c r="R343" i="6"/>
  <c r="D343" i="7" s="1"/>
  <c r="S353" i="6"/>
  <c r="A355" i="7"/>
  <c r="V355" i="6"/>
  <c r="U355" i="6"/>
  <c r="R355" i="6"/>
  <c r="D355" i="7" s="1"/>
  <c r="C355" i="6"/>
  <c r="C355" i="7" s="1"/>
  <c r="W382" i="6"/>
  <c r="E382" i="7" s="1"/>
  <c r="A388" i="7"/>
  <c r="U388" i="6"/>
  <c r="V388" i="6"/>
  <c r="T388" i="6"/>
  <c r="S388" i="6"/>
  <c r="R388" i="6"/>
  <c r="D388" i="7" s="1"/>
  <c r="C388" i="6"/>
  <c r="C388" i="7" s="1"/>
  <c r="B388" i="6"/>
  <c r="B390" i="7"/>
  <c r="AF390" i="6"/>
  <c r="A402" i="7"/>
  <c r="U402" i="6"/>
  <c r="T402" i="6"/>
  <c r="S402" i="6"/>
  <c r="W402" i="6"/>
  <c r="E402" i="7" s="1"/>
  <c r="R402" i="6"/>
  <c r="D402" i="7" s="1"/>
  <c r="B402" i="6"/>
  <c r="T405" i="6"/>
  <c r="A407" i="7"/>
  <c r="R407" i="6"/>
  <c r="D407" i="7" s="1"/>
  <c r="C407" i="6"/>
  <c r="C407" i="7" s="1"/>
  <c r="B407" i="6"/>
  <c r="W407" i="6"/>
  <c r="E407" i="7" s="1"/>
  <c r="V407" i="6"/>
  <c r="U407" i="6"/>
  <c r="S407" i="6"/>
  <c r="T419" i="6"/>
  <c r="W304" i="6"/>
  <c r="E304" i="7" s="1"/>
  <c r="W312" i="6"/>
  <c r="E312" i="7" s="1"/>
  <c r="W320" i="6"/>
  <c r="E320" i="7" s="1"/>
  <c r="B344" i="7"/>
  <c r="AF344" i="6"/>
  <c r="B356" i="7"/>
  <c r="AF356" i="6"/>
  <c r="B368" i="7"/>
  <c r="AF368" i="6"/>
  <c r="AF375" i="6"/>
  <c r="A396" i="7"/>
  <c r="U396" i="6"/>
  <c r="T396" i="6"/>
  <c r="W396" i="6"/>
  <c r="E396" i="7" s="1"/>
  <c r="V396" i="6"/>
  <c r="R396" i="6"/>
  <c r="D396" i="7" s="1"/>
  <c r="B396" i="6"/>
  <c r="A430" i="7"/>
  <c r="W430" i="6"/>
  <c r="E430" i="7" s="1"/>
  <c r="U430" i="6"/>
  <c r="T430" i="6"/>
  <c r="S430" i="6"/>
  <c r="V430" i="6"/>
  <c r="R430" i="6"/>
  <c r="D430" i="7" s="1"/>
  <c r="C430" i="6"/>
  <c r="C430" i="7" s="1"/>
  <c r="B430" i="6"/>
  <c r="A445" i="7"/>
  <c r="B445" i="6"/>
  <c r="T445" i="6"/>
  <c r="V445" i="6"/>
  <c r="U445" i="6"/>
  <c r="S445" i="6"/>
  <c r="W445" i="6"/>
  <c r="E445" i="7" s="1"/>
  <c r="R445" i="6"/>
  <c r="D445" i="7" s="1"/>
  <c r="C445" i="6"/>
  <c r="C445" i="7" s="1"/>
  <c r="C262" i="6"/>
  <c r="C262" i="7" s="1"/>
  <c r="C264" i="6"/>
  <c r="C264" i="7" s="1"/>
  <c r="C266" i="6"/>
  <c r="C266" i="7" s="1"/>
  <c r="C268" i="6"/>
  <c r="C268" i="7" s="1"/>
  <c r="C270" i="6"/>
  <c r="C270" i="7" s="1"/>
  <c r="C272" i="6"/>
  <c r="C272" i="7" s="1"/>
  <c r="C274" i="6"/>
  <c r="C274" i="7" s="1"/>
  <c r="C276" i="6"/>
  <c r="C276" i="7" s="1"/>
  <c r="C278" i="6"/>
  <c r="C278" i="7" s="1"/>
  <c r="C280" i="6"/>
  <c r="C280" i="7" s="1"/>
  <c r="C282" i="6"/>
  <c r="C282" i="7" s="1"/>
  <c r="C284" i="6"/>
  <c r="C284" i="7" s="1"/>
  <c r="C286" i="6"/>
  <c r="C286" i="7" s="1"/>
  <c r="C288" i="6"/>
  <c r="C288" i="7" s="1"/>
  <c r="C290" i="6"/>
  <c r="C290" i="7" s="1"/>
  <c r="C292" i="6"/>
  <c r="C292" i="7" s="1"/>
  <c r="C294" i="6"/>
  <c r="C294" i="7" s="1"/>
  <c r="C296" i="6"/>
  <c r="C296" i="7" s="1"/>
  <c r="C298" i="6"/>
  <c r="C298" i="7" s="1"/>
  <c r="R300" i="6"/>
  <c r="D300" i="7" s="1"/>
  <c r="A303" i="7"/>
  <c r="U303" i="6"/>
  <c r="R308" i="6"/>
  <c r="D308" i="7" s="1"/>
  <c r="U310" i="6"/>
  <c r="A311" i="7"/>
  <c r="U311" i="6"/>
  <c r="R316" i="6"/>
  <c r="D316" i="7" s="1"/>
  <c r="U318" i="6"/>
  <c r="A319" i="7"/>
  <c r="U319" i="6"/>
  <c r="R324" i="6"/>
  <c r="D324" i="7" s="1"/>
  <c r="U326" i="6"/>
  <c r="A327" i="7"/>
  <c r="U327" i="6"/>
  <c r="W329" i="6"/>
  <c r="E329" i="7" s="1"/>
  <c r="W333" i="6"/>
  <c r="E333" i="7" s="1"/>
  <c r="W337" i="6"/>
  <c r="E337" i="7" s="1"/>
  <c r="S343" i="6"/>
  <c r="A345" i="7"/>
  <c r="V345" i="6"/>
  <c r="U345" i="6"/>
  <c r="R345" i="6"/>
  <c r="D345" i="7" s="1"/>
  <c r="C345" i="6"/>
  <c r="C345" i="7" s="1"/>
  <c r="W353" i="6"/>
  <c r="E353" i="7" s="1"/>
  <c r="S355" i="6"/>
  <c r="A357" i="7"/>
  <c r="V357" i="6"/>
  <c r="U357" i="6"/>
  <c r="R357" i="6"/>
  <c r="D357" i="7" s="1"/>
  <c r="C357" i="6"/>
  <c r="C357" i="7" s="1"/>
  <c r="B387" i="7"/>
  <c r="AF387" i="6"/>
  <c r="W388" i="6"/>
  <c r="E388" i="7" s="1"/>
  <c r="A395" i="7"/>
  <c r="R395" i="6"/>
  <c r="D395" i="7" s="1"/>
  <c r="C395" i="6"/>
  <c r="C395" i="7" s="1"/>
  <c r="B395" i="6"/>
  <c r="V395" i="6"/>
  <c r="U395" i="6"/>
  <c r="A401" i="7"/>
  <c r="R401" i="6"/>
  <c r="D401" i="7" s="1"/>
  <c r="C401" i="6"/>
  <c r="C401" i="7" s="1"/>
  <c r="B401" i="6"/>
  <c r="V401" i="6"/>
  <c r="U401" i="6"/>
  <c r="V402" i="6"/>
  <c r="T407" i="6"/>
  <c r="A410" i="7"/>
  <c r="W410" i="6"/>
  <c r="E410" i="7" s="1"/>
  <c r="U410" i="6"/>
  <c r="T410" i="6"/>
  <c r="S410" i="6"/>
  <c r="V410" i="6"/>
  <c r="R410" i="6"/>
  <c r="D410" i="7" s="1"/>
  <c r="C410" i="6"/>
  <c r="C410" i="7" s="1"/>
  <c r="A440" i="7"/>
  <c r="T440" i="6"/>
  <c r="B440" i="6"/>
  <c r="C440" i="6"/>
  <c r="C440" i="7" s="1"/>
  <c r="W440" i="6"/>
  <c r="E440" i="7" s="1"/>
  <c r="U440" i="6"/>
  <c r="V440" i="6"/>
  <c r="S440" i="6"/>
  <c r="R440" i="6"/>
  <c r="D440" i="7" s="1"/>
  <c r="H262" i="7"/>
  <c r="F262" i="7"/>
  <c r="G262" i="7" s="1"/>
  <c r="H264" i="7"/>
  <c r="F264" i="7"/>
  <c r="G264" i="7" s="1"/>
  <c r="H266" i="7"/>
  <c r="F266" i="7"/>
  <c r="G266" i="7" s="1"/>
  <c r="H268" i="7"/>
  <c r="F268" i="7"/>
  <c r="G268" i="7" s="1"/>
  <c r="H270" i="7"/>
  <c r="F270" i="7"/>
  <c r="G270" i="7" s="1"/>
  <c r="H272" i="7"/>
  <c r="F272" i="7"/>
  <c r="G272" i="7" s="1"/>
  <c r="H274" i="7"/>
  <c r="F274" i="7"/>
  <c r="G274" i="7" s="1"/>
  <c r="H276" i="7"/>
  <c r="F276" i="7"/>
  <c r="G276" i="7" s="1"/>
  <c r="H278" i="7"/>
  <c r="F278" i="7"/>
  <c r="G278" i="7" s="1"/>
  <c r="H280" i="7"/>
  <c r="F280" i="7"/>
  <c r="G280" i="7" s="1"/>
  <c r="H282" i="7"/>
  <c r="F282" i="7"/>
  <c r="G282" i="7" s="1"/>
  <c r="H284" i="7"/>
  <c r="F284" i="7"/>
  <c r="G284" i="7" s="1"/>
  <c r="H286" i="7"/>
  <c r="F286" i="7"/>
  <c r="G286" i="7" s="1"/>
  <c r="H288" i="7"/>
  <c r="F288" i="7"/>
  <c r="G288" i="7" s="1"/>
  <c r="H290" i="7"/>
  <c r="F290" i="7"/>
  <c r="G290" i="7" s="1"/>
  <c r="H292" i="7"/>
  <c r="F292" i="7"/>
  <c r="G292" i="7" s="1"/>
  <c r="H294" i="7"/>
  <c r="F294" i="7"/>
  <c r="G294" i="7" s="1"/>
  <c r="F296" i="7"/>
  <c r="G296" i="7" s="1"/>
  <c r="H296" i="7"/>
  <c r="H298" i="7"/>
  <c r="F298" i="7"/>
  <c r="G298" i="7" s="1"/>
  <c r="S300" i="6"/>
  <c r="B301" i="6"/>
  <c r="A306" i="7"/>
  <c r="C306" i="6"/>
  <c r="C306" i="7" s="1"/>
  <c r="AF307" i="6"/>
  <c r="S308" i="6"/>
  <c r="B309" i="6"/>
  <c r="V310" i="6"/>
  <c r="A314" i="7"/>
  <c r="C314" i="6"/>
  <c r="C314" i="7" s="1"/>
  <c r="AF315" i="6"/>
  <c r="S316" i="6"/>
  <c r="B317" i="6"/>
  <c r="V318" i="6"/>
  <c r="A322" i="7"/>
  <c r="C322" i="6"/>
  <c r="C322" i="7" s="1"/>
  <c r="AF323" i="6"/>
  <c r="S324" i="6"/>
  <c r="B325" i="6"/>
  <c r="V326" i="6"/>
  <c r="AF329" i="6"/>
  <c r="A331" i="7"/>
  <c r="U331" i="6"/>
  <c r="R331" i="6"/>
  <c r="D331" i="7" s="1"/>
  <c r="AF333" i="6"/>
  <c r="A335" i="7"/>
  <c r="U335" i="6"/>
  <c r="R335" i="6"/>
  <c r="D335" i="7" s="1"/>
  <c r="AF337" i="6"/>
  <c r="A339" i="7"/>
  <c r="U339" i="6"/>
  <c r="R339" i="6"/>
  <c r="D339" i="7" s="1"/>
  <c r="T343" i="6"/>
  <c r="B346" i="7"/>
  <c r="AF346" i="6"/>
  <c r="T355" i="6"/>
  <c r="B358" i="7"/>
  <c r="AF358" i="6"/>
  <c r="B370" i="7"/>
  <c r="AF370" i="6"/>
  <c r="AF379" i="6"/>
  <c r="S396" i="6"/>
  <c r="T300" i="6"/>
  <c r="C301" i="6"/>
  <c r="C301" i="7" s="1"/>
  <c r="R303" i="6"/>
  <c r="D303" i="7" s="1"/>
  <c r="T308" i="6"/>
  <c r="C309" i="6"/>
  <c r="C309" i="7" s="1"/>
  <c r="W310" i="6"/>
  <c r="E310" i="7" s="1"/>
  <c r="R311" i="6"/>
  <c r="D311" i="7" s="1"/>
  <c r="T316" i="6"/>
  <c r="C317" i="6"/>
  <c r="C317" i="7" s="1"/>
  <c r="W318" i="6"/>
  <c r="E318" i="7" s="1"/>
  <c r="R319" i="6"/>
  <c r="D319" i="7" s="1"/>
  <c r="T324" i="6"/>
  <c r="C325" i="6"/>
  <c r="C325" i="7" s="1"/>
  <c r="W326" i="6"/>
  <c r="E326" i="7" s="1"/>
  <c r="R327" i="6"/>
  <c r="D327" i="7" s="1"/>
  <c r="B328" i="6"/>
  <c r="B332" i="6"/>
  <c r="B336" i="6"/>
  <c r="W343" i="6"/>
  <c r="E343" i="7" s="1"/>
  <c r="S345" i="6"/>
  <c r="A347" i="7"/>
  <c r="V347" i="6"/>
  <c r="U347" i="6"/>
  <c r="R347" i="6"/>
  <c r="D347" i="7" s="1"/>
  <c r="C347" i="6"/>
  <c r="C347" i="7" s="1"/>
  <c r="W355" i="6"/>
  <c r="E355" i="7" s="1"/>
  <c r="S357" i="6"/>
  <c r="A359" i="7"/>
  <c r="V359" i="6"/>
  <c r="U359" i="6"/>
  <c r="R359" i="6"/>
  <c r="D359" i="7" s="1"/>
  <c r="C359" i="6"/>
  <c r="C359" i="7" s="1"/>
  <c r="A384" i="7"/>
  <c r="U384" i="6"/>
  <c r="C384" i="6"/>
  <c r="C384" i="7" s="1"/>
  <c r="B384" i="6"/>
  <c r="V384" i="6"/>
  <c r="T384" i="6"/>
  <c r="B394" i="7"/>
  <c r="AF394" i="6"/>
  <c r="S395" i="6"/>
  <c r="S401" i="6"/>
  <c r="A412" i="7"/>
  <c r="W412" i="6"/>
  <c r="E412" i="7" s="1"/>
  <c r="U412" i="6"/>
  <c r="T412" i="6"/>
  <c r="S412" i="6"/>
  <c r="C412" i="6"/>
  <c r="C412" i="7" s="1"/>
  <c r="B412" i="6"/>
  <c r="A424" i="7"/>
  <c r="W424" i="6"/>
  <c r="E424" i="7" s="1"/>
  <c r="U424" i="6"/>
  <c r="T424" i="6"/>
  <c r="S424" i="6"/>
  <c r="A436" i="7"/>
  <c r="W436" i="6"/>
  <c r="E436" i="7" s="1"/>
  <c r="U436" i="6"/>
  <c r="T436" i="6"/>
  <c r="S436" i="6"/>
  <c r="A441" i="7"/>
  <c r="B441" i="6"/>
  <c r="T441" i="6"/>
  <c r="V441" i="6"/>
  <c r="U441" i="6"/>
  <c r="S441" i="6"/>
  <c r="R376" i="6"/>
  <c r="D376" i="7" s="1"/>
  <c r="A379" i="7"/>
  <c r="C379" i="6"/>
  <c r="C379" i="7" s="1"/>
  <c r="AF380" i="6"/>
  <c r="T386" i="6"/>
  <c r="A387" i="7"/>
  <c r="C387" i="6"/>
  <c r="C387" i="7" s="1"/>
  <c r="AF388" i="6"/>
  <c r="R394" i="6"/>
  <c r="D394" i="7" s="1"/>
  <c r="R400" i="6"/>
  <c r="D400" i="7" s="1"/>
  <c r="A409" i="7"/>
  <c r="R409" i="6"/>
  <c r="D409" i="7" s="1"/>
  <c r="C409" i="6"/>
  <c r="C409" i="7" s="1"/>
  <c r="B409" i="6"/>
  <c r="W409" i="6"/>
  <c r="E409" i="7" s="1"/>
  <c r="A421" i="7"/>
  <c r="R421" i="6"/>
  <c r="D421" i="7" s="1"/>
  <c r="C421" i="6"/>
  <c r="C421" i="7" s="1"/>
  <c r="B421" i="6"/>
  <c r="W421" i="6"/>
  <c r="E421" i="7" s="1"/>
  <c r="A433" i="7"/>
  <c r="R433" i="6"/>
  <c r="D433" i="7" s="1"/>
  <c r="C433" i="6"/>
  <c r="C433" i="7" s="1"/>
  <c r="B433" i="6"/>
  <c r="W433" i="6"/>
  <c r="E433" i="7" s="1"/>
  <c r="A455" i="7"/>
  <c r="B455" i="6"/>
  <c r="T455" i="6"/>
  <c r="R455" i="6"/>
  <c r="D455" i="7" s="1"/>
  <c r="C455" i="6"/>
  <c r="C455" i="7" s="1"/>
  <c r="W455" i="6"/>
  <c r="E455" i="7" s="1"/>
  <c r="A459" i="7"/>
  <c r="B459" i="6"/>
  <c r="T459" i="6"/>
  <c r="R459" i="6"/>
  <c r="D459" i="7" s="1"/>
  <c r="C459" i="6"/>
  <c r="C459" i="7" s="1"/>
  <c r="W459" i="6"/>
  <c r="E459" i="7" s="1"/>
  <c r="A463" i="7"/>
  <c r="B463" i="6"/>
  <c r="T463" i="6"/>
  <c r="R463" i="6"/>
  <c r="D463" i="7" s="1"/>
  <c r="C463" i="6"/>
  <c r="C463" i="7" s="1"/>
  <c r="W463" i="6"/>
  <c r="E463" i="7" s="1"/>
  <c r="A467" i="7"/>
  <c r="B467" i="6"/>
  <c r="T467" i="6"/>
  <c r="R467" i="6"/>
  <c r="D467" i="7" s="1"/>
  <c r="C467" i="6"/>
  <c r="C467" i="7" s="1"/>
  <c r="W467" i="6"/>
  <c r="E467" i="7" s="1"/>
  <c r="A471" i="7"/>
  <c r="B471" i="6"/>
  <c r="T471" i="6"/>
  <c r="R471" i="6"/>
  <c r="D471" i="7" s="1"/>
  <c r="C471" i="6"/>
  <c r="C471" i="7" s="1"/>
  <c r="W471" i="6"/>
  <c r="E471" i="7" s="1"/>
  <c r="A475" i="7"/>
  <c r="B475" i="6"/>
  <c r="T475" i="6"/>
  <c r="R475" i="6"/>
  <c r="D475" i="7" s="1"/>
  <c r="C475" i="6"/>
  <c r="C475" i="7" s="1"/>
  <c r="W475" i="6"/>
  <c r="E475" i="7" s="1"/>
  <c r="A479" i="7"/>
  <c r="B479" i="6"/>
  <c r="T479" i="6"/>
  <c r="R479" i="6"/>
  <c r="D479" i="7" s="1"/>
  <c r="C479" i="6"/>
  <c r="C479" i="7" s="1"/>
  <c r="W479" i="6"/>
  <c r="E479" i="7" s="1"/>
  <c r="A483" i="7"/>
  <c r="B483" i="6"/>
  <c r="T483" i="6"/>
  <c r="R483" i="6"/>
  <c r="D483" i="7" s="1"/>
  <c r="C483" i="6"/>
  <c r="C483" i="7" s="1"/>
  <c r="W483" i="6"/>
  <c r="E483" i="7" s="1"/>
  <c r="A487" i="7"/>
  <c r="B487" i="6"/>
  <c r="T487" i="6"/>
  <c r="R487" i="6"/>
  <c r="D487" i="7" s="1"/>
  <c r="C487" i="6"/>
  <c r="C487" i="7" s="1"/>
  <c r="W487" i="6"/>
  <c r="E487" i="7" s="1"/>
  <c r="A491" i="7"/>
  <c r="B491" i="6"/>
  <c r="T491" i="6"/>
  <c r="R491" i="6"/>
  <c r="D491" i="7" s="1"/>
  <c r="C491" i="6"/>
  <c r="C491" i="7" s="1"/>
  <c r="W491" i="6"/>
  <c r="E491" i="7" s="1"/>
  <c r="A495" i="7"/>
  <c r="B495" i="6"/>
  <c r="T495" i="6"/>
  <c r="R495" i="6"/>
  <c r="D495" i="7" s="1"/>
  <c r="C495" i="6"/>
  <c r="C495" i="7" s="1"/>
  <c r="W495" i="6"/>
  <c r="E495" i="7" s="1"/>
  <c r="A499" i="7"/>
  <c r="B499" i="6"/>
  <c r="T499" i="6"/>
  <c r="R499" i="6"/>
  <c r="D499" i="7" s="1"/>
  <c r="C499" i="6"/>
  <c r="C499" i="7" s="1"/>
  <c r="W499" i="6"/>
  <c r="E499" i="7" s="1"/>
  <c r="V499" i="6"/>
  <c r="C361" i="6"/>
  <c r="C361" i="7" s="1"/>
  <c r="C363" i="6"/>
  <c r="C363" i="7" s="1"/>
  <c r="C365" i="6"/>
  <c r="C365" i="7" s="1"/>
  <c r="C367" i="6"/>
  <c r="C367" i="7" s="1"/>
  <c r="C369" i="6"/>
  <c r="C369" i="7" s="1"/>
  <c r="C371" i="6"/>
  <c r="C371" i="7" s="1"/>
  <c r="C373" i="6"/>
  <c r="C373" i="7" s="1"/>
  <c r="C375" i="6"/>
  <c r="C375" i="7" s="1"/>
  <c r="A377" i="7"/>
  <c r="C377" i="6"/>
  <c r="C377" i="7" s="1"/>
  <c r="A385" i="7"/>
  <c r="C385" i="6"/>
  <c r="C385" i="7" s="1"/>
  <c r="A391" i="7"/>
  <c r="R391" i="6"/>
  <c r="D391" i="7" s="1"/>
  <c r="C391" i="6"/>
  <c r="C391" i="7" s="1"/>
  <c r="B391" i="6"/>
  <c r="B396" i="7"/>
  <c r="AF396" i="6"/>
  <c r="A397" i="7"/>
  <c r="R397" i="6"/>
  <c r="D397" i="7" s="1"/>
  <c r="C397" i="6"/>
  <c r="C397" i="7" s="1"/>
  <c r="B397" i="6"/>
  <c r="B402" i="7"/>
  <c r="AF402" i="6"/>
  <c r="A408" i="7"/>
  <c r="W408" i="6"/>
  <c r="E408" i="7" s="1"/>
  <c r="U408" i="6"/>
  <c r="T408" i="6"/>
  <c r="S408" i="6"/>
  <c r="A420" i="7"/>
  <c r="W420" i="6"/>
  <c r="E420" i="7" s="1"/>
  <c r="U420" i="6"/>
  <c r="T420" i="6"/>
  <c r="S420" i="6"/>
  <c r="A432" i="7"/>
  <c r="W432" i="6"/>
  <c r="E432" i="7" s="1"/>
  <c r="U432" i="6"/>
  <c r="T432" i="6"/>
  <c r="S432" i="6"/>
  <c r="B440" i="7"/>
  <c r="AF440" i="6"/>
  <c r="A449" i="7"/>
  <c r="B449" i="6"/>
  <c r="T449" i="6"/>
  <c r="V449" i="6"/>
  <c r="U449" i="6"/>
  <c r="S449" i="6"/>
  <c r="U499" i="6"/>
  <c r="H361" i="7"/>
  <c r="F361" i="7"/>
  <c r="G361" i="7" s="1"/>
  <c r="F363" i="7"/>
  <c r="G363" i="7" s="1"/>
  <c r="H363" i="7"/>
  <c r="H365" i="7"/>
  <c r="F365" i="7"/>
  <c r="G365" i="7" s="1"/>
  <c r="H367" i="7"/>
  <c r="F367" i="7"/>
  <c r="G367" i="7" s="1"/>
  <c r="F369" i="7"/>
  <c r="G369" i="7" s="1"/>
  <c r="H369" i="7"/>
  <c r="H371" i="7"/>
  <c r="F371" i="7"/>
  <c r="G371" i="7" s="1"/>
  <c r="H373" i="7"/>
  <c r="F373" i="7"/>
  <c r="G373" i="7" s="1"/>
  <c r="F375" i="7"/>
  <c r="G375" i="7" s="1"/>
  <c r="H375" i="7"/>
  <c r="A404" i="7"/>
  <c r="U404" i="6"/>
  <c r="T404" i="6"/>
  <c r="S404" i="6"/>
  <c r="A406" i="7"/>
  <c r="U406" i="6"/>
  <c r="T406" i="6"/>
  <c r="S406" i="6"/>
  <c r="A417" i="7"/>
  <c r="R417" i="6"/>
  <c r="D417" i="7" s="1"/>
  <c r="C417" i="6"/>
  <c r="C417" i="7" s="1"/>
  <c r="B417" i="6"/>
  <c r="W417" i="6"/>
  <c r="E417" i="7" s="1"/>
  <c r="A429" i="7"/>
  <c r="R429" i="6"/>
  <c r="D429" i="7" s="1"/>
  <c r="C429" i="6"/>
  <c r="C429" i="7" s="1"/>
  <c r="B429" i="6"/>
  <c r="W429" i="6"/>
  <c r="E429" i="7" s="1"/>
  <c r="A444" i="7"/>
  <c r="T444" i="6"/>
  <c r="B444" i="6"/>
  <c r="C444" i="6"/>
  <c r="C444" i="7" s="1"/>
  <c r="W444" i="6"/>
  <c r="E444" i="7" s="1"/>
  <c r="U444" i="6"/>
  <c r="A439" i="7"/>
  <c r="T439" i="6"/>
  <c r="R439" i="6"/>
  <c r="D439" i="7" s="1"/>
  <c r="C439" i="6"/>
  <c r="C439" i="7" s="1"/>
  <c r="B439" i="6"/>
  <c r="B444" i="7"/>
  <c r="AF444" i="6"/>
  <c r="R449" i="6"/>
  <c r="D449" i="7" s="1"/>
  <c r="A453" i="7"/>
  <c r="B453" i="6"/>
  <c r="T453" i="6"/>
  <c r="V453" i="6"/>
  <c r="U453" i="6"/>
  <c r="S453" i="6"/>
  <c r="R361" i="6"/>
  <c r="D361" i="7" s="1"/>
  <c r="R363" i="6"/>
  <c r="D363" i="7" s="1"/>
  <c r="R365" i="6"/>
  <c r="D365" i="7" s="1"/>
  <c r="R367" i="6"/>
  <c r="D367" i="7" s="1"/>
  <c r="R369" i="6"/>
  <c r="D369" i="7" s="1"/>
  <c r="R371" i="6"/>
  <c r="D371" i="7" s="1"/>
  <c r="R373" i="6"/>
  <c r="D373" i="7" s="1"/>
  <c r="R375" i="6"/>
  <c r="D375" i="7" s="1"/>
  <c r="S377" i="6"/>
  <c r="A383" i="7"/>
  <c r="C383" i="6"/>
  <c r="C383" i="7" s="1"/>
  <c r="S385" i="6"/>
  <c r="B386" i="6"/>
  <c r="T391" i="6"/>
  <c r="A392" i="7"/>
  <c r="U392" i="6"/>
  <c r="T392" i="6"/>
  <c r="T397" i="6"/>
  <c r="A398" i="7"/>
  <c r="U398" i="6"/>
  <c r="T398" i="6"/>
  <c r="R404" i="6"/>
  <c r="D404" i="7" s="1"/>
  <c r="R406" i="6"/>
  <c r="D406" i="7" s="1"/>
  <c r="V408" i="6"/>
  <c r="A415" i="7"/>
  <c r="R415" i="6"/>
  <c r="D415" i="7" s="1"/>
  <c r="C415" i="6"/>
  <c r="C415" i="7" s="1"/>
  <c r="B415" i="6"/>
  <c r="W415" i="6"/>
  <c r="E415" i="7" s="1"/>
  <c r="S417" i="6"/>
  <c r="V420" i="6"/>
  <c r="A427" i="7"/>
  <c r="R427" i="6"/>
  <c r="D427" i="7" s="1"/>
  <c r="C427" i="6"/>
  <c r="C427" i="7" s="1"/>
  <c r="B427" i="6"/>
  <c r="W427" i="6"/>
  <c r="E427" i="7" s="1"/>
  <c r="S429" i="6"/>
  <c r="V432" i="6"/>
  <c r="A443" i="7"/>
  <c r="B443" i="6"/>
  <c r="T443" i="6"/>
  <c r="R443" i="6"/>
  <c r="D443" i="7" s="1"/>
  <c r="C443" i="6"/>
  <c r="C443" i="7" s="1"/>
  <c r="R444" i="6"/>
  <c r="D444" i="7" s="1"/>
  <c r="A448" i="7"/>
  <c r="T448" i="6"/>
  <c r="B448" i="6"/>
  <c r="C448" i="6"/>
  <c r="C448" i="7" s="1"/>
  <c r="W448" i="6"/>
  <c r="E448" i="7" s="1"/>
  <c r="U448" i="6"/>
  <c r="W449" i="6"/>
  <c r="E449" i="7" s="1"/>
  <c r="B392" i="7"/>
  <c r="AF392" i="6"/>
  <c r="A393" i="7"/>
  <c r="R393" i="6"/>
  <c r="D393" i="7" s="1"/>
  <c r="C393" i="6"/>
  <c r="C393" i="7" s="1"/>
  <c r="B393" i="6"/>
  <c r="B398" i="7"/>
  <c r="AF398" i="6"/>
  <c r="A399" i="7"/>
  <c r="R399" i="6"/>
  <c r="D399" i="7" s="1"/>
  <c r="C399" i="6"/>
  <c r="C399" i="7" s="1"/>
  <c r="B399" i="6"/>
  <c r="A416" i="7"/>
  <c r="W416" i="6"/>
  <c r="E416" i="7" s="1"/>
  <c r="U416" i="6"/>
  <c r="T416" i="6"/>
  <c r="S416" i="6"/>
  <c r="A428" i="7"/>
  <c r="W428" i="6"/>
  <c r="E428" i="7" s="1"/>
  <c r="U428" i="6"/>
  <c r="T428" i="6"/>
  <c r="S428" i="6"/>
  <c r="B448" i="7"/>
  <c r="AF448" i="6"/>
  <c r="A386" i="7"/>
  <c r="U386" i="6"/>
  <c r="W404" i="6"/>
  <c r="E404" i="7" s="1"/>
  <c r="AF405" i="6"/>
  <c r="W406" i="6"/>
  <c r="E406" i="7" s="1"/>
  <c r="A413" i="7"/>
  <c r="R413" i="6"/>
  <c r="D413" i="7" s="1"/>
  <c r="C413" i="6"/>
  <c r="C413" i="7" s="1"/>
  <c r="B413" i="6"/>
  <c r="W413" i="6"/>
  <c r="E413" i="7" s="1"/>
  <c r="U417" i="6"/>
  <c r="A425" i="7"/>
  <c r="R425" i="6"/>
  <c r="D425" i="7" s="1"/>
  <c r="C425" i="6"/>
  <c r="C425" i="7" s="1"/>
  <c r="B425" i="6"/>
  <c r="W425" i="6"/>
  <c r="E425" i="7" s="1"/>
  <c r="U429" i="6"/>
  <c r="A437" i="7"/>
  <c r="R437" i="6"/>
  <c r="D437" i="7" s="1"/>
  <c r="C437" i="6"/>
  <c r="C437" i="7" s="1"/>
  <c r="B437" i="6"/>
  <c r="W437" i="6"/>
  <c r="E437" i="7" s="1"/>
  <c r="A438" i="7"/>
  <c r="W438" i="6"/>
  <c r="E438" i="7" s="1"/>
  <c r="U438" i="6"/>
  <c r="T438" i="6"/>
  <c r="S438" i="6"/>
  <c r="U439" i="6"/>
  <c r="S443" i="6"/>
  <c r="V444" i="6"/>
  <c r="A447" i="7"/>
  <c r="B447" i="6"/>
  <c r="T447" i="6"/>
  <c r="R447" i="6"/>
  <c r="D447" i="7" s="1"/>
  <c r="C447" i="6"/>
  <c r="C447" i="7" s="1"/>
  <c r="R448" i="6"/>
  <c r="D448" i="7" s="1"/>
  <c r="A452" i="7"/>
  <c r="T452" i="6"/>
  <c r="B452" i="6"/>
  <c r="C452" i="6"/>
  <c r="C452" i="7" s="1"/>
  <c r="W452" i="6"/>
  <c r="E452" i="7" s="1"/>
  <c r="U452" i="6"/>
  <c r="W453" i="6"/>
  <c r="E453" i="7" s="1"/>
  <c r="C340" i="6"/>
  <c r="C340" i="7" s="1"/>
  <c r="C342" i="6"/>
  <c r="C342" i="7" s="1"/>
  <c r="C344" i="6"/>
  <c r="C344" i="7" s="1"/>
  <c r="C346" i="6"/>
  <c r="C346" i="7" s="1"/>
  <c r="C348" i="6"/>
  <c r="C348" i="7" s="1"/>
  <c r="C350" i="6"/>
  <c r="C350" i="7" s="1"/>
  <c r="C352" i="6"/>
  <c r="C352" i="7" s="1"/>
  <c r="C354" i="6"/>
  <c r="C354" i="7" s="1"/>
  <c r="C356" i="6"/>
  <c r="C356" i="7" s="1"/>
  <c r="C358" i="6"/>
  <c r="C358" i="7" s="1"/>
  <c r="C360" i="6"/>
  <c r="C360" i="7" s="1"/>
  <c r="U361" i="6"/>
  <c r="C362" i="6"/>
  <c r="C362" i="7" s="1"/>
  <c r="U363" i="6"/>
  <c r="C364" i="6"/>
  <c r="C364" i="7" s="1"/>
  <c r="U365" i="6"/>
  <c r="C366" i="6"/>
  <c r="C366" i="7" s="1"/>
  <c r="U367" i="6"/>
  <c r="C368" i="6"/>
  <c r="C368" i="7" s="1"/>
  <c r="U369" i="6"/>
  <c r="C370" i="6"/>
  <c r="C370" i="7" s="1"/>
  <c r="U371" i="6"/>
  <c r="C372" i="6"/>
  <c r="C372" i="7" s="1"/>
  <c r="U373" i="6"/>
  <c r="C374" i="6"/>
  <c r="C374" i="7" s="1"/>
  <c r="U375" i="6"/>
  <c r="C376" i="6"/>
  <c r="C376" i="7" s="1"/>
  <c r="V377" i="6"/>
  <c r="A381" i="7"/>
  <c r="C381" i="6"/>
  <c r="C381" i="7" s="1"/>
  <c r="AF382" i="6"/>
  <c r="S383" i="6"/>
  <c r="V385" i="6"/>
  <c r="A389" i="7"/>
  <c r="C389" i="6"/>
  <c r="C389" i="7" s="1"/>
  <c r="W391" i="6"/>
  <c r="E391" i="7" s="1"/>
  <c r="S392" i="6"/>
  <c r="S393" i="6"/>
  <c r="W397" i="6"/>
  <c r="E397" i="7" s="1"/>
  <c r="S398" i="6"/>
  <c r="S399" i="6"/>
  <c r="A414" i="7"/>
  <c r="W414" i="6"/>
  <c r="E414" i="7" s="1"/>
  <c r="U414" i="6"/>
  <c r="T414" i="6"/>
  <c r="S414" i="6"/>
  <c r="T415" i="6"/>
  <c r="R416" i="6"/>
  <c r="D416" i="7" s="1"/>
  <c r="V417" i="6"/>
  <c r="B424" i="6"/>
  <c r="A426" i="7"/>
  <c r="W426" i="6"/>
  <c r="E426" i="7" s="1"/>
  <c r="U426" i="6"/>
  <c r="T426" i="6"/>
  <c r="S426" i="6"/>
  <c r="T427" i="6"/>
  <c r="R428" i="6"/>
  <c r="D428" i="7" s="1"/>
  <c r="V429" i="6"/>
  <c r="B436" i="6"/>
  <c r="V439" i="6"/>
  <c r="U443" i="6"/>
  <c r="S448" i="6"/>
  <c r="B452" i="7"/>
  <c r="AF452" i="6"/>
  <c r="A456" i="7"/>
  <c r="T456" i="6"/>
  <c r="B456" i="6"/>
  <c r="C456" i="6"/>
  <c r="C456" i="7" s="1"/>
  <c r="W456" i="6"/>
  <c r="E456" i="7" s="1"/>
  <c r="U456" i="6"/>
  <c r="S456" i="6"/>
  <c r="A460" i="7"/>
  <c r="T460" i="6"/>
  <c r="B460" i="6"/>
  <c r="C460" i="6"/>
  <c r="C460" i="7" s="1"/>
  <c r="W460" i="6"/>
  <c r="E460" i="7" s="1"/>
  <c r="U460" i="6"/>
  <c r="S460" i="6"/>
  <c r="A464" i="7"/>
  <c r="T464" i="6"/>
  <c r="B464" i="6"/>
  <c r="C464" i="6"/>
  <c r="C464" i="7" s="1"/>
  <c r="W464" i="6"/>
  <c r="E464" i="7" s="1"/>
  <c r="U464" i="6"/>
  <c r="S464" i="6"/>
  <c r="A468" i="7"/>
  <c r="T468" i="6"/>
  <c r="B468" i="6"/>
  <c r="C468" i="6"/>
  <c r="C468" i="7" s="1"/>
  <c r="W468" i="6"/>
  <c r="E468" i="7" s="1"/>
  <c r="U468" i="6"/>
  <c r="S468" i="6"/>
  <c r="A472" i="7"/>
  <c r="T472" i="6"/>
  <c r="B472" i="6"/>
  <c r="C472" i="6"/>
  <c r="C472" i="7" s="1"/>
  <c r="W472" i="6"/>
  <c r="E472" i="7" s="1"/>
  <c r="U472" i="6"/>
  <c r="S472" i="6"/>
  <c r="A476" i="7"/>
  <c r="T476" i="6"/>
  <c r="B476" i="6"/>
  <c r="C476" i="6"/>
  <c r="C476" i="7" s="1"/>
  <c r="W476" i="6"/>
  <c r="E476" i="7" s="1"/>
  <c r="U476" i="6"/>
  <c r="S476" i="6"/>
  <c r="A480" i="7"/>
  <c r="T480" i="6"/>
  <c r="B480" i="6"/>
  <c r="C480" i="6"/>
  <c r="C480" i="7" s="1"/>
  <c r="W480" i="6"/>
  <c r="E480" i="7" s="1"/>
  <c r="U480" i="6"/>
  <c r="S480" i="6"/>
  <c r="A484" i="7"/>
  <c r="T484" i="6"/>
  <c r="B484" i="6"/>
  <c r="C484" i="6"/>
  <c r="C484" i="7" s="1"/>
  <c r="W484" i="6"/>
  <c r="E484" i="7" s="1"/>
  <c r="U484" i="6"/>
  <c r="S484" i="6"/>
  <c r="A488" i="7"/>
  <c r="T488" i="6"/>
  <c r="B488" i="6"/>
  <c r="C488" i="6"/>
  <c r="C488" i="7" s="1"/>
  <c r="W488" i="6"/>
  <c r="E488" i="7" s="1"/>
  <c r="U488" i="6"/>
  <c r="S488" i="6"/>
  <c r="A492" i="7"/>
  <c r="T492" i="6"/>
  <c r="B492" i="6"/>
  <c r="C492" i="6"/>
  <c r="C492" i="7" s="1"/>
  <c r="W492" i="6"/>
  <c r="E492" i="7" s="1"/>
  <c r="U492" i="6"/>
  <c r="S492" i="6"/>
  <c r="A496" i="7"/>
  <c r="T496" i="6"/>
  <c r="B496" i="6"/>
  <c r="C496" i="6"/>
  <c r="C496" i="7" s="1"/>
  <c r="W496" i="6"/>
  <c r="E496" i="7" s="1"/>
  <c r="U496" i="6"/>
  <c r="S496" i="6"/>
  <c r="H342" i="7"/>
  <c r="F342" i="7"/>
  <c r="G342" i="7" s="1"/>
  <c r="H344" i="7"/>
  <c r="F344" i="7"/>
  <c r="G344" i="7" s="1"/>
  <c r="H346" i="7"/>
  <c r="F346" i="7"/>
  <c r="G346" i="7" s="1"/>
  <c r="H348" i="7"/>
  <c r="F348" i="7"/>
  <c r="G348" i="7" s="1"/>
  <c r="H350" i="7"/>
  <c r="F350" i="7"/>
  <c r="G350" i="7" s="1"/>
  <c r="H352" i="7"/>
  <c r="F352" i="7"/>
  <c r="G352" i="7" s="1"/>
  <c r="H354" i="7"/>
  <c r="F354" i="7"/>
  <c r="G354" i="7" s="1"/>
  <c r="H356" i="7"/>
  <c r="F356" i="7"/>
  <c r="G356" i="7" s="1"/>
  <c r="H358" i="7"/>
  <c r="F358" i="7"/>
  <c r="G358" i="7" s="1"/>
  <c r="H360" i="7"/>
  <c r="F360" i="7"/>
  <c r="G360" i="7" s="1"/>
  <c r="V361" i="6"/>
  <c r="H362" i="7"/>
  <c r="F362" i="7"/>
  <c r="G362" i="7" s="1"/>
  <c r="V363" i="6"/>
  <c r="H364" i="7"/>
  <c r="F364" i="7"/>
  <c r="G364" i="7" s="1"/>
  <c r="V365" i="6"/>
  <c r="H366" i="7"/>
  <c r="F366" i="7"/>
  <c r="G366" i="7" s="1"/>
  <c r="V367" i="6"/>
  <c r="H368" i="7"/>
  <c r="F368" i="7"/>
  <c r="G368" i="7" s="1"/>
  <c r="V369" i="6"/>
  <c r="H370" i="7"/>
  <c r="F370" i="7"/>
  <c r="G370" i="7" s="1"/>
  <c r="V371" i="6"/>
  <c r="H372" i="7"/>
  <c r="F372" i="7"/>
  <c r="G372" i="7" s="1"/>
  <c r="V373" i="6"/>
  <c r="H374" i="7"/>
  <c r="F374" i="7"/>
  <c r="G374" i="7" s="1"/>
  <c r="V375" i="6"/>
  <c r="H376" i="7"/>
  <c r="F376" i="7"/>
  <c r="G376" i="7" s="1"/>
  <c r="W377" i="6"/>
  <c r="E377" i="7" s="1"/>
  <c r="T383" i="6"/>
  <c r="W385" i="6"/>
  <c r="E385" i="7" s="1"/>
  <c r="R386" i="6"/>
  <c r="D386" i="7" s="1"/>
  <c r="AF391" i="6"/>
  <c r="T393" i="6"/>
  <c r="A394" i="7"/>
  <c r="U394" i="6"/>
  <c r="T394" i="6"/>
  <c r="AF397" i="6"/>
  <c r="V398" i="6"/>
  <c r="T399" i="6"/>
  <c r="A400" i="7"/>
  <c r="U400" i="6"/>
  <c r="T400" i="6"/>
  <c r="A411" i="7"/>
  <c r="R411" i="6"/>
  <c r="D411" i="7" s="1"/>
  <c r="C411" i="6"/>
  <c r="C411" i="7" s="1"/>
  <c r="B411" i="6"/>
  <c r="W411" i="6"/>
  <c r="E411" i="7" s="1"/>
  <c r="S413" i="6"/>
  <c r="U415" i="6"/>
  <c r="V416" i="6"/>
  <c r="A423" i="7"/>
  <c r="R423" i="6"/>
  <c r="D423" i="7" s="1"/>
  <c r="C423" i="6"/>
  <c r="C423" i="7" s="1"/>
  <c r="B423" i="6"/>
  <c r="W423" i="6"/>
  <c r="E423" i="7" s="1"/>
  <c r="C424" i="6"/>
  <c r="C424" i="7" s="1"/>
  <c r="S425" i="6"/>
  <c r="U427" i="6"/>
  <c r="V428" i="6"/>
  <c r="A435" i="7"/>
  <c r="R435" i="6"/>
  <c r="D435" i="7" s="1"/>
  <c r="C435" i="6"/>
  <c r="C435" i="7" s="1"/>
  <c r="B435" i="6"/>
  <c r="W435" i="6"/>
  <c r="E435" i="7" s="1"/>
  <c r="C436" i="6"/>
  <c r="C436" i="7" s="1"/>
  <c r="S437" i="6"/>
  <c r="W439" i="6"/>
  <c r="E439" i="7" s="1"/>
  <c r="C441" i="6"/>
  <c r="C441" i="7" s="1"/>
  <c r="V443" i="6"/>
  <c r="S447" i="6"/>
  <c r="V448" i="6"/>
  <c r="A451" i="7"/>
  <c r="B451" i="6"/>
  <c r="T451" i="6"/>
  <c r="R451" i="6"/>
  <c r="D451" i="7" s="1"/>
  <c r="C451" i="6"/>
  <c r="C451" i="7" s="1"/>
  <c r="R452" i="6"/>
  <c r="D452" i="7" s="1"/>
  <c r="B456" i="7"/>
  <c r="AF456" i="6"/>
  <c r="B460" i="7"/>
  <c r="AF460" i="6"/>
  <c r="B464" i="7"/>
  <c r="AF464" i="6"/>
  <c r="B468" i="7"/>
  <c r="AF468" i="6"/>
  <c r="B472" i="7"/>
  <c r="AF472" i="6"/>
  <c r="B476" i="7"/>
  <c r="AF476" i="6"/>
  <c r="B480" i="7"/>
  <c r="AF480" i="6"/>
  <c r="B484" i="7"/>
  <c r="AF484" i="6"/>
  <c r="B488" i="7"/>
  <c r="AF488" i="6"/>
  <c r="B492" i="7"/>
  <c r="AF492" i="6"/>
  <c r="B496" i="7"/>
  <c r="AF496" i="6"/>
  <c r="A457" i="7"/>
  <c r="B457" i="6"/>
  <c r="T457" i="6"/>
  <c r="A461" i="7"/>
  <c r="B461" i="6"/>
  <c r="T461" i="6"/>
  <c r="A465" i="7"/>
  <c r="B465" i="6"/>
  <c r="T465" i="6"/>
  <c r="A469" i="7"/>
  <c r="B469" i="6"/>
  <c r="T469" i="6"/>
  <c r="A473" i="7"/>
  <c r="B473" i="6"/>
  <c r="T473" i="6"/>
  <c r="A477" i="7"/>
  <c r="B477" i="6"/>
  <c r="T477" i="6"/>
  <c r="A481" i="7"/>
  <c r="B481" i="6"/>
  <c r="T481" i="6"/>
  <c r="A485" i="7"/>
  <c r="B485" i="6"/>
  <c r="T485" i="6"/>
  <c r="A489" i="7"/>
  <c r="B489" i="6"/>
  <c r="T489" i="6"/>
  <c r="A493" i="7"/>
  <c r="B493" i="6"/>
  <c r="T493" i="6"/>
  <c r="A497" i="7"/>
  <c r="B497" i="6"/>
  <c r="T497" i="6"/>
  <c r="A442" i="7"/>
  <c r="T442" i="6"/>
  <c r="B442" i="6"/>
  <c r="A446" i="7"/>
  <c r="T446" i="6"/>
  <c r="B446" i="6"/>
  <c r="A450" i="7"/>
  <c r="T450" i="6"/>
  <c r="B450" i="6"/>
  <c r="A454" i="7"/>
  <c r="T454" i="6"/>
  <c r="B454" i="6"/>
  <c r="S457" i="6"/>
  <c r="A458" i="7"/>
  <c r="T458" i="6"/>
  <c r="B458" i="6"/>
  <c r="S461" i="6"/>
  <c r="A462" i="7"/>
  <c r="T462" i="6"/>
  <c r="B462" i="6"/>
  <c r="S465" i="6"/>
  <c r="A466" i="7"/>
  <c r="T466" i="6"/>
  <c r="B466" i="6"/>
  <c r="S469" i="6"/>
  <c r="A470" i="7"/>
  <c r="T470" i="6"/>
  <c r="B470" i="6"/>
  <c r="S473" i="6"/>
  <c r="A474" i="7"/>
  <c r="T474" i="6"/>
  <c r="B474" i="6"/>
  <c r="S477" i="6"/>
  <c r="A478" i="7"/>
  <c r="T478" i="6"/>
  <c r="B478" i="6"/>
  <c r="S481" i="6"/>
  <c r="A482" i="7"/>
  <c r="T482" i="6"/>
  <c r="B482" i="6"/>
  <c r="S485" i="6"/>
  <c r="A486" i="7"/>
  <c r="T486" i="6"/>
  <c r="B486" i="6"/>
  <c r="S489" i="6"/>
  <c r="A490" i="7"/>
  <c r="T490" i="6"/>
  <c r="B490" i="6"/>
  <c r="S493" i="6"/>
  <c r="A494" i="7"/>
  <c r="T494" i="6"/>
  <c r="B494" i="6"/>
  <c r="S497" i="6"/>
  <c r="A498" i="7"/>
  <c r="T498" i="6"/>
  <c r="B498" i="6"/>
  <c r="U457" i="6"/>
  <c r="U461" i="6"/>
  <c r="U465" i="6"/>
  <c r="U469" i="6"/>
  <c r="U473" i="6"/>
  <c r="U477" i="6"/>
  <c r="U481" i="6"/>
  <c r="U485" i="6"/>
  <c r="U489" i="6"/>
  <c r="U493" i="6"/>
  <c r="U497" i="6"/>
  <c r="R442" i="6"/>
  <c r="D442" i="7" s="1"/>
  <c r="R446" i="6"/>
  <c r="D446" i="7" s="1"/>
  <c r="R450" i="6"/>
  <c r="D450" i="7" s="1"/>
  <c r="R454" i="6"/>
  <c r="D454" i="7" s="1"/>
  <c r="V457" i="6"/>
  <c r="R458" i="6"/>
  <c r="D458" i="7" s="1"/>
  <c r="V461" i="6"/>
  <c r="R462" i="6"/>
  <c r="D462" i="7" s="1"/>
  <c r="V465" i="6"/>
  <c r="R466" i="6"/>
  <c r="D466" i="7" s="1"/>
  <c r="V469" i="6"/>
  <c r="R470" i="6"/>
  <c r="D470" i="7" s="1"/>
  <c r="V473" i="6"/>
  <c r="R474" i="6"/>
  <c r="D474" i="7" s="1"/>
  <c r="V477" i="6"/>
  <c r="R478" i="6"/>
  <c r="D478" i="7" s="1"/>
  <c r="V481" i="6"/>
  <c r="R482" i="6"/>
  <c r="D482" i="7" s="1"/>
  <c r="V485" i="6"/>
  <c r="R486" i="6"/>
  <c r="D486" i="7" s="1"/>
  <c r="V489" i="6"/>
  <c r="R490" i="6"/>
  <c r="D490" i="7" s="1"/>
  <c r="V493" i="6"/>
  <c r="R494" i="6"/>
  <c r="D494" i="7" s="1"/>
  <c r="V497" i="6"/>
  <c r="R498" i="6"/>
  <c r="D498" i="7" s="1"/>
  <c r="AF441" i="6"/>
  <c r="U442" i="6"/>
  <c r="AF445" i="6"/>
  <c r="U446" i="6"/>
  <c r="AF449" i="6"/>
  <c r="U450" i="6"/>
  <c r="AF453" i="6"/>
  <c r="U454" i="6"/>
  <c r="AF457" i="6"/>
  <c r="U458" i="6"/>
  <c r="AF461" i="6"/>
  <c r="U462" i="6"/>
  <c r="AF465" i="6"/>
  <c r="U466" i="6"/>
  <c r="AF469" i="6"/>
  <c r="U470" i="6"/>
  <c r="AF473" i="6"/>
  <c r="U474" i="6"/>
  <c r="AF477" i="6"/>
  <c r="U478" i="6"/>
  <c r="AF481" i="6"/>
  <c r="U482" i="6"/>
  <c r="AF485" i="6"/>
  <c r="U486" i="6"/>
  <c r="AF489" i="6"/>
  <c r="U490" i="6"/>
  <c r="AF493" i="6"/>
  <c r="U494" i="6"/>
  <c r="AF497" i="6"/>
  <c r="U498" i="6"/>
  <c r="A500" i="7"/>
  <c r="U500" i="6"/>
  <c r="T500" i="6"/>
  <c r="B500" i="6"/>
  <c r="W500" i="6"/>
  <c r="E500" i="7" s="1"/>
  <c r="V500" i="6"/>
  <c r="AF406" i="6"/>
  <c r="AF408" i="6"/>
  <c r="AF410" i="6"/>
  <c r="AF412" i="6"/>
  <c r="AF414" i="6"/>
  <c r="AF416" i="6"/>
  <c r="AF418" i="6"/>
  <c r="AF420" i="6"/>
  <c r="AF422" i="6"/>
  <c r="AF424" i="6"/>
  <c r="AF426" i="6"/>
  <c r="AF428" i="6"/>
  <c r="AF430" i="6"/>
  <c r="AF432" i="6"/>
  <c r="AF434" i="6"/>
  <c r="AF436" i="6"/>
  <c r="AF438" i="6"/>
  <c r="V442" i="6"/>
  <c r="V446" i="6"/>
  <c r="V450" i="6"/>
  <c r="V454" i="6"/>
  <c r="V458" i="6"/>
  <c r="V462" i="6"/>
  <c r="V466" i="6"/>
  <c r="V470" i="6"/>
  <c r="V474" i="6"/>
  <c r="V478" i="6"/>
  <c r="V482" i="6"/>
  <c r="V486" i="6"/>
  <c r="V490" i="6"/>
  <c r="V494" i="6"/>
  <c r="V498" i="6"/>
  <c r="B500" i="7"/>
  <c r="AF500" i="6"/>
  <c r="R500" i="6"/>
  <c r="D500" i="7" s="1"/>
  <c r="B15" i="2" l="1"/>
  <c r="H406" i="7"/>
  <c r="F406" i="7"/>
  <c r="G406" i="7" s="1"/>
  <c r="J272" i="7"/>
  <c r="I272" i="7"/>
  <c r="F260" i="7"/>
  <c r="G260" i="7" s="1"/>
  <c r="H260" i="7"/>
  <c r="H497" i="7"/>
  <c r="F497" i="7"/>
  <c r="G497" i="7" s="1"/>
  <c r="H389" i="7"/>
  <c r="F389" i="7"/>
  <c r="G389" i="7" s="1"/>
  <c r="H450" i="7"/>
  <c r="F450" i="7"/>
  <c r="G450" i="7" s="1"/>
  <c r="H493" i="7"/>
  <c r="F493" i="7"/>
  <c r="G493" i="7" s="1"/>
  <c r="F477" i="7"/>
  <c r="G477" i="7" s="1"/>
  <c r="H477" i="7"/>
  <c r="H461" i="7"/>
  <c r="F461" i="7"/>
  <c r="G461" i="7" s="1"/>
  <c r="F411" i="7"/>
  <c r="G411" i="7" s="1"/>
  <c r="H411" i="7"/>
  <c r="I352" i="7"/>
  <c r="J352" i="7"/>
  <c r="H472" i="7"/>
  <c r="F472" i="7"/>
  <c r="G472" i="7" s="1"/>
  <c r="H398" i="7"/>
  <c r="F398" i="7"/>
  <c r="G398" i="7" s="1"/>
  <c r="F453" i="7"/>
  <c r="G453" i="7" s="1"/>
  <c r="H453" i="7"/>
  <c r="F417" i="7"/>
  <c r="G417" i="7" s="1"/>
  <c r="H417" i="7"/>
  <c r="H408" i="7"/>
  <c r="F408" i="7"/>
  <c r="G408" i="7" s="1"/>
  <c r="H391" i="7"/>
  <c r="F391" i="7"/>
  <c r="G391" i="7" s="1"/>
  <c r="H335" i="7"/>
  <c r="F335" i="7"/>
  <c r="G335" i="7" s="1"/>
  <c r="J288" i="7"/>
  <c r="I288" i="7"/>
  <c r="J276" i="7"/>
  <c r="I276" i="7"/>
  <c r="J264" i="7"/>
  <c r="I264" i="7"/>
  <c r="H440" i="7"/>
  <c r="F440" i="7"/>
  <c r="G440" i="7" s="1"/>
  <c r="H445" i="7"/>
  <c r="F445" i="7"/>
  <c r="G445" i="7" s="1"/>
  <c r="H382" i="7"/>
  <c r="F382" i="7"/>
  <c r="G382" i="7" s="1"/>
  <c r="H304" i="7"/>
  <c r="F304" i="7"/>
  <c r="G304" i="7" s="1"/>
  <c r="F261" i="7"/>
  <c r="G261" i="7" s="1"/>
  <c r="H261" i="7"/>
  <c r="H252" i="7"/>
  <c r="F252" i="7"/>
  <c r="G252" i="7" s="1"/>
  <c r="H378" i="7"/>
  <c r="F378" i="7"/>
  <c r="G378" i="7" s="1"/>
  <c r="H302" i="7"/>
  <c r="F302" i="7"/>
  <c r="G302" i="7" s="1"/>
  <c r="H234" i="7"/>
  <c r="F234" i="7"/>
  <c r="G234" i="7" s="1"/>
  <c r="J158" i="7"/>
  <c r="I158" i="7"/>
  <c r="I139" i="7"/>
  <c r="J139" i="7"/>
  <c r="I127" i="7"/>
  <c r="J127" i="7"/>
  <c r="I115" i="7"/>
  <c r="J115" i="7"/>
  <c r="H240" i="7"/>
  <c r="F240" i="7"/>
  <c r="G240" i="7" s="1"/>
  <c r="H265" i="7"/>
  <c r="F265" i="7"/>
  <c r="G265" i="7" s="1"/>
  <c r="F168" i="7"/>
  <c r="G168" i="7" s="1"/>
  <c r="H168" i="7"/>
  <c r="H208" i="7"/>
  <c r="F208" i="7"/>
  <c r="G208" i="7" s="1"/>
  <c r="H248" i="7"/>
  <c r="F248" i="7"/>
  <c r="G248" i="7" s="1"/>
  <c r="H183" i="7"/>
  <c r="F183" i="7"/>
  <c r="G183" i="7" s="1"/>
  <c r="H87" i="7"/>
  <c r="F87" i="7"/>
  <c r="G87" i="7" s="1"/>
  <c r="H61" i="7"/>
  <c r="F61" i="7"/>
  <c r="G61" i="7" s="1"/>
  <c r="H62" i="7"/>
  <c r="F62" i="7"/>
  <c r="G62" i="7" s="1"/>
  <c r="C17" i="6"/>
  <c r="H128" i="7"/>
  <c r="F128" i="7"/>
  <c r="G128" i="7" s="1"/>
  <c r="H97" i="7"/>
  <c r="F97" i="7"/>
  <c r="G97" i="7" s="1"/>
  <c r="H89" i="7"/>
  <c r="F89" i="7"/>
  <c r="G89" i="7" s="1"/>
  <c r="H134" i="7"/>
  <c r="F134" i="7"/>
  <c r="G134" i="7" s="1"/>
  <c r="H73" i="7"/>
  <c r="F73" i="7"/>
  <c r="G73" i="7" s="1"/>
  <c r="F423" i="7"/>
  <c r="G423" i="7" s="1"/>
  <c r="H423" i="7"/>
  <c r="H396" i="7"/>
  <c r="F396" i="7"/>
  <c r="G396" i="7" s="1"/>
  <c r="J344" i="7"/>
  <c r="I344" i="7"/>
  <c r="H478" i="7"/>
  <c r="F478" i="7"/>
  <c r="G478" i="7" s="1"/>
  <c r="H454" i="7"/>
  <c r="F454" i="7"/>
  <c r="G454" i="7" s="1"/>
  <c r="H498" i="7"/>
  <c r="F498" i="7"/>
  <c r="G498" i="7" s="1"/>
  <c r="H486" i="7"/>
  <c r="F486" i="7"/>
  <c r="G486" i="7" s="1"/>
  <c r="H474" i="7"/>
  <c r="F474" i="7"/>
  <c r="G474" i="7" s="1"/>
  <c r="H462" i="7"/>
  <c r="F462" i="7"/>
  <c r="G462" i="7" s="1"/>
  <c r="I370" i="7"/>
  <c r="J370" i="7"/>
  <c r="J362" i="7"/>
  <c r="I362" i="7"/>
  <c r="H492" i="7"/>
  <c r="F492" i="7"/>
  <c r="G492" i="7" s="1"/>
  <c r="F393" i="7"/>
  <c r="G393" i="7" s="1"/>
  <c r="H393" i="7"/>
  <c r="J371" i="7"/>
  <c r="I371" i="7"/>
  <c r="F495" i="7"/>
  <c r="G495" i="7" s="1"/>
  <c r="H495" i="7"/>
  <c r="H487" i="7"/>
  <c r="F487" i="7"/>
  <c r="G487" i="7" s="1"/>
  <c r="H479" i="7"/>
  <c r="F479" i="7"/>
  <c r="G479" i="7" s="1"/>
  <c r="F471" i="7"/>
  <c r="G471" i="7" s="1"/>
  <c r="H471" i="7"/>
  <c r="H463" i="7"/>
  <c r="F463" i="7"/>
  <c r="G463" i="7" s="1"/>
  <c r="H455" i="7"/>
  <c r="F455" i="7"/>
  <c r="G455" i="7" s="1"/>
  <c r="H379" i="7"/>
  <c r="F379" i="7"/>
  <c r="G379" i="7" s="1"/>
  <c r="H436" i="7"/>
  <c r="F436" i="7"/>
  <c r="G436" i="7" s="1"/>
  <c r="H412" i="7"/>
  <c r="F412" i="7"/>
  <c r="G412" i="7" s="1"/>
  <c r="F345" i="7"/>
  <c r="G345" i="7" s="1"/>
  <c r="H345" i="7"/>
  <c r="H316" i="7"/>
  <c r="F316" i="7"/>
  <c r="G316" i="7" s="1"/>
  <c r="H332" i="7"/>
  <c r="F332" i="7"/>
  <c r="G332" i="7" s="1"/>
  <c r="H283" i="7"/>
  <c r="F283" i="7"/>
  <c r="G283" i="7" s="1"/>
  <c r="F279" i="7"/>
  <c r="G279" i="7" s="1"/>
  <c r="H279" i="7"/>
  <c r="H275" i="7"/>
  <c r="F275" i="7"/>
  <c r="G275" i="7" s="1"/>
  <c r="H338" i="7"/>
  <c r="F338" i="7"/>
  <c r="G338" i="7" s="1"/>
  <c r="F255" i="7"/>
  <c r="G255" i="7" s="1"/>
  <c r="H255" i="7"/>
  <c r="H245" i="7"/>
  <c r="F245" i="7"/>
  <c r="G245" i="7" s="1"/>
  <c r="H171" i="7"/>
  <c r="F171" i="7"/>
  <c r="G171" i="7" s="1"/>
  <c r="H263" i="7"/>
  <c r="F263" i="7"/>
  <c r="G263" i="7" s="1"/>
  <c r="H185" i="7"/>
  <c r="F185" i="7"/>
  <c r="G185" i="7" s="1"/>
  <c r="H165" i="7"/>
  <c r="F165" i="7"/>
  <c r="G165" i="7" s="1"/>
  <c r="H176" i="7"/>
  <c r="F176" i="7"/>
  <c r="G176" i="7" s="1"/>
  <c r="J146" i="7"/>
  <c r="I146" i="7"/>
  <c r="H222" i="7"/>
  <c r="F222" i="7"/>
  <c r="G222" i="7" s="1"/>
  <c r="H102" i="7"/>
  <c r="F102" i="7"/>
  <c r="G102" i="7" s="1"/>
  <c r="C15" i="6"/>
  <c r="J368" i="7"/>
  <c r="I368" i="7"/>
  <c r="H331" i="7"/>
  <c r="F331" i="7"/>
  <c r="G331" i="7" s="1"/>
  <c r="H401" i="7"/>
  <c r="F401" i="7"/>
  <c r="G401" i="7" s="1"/>
  <c r="H343" i="7"/>
  <c r="F343" i="7"/>
  <c r="G343" i="7" s="1"/>
  <c r="H159" i="7"/>
  <c r="F159" i="7"/>
  <c r="G159" i="7" s="1"/>
  <c r="J356" i="7"/>
  <c r="I356" i="7"/>
  <c r="J350" i="7"/>
  <c r="I350" i="7"/>
  <c r="H464" i="7"/>
  <c r="F464" i="7"/>
  <c r="G464" i="7" s="1"/>
  <c r="H444" i="7"/>
  <c r="F444" i="7"/>
  <c r="G444" i="7" s="1"/>
  <c r="H432" i="7"/>
  <c r="F432" i="7"/>
  <c r="G432" i="7" s="1"/>
  <c r="H385" i="7"/>
  <c r="F385" i="7"/>
  <c r="G385" i="7" s="1"/>
  <c r="I298" i="7"/>
  <c r="J298" i="7"/>
  <c r="I286" i="7"/>
  <c r="J286" i="7"/>
  <c r="I274" i="7"/>
  <c r="J274" i="7"/>
  <c r="I262" i="7"/>
  <c r="J262" i="7"/>
  <c r="H310" i="7"/>
  <c r="F310" i="7"/>
  <c r="G310" i="7" s="1"/>
  <c r="H287" i="7"/>
  <c r="F287" i="7"/>
  <c r="G287" i="7" s="1"/>
  <c r="F291" i="7"/>
  <c r="G291" i="7" s="1"/>
  <c r="H291" i="7"/>
  <c r="H299" i="7"/>
  <c r="F299" i="7"/>
  <c r="G299" i="7" s="1"/>
  <c r="F213" i="7"/>
  <c r="G213" i="7" s="1"/>
  <c r="H213" i="7"/>
  <c r="F225" i="7"/>
  <c r="G225" i="7" s="1"/>
  <c r="H225" i="7"/>
  <c r="J137" i="7"/>
  <c r="I137" i="7"/>
  <c r="J125" i="7"/>
  <c r="I125" i="7"/>
  <c r="J113" i="7"/>
  <c r="I113" i="7"/>
  <c r="F192" i="7"/>
  <c r="G192" i="7" s="1"/>
  <c r="H192" i="7"/>
  <c r="H236" i="7"/>
  <c r="F236" i="7"/>
  <c r="G236" i="7" s="1"/>
  <c r="H187" i="7"/>
  <c r="F187" i="7"/>
  <c r="G187" i="7" s="1"/>
  <c r="H193" i="7"/>
  <c r="F193" i="7"/>
  <c r="G193" i="7" s="1"/>
  <c r="H143" i="7"/>
  <c r="F143" i="7"/>
  <c r="G143" i="7" s="1"/>
  <c r="H161" i="7"/>
  <c r="F161" i="7"/>
  <c r="G161" i="7" s="1"/>
  <c r="F132" i="7"/>
  <c r="G132" i="7" s="1"/>
  <c r="H132" i="7"/>
  <c r="H60" i="7"/>
  <c r="F60" i="7"/>
  <c r="G60" i="7" s="1"/>
  <c r="C37" i="6"/>
  <c r="C13" i="6"/>
  <c r="H54" i="7"/>
  <c r="F54" i="7"/>
  <c r="G54" i="7" s="1"/>
  <c r="I376" i="7"/>
  <c r="J376" i="7"/>
  <c r="H269" i="7"/>
  <c r="F269" i="7"/>
  <c r="G269" i="7" s="1"/>
  <c r="H490" i="7"/>
  <c r="F490" i="7"/>
  <c r="G490" i="7" s="1"/>
  <c r="H466" i="7"/>
  <c r="F466" i="7"/>
  <c r="G466" i="7" s="1"/>
  <c r="H427" i="7"/>
  <c r="F427" i="7"/>
  <c r="G427" i="7" s="1"/>
  <c r="H500" i="7"/>
  <c r="F500" i="7"/>
  <c r="G500" i="7" s="1"/>
  <c r="H446" i="7"/>
  <c r="F446" i="7"/>
  <c r="G446" i="7" s="1"/>
  <c r="F489" i="7"/>
  <c r="G489" i="7" s="1"/>
  <c r="H489" i="7"/>
  <c r="H473" i="7"/>
  <c r="F473" i="7"/>
  <c r="G473" i="7" s="1"/>
  <c r="H457" i="7"/>
  <c r="F457" i="7"/>
  <c r="G457" i="7" s="1"/>
  <c r="H400" i="7"/>
  <c r="F400" i="7"/>
  <c r="G400" i="7" s="1"/>
  <c r="H484" i="7"/>
  <c r="F484" i="7"/>
  <c r="G484" i="7" s="1"/>
  <c r="H414" i="7"/>
  <c r="F414" i="7"/>
  <c r="G414" i="7" s="1"/>
  <c r="H452" i="7"/>
  <c r="F452" i="7"/>
  <c r="G452" i="7" s="1"/>
  <c r="H386" i="7"/>
  <c r="F386" i="7"/>
  <c r="G386" i="7" s="1"/>
  <c r="H416" i="7"/>
  <c r="F416" i="7"/>
  <c r="G416" i="7" s="1"/>
  <c r="H311" i="7"/>
  <c r="F311" i="7"/>
  <c r="G311" i="7" s="1"/>
  <c r="H419" i="7"/>
  <c r="F419" i="7"/>
  <c r="G419" i="7" s="1"/>
  <c r="H329" i="7"/>
  <c r="F329" i="7"/>
  <c r="G329" i="7" s="1"/>
  <c r="H328" i="7"/>
  <c r="F328" i="7"/>
  <c r="G328" i="7" s="1"/>
  <c r="H241" i="7"/>
  <c r="F241" i="7"/>
  <c r="G241" i="7" s="1"/>
  <c r="F230" i="7"/>
  <c r="G230" i="7" s="1"/>
  <c r="H230" i="7"/>
  <c r="H235" i="7"/>
  <c r="F235" i="7"/>
  <c r="G235" i="7" s="1"/>
  <c r="H380" i="7"/>
  <c r="F380" i="7"/>
  <c r="G380" i="7" s="1"/>
  <c r="H209" i="7"/>
  <c r="F209" i="7"/>
  <c r="G209" i="7" s="1"/>
  <c r="H182" i="7"/>
  <c r="F182" i="7"/>
  <c r="G182" i="7" s="1"/>
  <c r="H232" i="7"/>
  <c r="F232" i="7"/>
  <c r="G232" i="7" s="1"/>
  <c r="J142" i="7"/>
  <c r="I142" i="7"/>
  <c r="H228" i="7"/>
  <c r="F228" i="7"/>
  <c r="G228" i="7" s="1"/>
  <c r="H196" i="7"/>
  <c r="F196" i="7"/>
  <c r="G196" i="7" s="1"/>
  <c r="H169" i="7"/>
  <c r="F169" i="7"/>
  <c r="G169" i="7" s="1"/>
  <c r="J144" i="7"/>
  <c r="I144" i="7"/>
  <c r="H271" i="7"/>
  <c r="F271" i="7"/>
  <c r="G271" i="7" s="1"/>
  <c r="F167" i="7"/>
  <c r="G167" i="7" s="1"/>
  <c r="H167" i="7"/>
  <c r="H223" i="7"/>
  <c r="F223" i="7"/>
  <c r="G223" i="7" s="1"/>
  <c r="H188" i="7"/>
  <c r="F188" i="7"/>
  <c r="G188" i="7" s="1"/>
  <c r="H86" i="7"/>
  <c r="F86" i="7"/>
  <c r="G86" i="7" s="1"/>
  <c r="H68" i="7"/>
  <c r="F68" i="7"/>
  <c r="G68" i="7" s="1"/>
  <c r="F52" i="7"/>
  <c r="G52" i="7" s="1"/>
  <c r="H52" i="7"/>
  <c r="H91" i="7"/>
  <c r="F91" i="7"/>
  <c r="G91" i="7" s="1"/>
  <c r="H92" i="7"/>
  <c r="F92" i="7"/>
  <c r="G92" i="7" s="1"/>
  <c r="H69" i="7"/>
  <c r="F69" i="7"/>
  <c r="G69" i="7" s="1"/>
  <c r="F88" i="7"/>
  <c r="G88" i="7" s="1"/>
  <c r="H88" i="7"/>
  <c r="F70" i="7"/>
  <c r="G70" i="7" s="1"/>
  <c r="H70" i="7"/>
  <c r="F100" i="7"/>
  <c r="G100" i="7" s="1"/>
  <c r="H100" i="7"/>
  <c r="C35" i="6"/>
  <c r="C11" i="6"/>
  <c r="F138" i="7"/>
  <c r="G138" i="7" s="1"/>
  <c r="H138" i="7"/>
  <c r="H71" i="7"/>
  <c r="F71" i="7"/>
  <c r="G71" i="7" s="1"/>
  <c r="H84" i="7"/>
  <c r="F84" i="7"/>
  <c r="G84" i="7" s="1"/>
  <c r="H66" i="7"/>
  <c r="F66" i="7"/>
  <c r="G66" i="7" s="1"/>
  <c r="H136" i="7"/>
  <c r="F136" i="7"/>
  <c r="G136" i="7" s="1"/>
  <c r="F94" i="7"/>
  <c r="G94" i="7" s="1"/>
  <c r="H94" i="7"/>
  <c r="H163" i="7"/>
  <c r="F163" i="7"/>
  <c r="G163" i="7" s="1"/>
  <c r="H56" i="7"/>
  <c r="F56" i="7"/>
  <c r="G56" i="7" s="1"/>
  <c r="H55" i="7"/>
  <c r="F55" i="7"/>
  <c r="G55" i="7" s="1"/>
  <c r="C33" i="6"/>
  <c r="C9" i="6"/>
  <c r="H103" i="7"/>
  <c r="F103" i="7"/>
  <c r="G103" i="7" s="1"/>
  <c r="H110" i="7"/>
  <c r="F110" i="7"/>
  <c r="G110" i="7" s="1"/>
  <c r="H79" i="7"/>
  <c r="F79" i="7"/>
  <c r="G79" i="7" s="1"/>
  <c r="J348" i="7"/>
  <c r="I348" i="7"/>
  <c r="H443" i="7"/>
  <c r="F443" i="7"/>
  <c r="G443" i="7" s="1"/>
  <c r="H409" i="7"/>
  <c r="F409" i="7"/>
  <c r="G409" i="7" s="1"/>
  <c r="F351" i="7"/>
  <c r="G351" i="7" s="1"/>
  <c r="H351" i="7"/>
  <c r="H258" i="7"/>
  <c r="F258" i="7"/>
  <c r="G258" i="7" s="1"/>
  <c r="H217" i="7"/>
  <c r="F217" i="7"/>
  <c r="G217" i="7" s="1"/>
  <c r="J135" i="7"/>
  <c r="I135" i="7"/>
  <c r="J111" i="7"/>
  <c r="I111" i="7"/>
  <c r="J162" i="7"/>
  <c r="I162" i="7"/>
  <c r="H494" i="7"/>
  <c r="F494" i="7"/>
  <c r="G494" i="7" s="1"/>
  <c r="H482" i="7"/>
  <c r="F482" i="7"/>
  <c r="G482" i="7" s="1"/>
  <c r="H470" i="7"/>
  <c r="F470" i="7"/>
  <c r="G470" i="7" s="1"/>
  <c r="H476" i="7"/>
  <c r="F476" i="7"/>
  <c r="G476" i="7" s="1"/>
  <c r="H438" i="7"/>
  <c r="F438" i="7"/>
  <c r="G438" i="7" s="1"/>
  <c r="J367" i="7"/>
  <c r="I367" i="7"/>
  <c r="H314" i="7"/>
  <c r="F314" i="7"/>
  <c r="G314" i="7" s="1"/>
  <c r="J296" i="7"/>
  <c r="I296" i="7"/>
  <c r="H388" i="7"/>
  <c r="F388" i="7"/>
  <c r="G388" i="7" s="1"/>
  <c r="H353" i="7"/>
  <c r="F353" i="7"/>
  <c r="G353" i="7" s="1"/>
  <c r="H431" i="7"/>
  <c r="F431" i="7"/>
  <c r="G431" i="7" s="1"/>
  <c r="H325" i="7"/>
  <c r="F325" i="7"/>
  <c r="G325" i="7" s="1"/>
  <c r="H390" i="7"/>
  <c r="F390" i="7"/>
  <c r="G390" i="7" s="1"/>
  <c r="H257" i="7"/>
  <c r="F257" i="7"/>
  <c r="G257" i="7" s="1"/>
  <c r="H246" i="7"/>
  <c r="F246" i="7"/>
  <c r="G246" i="7" s="1"/>
  <c r="F307" i="7"/>
  <c r="G307" i="7" s="1"/>
  <c r="H307" i="7"/>
  <c r="H251" i="7"/>
  <c r="F251" i="7"/>
  <c r="G251" i="7" s="1"/>
  <c r="F321" i="7"/>
  <c r="G321" i="7" s="1"/>
  <c r="H321" i="7"/>
  <c r="J166" i="7"/>
  <c r="I166" i="7"/>
  <c r="H220" i="7"/>
  <c r="F220" i="7"/>
  <c r="G220" i="7" s="1"/>
  <c r="H191" i="7"/>
  <c r="F191" i="7"/>
  <c r="G191" i="7" s="1"/>
  <c r="H200" i="7"/>
  <c r="F200" i="7"/>
  <c r="G200" i="7" s="1"/>
  <c r="F201" i="7"/>
  <c r="G201" i="7" s="1"/>
  <c r="H201" i="7"/>
  <c r="H215" i="7"/>
  <c r="F215" i="7"/>
  <c r="G215" i="7" s="1"/>
  <c r="H205" i="7"/>
  <c r="F205" i="7"/>
  <c r="G205" i="7" s="1"/>
  <c r="H172" i="7"/>
  <c r="F172" i="7"/>
  <c r="G172" i="7" s="1"/>
  <c r="H190" i="7"/>
  <c r="F190" i="7"/>
  <c r="G190" i="7" s="1"/>
  <c r="F108" i="7"/>
  <c r="G108" i="7" s="1"/>
  <c r="H108" i="7"/>
  <c r="F114" i="7"/>
  <c r="G114" i="7" s="1"/>
  <c r="H114" i="7"/>
  <c r="C31" i="6"/>
  <c r="C7" i="6"/>
  <c r="C2" i="6"/>
  <c r="B14" i="2"/>
  <c r="F381" i="7"/>
  <c r="G381" i="7" s="1"/>
  <c r="H381" i="7"/>
  <c r="J284" i="7"/>
  <c r="I284" i="7"/>
  <c r="F237" i="7"/>
  <c r="G237" i="7" s="1"/>
  <c r="H237" i="7"/>
  <c r="H157" i="7"/>
  <c r="F157" i="7"/>
  <c r="G157" i="7" s="1"/>
  <c r="J123" i="7"/>
  <c r="I123" i="7"/>
  <c r="H204" i="7"/>
  <c r="F204" i="7"/>
  <c r="G204" i="7" s="1"/>
  <c r="H153" i="7"/>
  <c r="F153" i="7"/>
  <c r="G153" i="7" s="1"/>
  <c r="H458" i="7"/>
  <c r="F458" i="7"/>
  <c r="G458" i="7" s="1"/>
  <c r="H442" i="7"/>
  <c r="F442" i="7"/>
  <c r="G442" i="7" s="1"/>
  <c r="H485" i="7"/>
  <c r="F485" i="7"/>
  <c r="G485" i="7" s="1"/>
  <c r="H469" i="7"/>
  <c r="F469" i="7"/>
  <c r="G469" i="7" s="1"/>
  <c r="I358" i="7"/>
  <c r="J358" i="7"/>
  <c r="I346" i="7"/>
  <c r="J346" i="7"/>
  <c r="H496" i="7"/>
  <c r="F496" i="7"/>
  <c r="G496" i="7" s="1"/>
  <c r="H426" i="7"/>
  <c r="F426" i="7"/>
  <c r="G426" i="7" s="1"/>
  <c r="H415" i="7"/>
  <c r="F415" i="7"/>
  <c r="G415" i="7" s="1"/>
  <c r="H397" i="7"/>
  <c r="F397" i="7"/>
  <c r="G397" i="7" s="1"/>
  <c r="H433" i="7"/>
  <c r="F433" i="7"/>
  <c r="G433" i="7" s="1"/>
  <c r="H424" i="7"/>
  <c r="F424" i="7"/>
  <c r="G424" i="7" s="1"/>
  <c r="J294" i="7"/>
  <c r="I294" i="7"/>
  <c r="J282" i="7"/>
  <c r="I282" i="7"/>
  <c r="J270" i="7"/>
  <c r="I270" i="7"/>
  <c r="F357" i="7"/>
  <c r="G357" i="7" s="1"/>
  <c r="H357" i="7"/>
  <c r="H308" i="7"/>
  <c r="F308" i="7"/>
  <c r="G308" i="7" s="1"/>
  <c r="H326" i="7"/>
  <c r="F326" i="7"/>
  <c r="G326" i="7" s="1"/>
  <c r="H323" i="7"/>
  <c r="F323" i="7"/>
  <c r="G323" i="7" s="1"/>
  <c r="F285" i="7"/>
  <c r="G285" i="7" s="1"/>
  <c r="H285" i="7"/>
  <c r="H295" i="7"/>
  <c r="F295" i="7"/>
  <c r="G295" i="7" s="1"/>
  <c r="H254" i="7"/>
  <c r="F254" i="7"/>
  <c r="G254" i="7" s="1"/>
  <c r="H330" i="7"/>
  <c r="F330" i="7"/>
  <c r="G330" i="7" s="1"/>
  <c r="J160" i="7"/>
  <c r="I160" i="7"/>
  <c r="I133" i="7"/>
  <c r="J133" i="7"/>
  <c r="I121" i="7"/>
  <c r="J121" i="7"/>
  <c r="I109" i="7"/>
  <c r="J109" i="7"/>
  <c r="H247" i="7"/>
  <c r="F247" i="7"/>
  <c r="G247" i="7" s="1"/>
  <c r="H226" i="7"/>
  <c r="F226" i="7"/>
  <c r="G226" i="7" s="1"/>
  <c r="F180" i="7"/>
  <c r="G180" i="7" s="1"/>
  <c r="H180" i="7"/>
  <c r="H212" i="7"/>
  <c r="F212" i="7"/>
  <c r="G212" i="7" s="1"/>
  <c r="H189" i="7"/>
  <c r="F189" i="7"/>
  <c r="G189" i="7" s="1"/>
  <c r="H145" i="7"/>
  <c r="F145" i="7"/>
  <c r="G145" i="7" s="1"/>
  <c r="H99" i="7"/>
  <c r="F99" i="7"/>
  <c r="G99" i="7" s="1"/>
  <c r="F58" i="7"/>
  <c r="G58" i="7" s="1"/>
  <c r="H58" i="7"/>
  <c r="H96" i="7"/>
  <c r="F96" i="7"/>
  <c r="G96" i="7" s="1"/>
  <c r="H75" i="7"/>
  <c r="F75" i="7"/>
  <c r="G75" i="7" s="1"/>
  <c r="C29" i="6"/>
  <c r="C5" i="6"/>
  <c r="H147" i="7"/>
  <c r="F147" i="7"/>
  <c r="G147" i="7" s="1"/>
  <c r="H112" i="7"/>
  <c r="F112" i="7"/>
  <c r="G112" i="7" s="1"/>
  <c r="H93" i="7"/>
  <c r="F93" i="7"/>
  <c r="G93" i="7" s="1"/>
  <c r="H77" i="7"/>
  <c r="F77" i="7"/>
  <c r="G77" i="7" s="1"/>
  <c r="H53" i="7"/>
  <c r="F53" i="7"/>
  <c r="G53" i="7" s="1"/>
  <c r="H155" i="7"/>
  <c r="F155" i="7"/>
  <c r="G155" i="7" s="1"/>
  <c r="H50" i="7"/>
  <c r="F50" i="7"/>
  <c r="H101" i="7"/>
  <c r="F101" i="7"/>
  <c r="G101" i="7" s="1"/>
  <c r="H451" i="7"/>
  <c r="F451" i="7"/>
  <c r="G451" i="7" s="1"/>
  <c r="F435" i="7"/>
  <c r="G435" i="7" s="1"/>
  <c r="H435" i="7"/>
  <c r="J374" i="7"/>
  <c r="I374" i="7"/>
  <c r="J366" i="7"/>
  <c r="I366" i="7"/>
  <c r="H468" i="7"/>
  <c r="F468" i="7"/>
  <c r="G468" i="7" s="1"/>
  <c r="F399" i="7"/>
  <c r="G399" i="7" s="1"/>
  <c r="H399" i="7"/>
  <c r="F429" i="7"/>
  <c r="G429" i="7" s="1"/>
  <c r="H429" i="7"/>
  <c r="J365" i="7"/>
  <c r="I365" i="7"/>
  <c r="H449" i="7"/>
  <c r="F449" i="7"/>
  <c r="G449" i="7" s="1"/>
  <c r="H420" i="7"/>
  <c r="F420" i="7"/>
  <c r="G420" i="7" s="1"/>
  <c r="H499" i="7"/>
  <c r="F499" i="7"/>
  <c r="G499" i="7" s="1"/>
  <c r="H491" i="7"/>
  <c r="F491" i="7"/>
  <c r="G491" i="7" s="1"/>
  <c r="F483" i="7"/>
  <c r="G483" i="7" s="1"/>
  <c r="H483" i="7"/>
  <c r="H475" i="7"/>
  <c r="F475" i="7"/>
  <c r="G475" i="7" s="1"/>
  <c r="H467" i="7"/>
  <c r="F467" i="7"/>
  <c r="G467" i="7" s="1"/>
  <c r="F459" i="7"/>
  <c r="G459" i="7" s="1"/>
  <c r="H459" i="7"/>
  <c r="F327" i="7"/>
  <c r="G327" i="7" s="1"/>
  <c r="H327" i="7"/>
  <c r="F303" i="7"/>
  <c r="G303" i="7" s="1"/>
  <c r="H303" i="7"/>
  <c r="H402" i="7"/>
  <c r="F402" i="7"/>
  <c r="G402" i="7" s="1"/>
  <c r="H422" i="7"/>
  <c r="F422" i="7"/>
  <c r="G422" i="7" s="1"/>
  <c r="H337" i="7"/>
  <c r="F337" i="7"/>
  <c r="G337" i="7" s="1"/>
  <c r="H317" i="7"/>
  <c r="F317" i="7"/>
  <c r="G317" i="7" s="1"/>
  <c r="H281" i="7"/>
  <c r="F281" i="7"/>
  <c r="G281" i="7" s="1"/>
  <c r="H277" i="7"/>
  <c r="F277" i="7"/>
  <c r="G277" i="7" s="1"/>
  <c r="F273" i="7"/>
  <c r="G273" i="7" s="1"/>
  <c r="H273" i="7"/>
  <c r="H305" i="7"/>
  <c r="F305" i="7"/>
  <c r="G305" i="7" s="1"/>
  <c r="H233" i="7"/>
  <c r="F233" i="7"/>
  <c r="G233" i="7" s="1"/>
  <c r="H229" i="7"/>
  <c r="F229" i="7"/>
  <c r="G229" i="7" s="1"/>
  <c r="H244" i="7"/>
  <c r="F244" i="7"/>
  <c r="G244" i="7" s="1"/>
  <c r="H173" i="7"/>
  <c r="F173" i="7"/>
  <c r="G173" i="7" s="1"/>
  <c r="H239" i="7"/>
  <c r="F239" i="7"/>
  <c r="G239" i="7" s="1"/>
  <c r="F297" i="7"/>
  <c r="G297" i="7" s="1"/>
  <c r="H297" i="7"/>
  <c r="F149" i="7"/>
  <c r="G149" i="7" s="1"/>
  <c r="H149" i="7"/>
  <c r="H197" i="7"/>
  <c r="F197" i="7"/>
  <c r="G197" i="7" s="1"/>
  <c r="F186" i="7"/>
  <c r="G186" i="7" s="1"/>
  <c r="H186" i="7"/>
  <c r="J164" i="7"/>
  <c r="I164" i="7"/>
  <c r="J140" i="7"/>
  <c r="I140" i="7"/>
  <c r="H74" i="7"/>
  <c r="F74" i="7"/>
  <c r="G74" i="7" s="1"/>
  <c r="F76" i="7"/>
  <c r="G76" i="7" s="1"/>
  <c r="H76" i="7"/>
  <c r="H51" i="7"/>
  <c r="F51" i="7"/>
  <c r="G51" i="7" s="1"/>
  <c r="H106" i="7"/>
  <c r="F106" i="7"/>
  <c r="G106" i="7" s="1"/>
  <c r="C27" i="6"/>
  <c r="C3" i="6"/>
  <c r="H72" i="7"/>
  <c r="F72" i="7"/>
  <c r="G72" i="7" s="1"/>
  <c r="H98" i="7"/>
  <c r="F98" i="7"/>
  <c r="G98" i="7" s="1"/>
  <c r="H118" i="7"/>
  <c r="F118" i="7"/>
  <c r="G118" i="7" s="1"/>
  <c r="J360" i="7"/>
  <c r="I360" i="7"/>
  <c r="H425" i="7"/>
  <c r="F425" i="7"/>
  <c r="G425" i="7" s="1"/>
  <c r="H377" i="7"/>
  <c r="F377" i="7"/>
  <c r="G377" i="7" s="1"/>
  <c r="F315" i="7"/>
  <c r="G315" i="7" s="1"/>
  <c r="H315" i="7"/>
  <c r="H195" i="7"/>
  <c r="F195" i="7"/>
  <c r="G195" i="7" s="1"/>
  <c r="H439" i="7"/>
  <c r="F439" i="7"/>
  <c r="G439" i="7" s="1"/>
  <c r="H404" i="7"/>
  <c r="F404" i="7"/>
  <c r="G404" i="7" s="1"/>
  <c r="F441" i="7"/>
  <c r="G441" i="7" s="1"/>
  <c r="H441" i="7"/>
  <c r="F339" i="7"/>
  <c r="G339" i="7" s="1"/>
  <c r="H339" i="7"/>
  <c r="I292" i="7"/>
  <c r="J292" i="7"/>
  <c r="I280" i="7"/>
  <c r="J280" i="7"/>
  <c r="I268" i="7"/>
  <c r="J268" i="7"/>
  <c r="H410" i="7"/>
  <c r="F410" i="7"/>
  <c r="G410" i="7" s="1"/>
  <c r="H324" i="7"/>
  <c r="F324" i="7"/>
  <c r="G324" i="7" s="1"/>
  <c r="H320" i="7"/>
  <c r="F320" i="7"/>
  <c r="G320" i="7" s="1"/>
  <c r="I340" i="7"/>
  <c r="J340" i="7"/>
  <c r="H403" i="7"/>
  <c r="F403" i="7"/>
  <c r="G403" i="7" s="1"/>
  <c r="H256" i="7"/>
  <c r="F256" i="7"/>
  <c r="G256" i="7" s="1"/>
  <c r="H250" i="7"/>
  <c r="F250" i="7"/>
  <c r="G250" i="7" s="1"/>
  <c r="H199" i="7"/>
  <c r="F199" i="7"/>
  <c r="G199" i="7" s="1"/>
  <c r="J150" i="7"/>
  <c r="I150" i="7"/>
  <c r="H203" i="7"/>
  <c r="F203" i="7"/>
  <c r="G203" i="7" s="1"/>
  <c r="F174" i="7"/>
  <c r="G174" i="7" s="1"/>
  <c r="H174" i="7"/>
  <c r="J131" i="7"/>
  <c r="I131" i="7"/>
  <c r="J119" i="7"/>
  <c r="I119" i="7"/>
  <c r="J154" i="7"/>
  <c r="I154" i="7"/>
  <c r="H218" i="7"/>
  <c r="F218" i="7"/>
  <c r="G218" i="7" s="1"/>
  <c r="H227" i="7"/>
  <c r="F227" i="7"/>
  <c r="G227" i="7" s="1"/>
  <c r="H116" i="7"/>
  <c r="F116" i="7"/>
  <c r="G116" i="7" s="1"/>
  <c r="H95" i="7"/>
  <c r="F95" i="7"/>
  <c r="G95" i="7" s="1"/>
  <c r="H122" i="7"/>
  <c r="F122" i="7"/>
  <c r="G122" i="7" s="1"/>
  <c r="C25" i="6"/>
  <c r="H85" i="7"/>
  <c r="F85" i="7"/>
  <c r="G85" i="7" s="1"/>
  <c r="H67" i="7"/>
  <c r="F67" i="7"/>
  <c r="G67" i="7" s="1"/>
  <c r="H488" i="7"/>
  <c r="F488" i="7"/>
  <c r="G488" i="7" s="1"/>
  <c r="H481" i="7"/>
  <c r="F481" i="7"/>
  <c r="G481" i="7" s="1"/>
  <c r="H394" i="7"/>
  <c r="F394" i="7"/>
  <c r="G394" i="7" s="1"/>
  <c r="H460" i="7"/>
  <c r="F460" i="7"/>
  <c r="G460" i="7" s="1"/>
  <c r="F447" i="7"/>
  <c r="G447" i="7" s="1"/>
  <c r="H447" i="7"/>
  <c r="H383" i="7"/>
  <c r="F383" i="7"/>
  <c r="G383" i="7" s="1"/>
  <c r="F387" i="7"/>
  <c r="G387" i="7" s="1"/>
  <c r="H387" i="7"/>
  <c r="H430" i="7"/>
  <c r="F430" i="7"/>
  <c r="G430" i="7" s="1"/>
  <c r="H434" i="7"/>
  <c r="F434" i="7"/>
  <c r="G434" i="7" s="1"/>
  <c r="H418" i="7"/>
  <c r="F418" i="7"/>
  <c r="G418" i="7" s="1"/>
  <c r="F309" i="7"/>
  <c r="G309" i="7" s="1"/>
  <c r="H309" i="7"/>
  <c r="H259" i="7"/>
  <c r="F259" i="7"/>
  <c r="G259" i="7" s="1"/>
  <c r="H202" i="7"/>
  <c r="F202" i="7"/>
  <c r="G202" i="7" s="1"/>
  <c r="H206" i="7"/>
  <c r="F206" i="7"/>
  <c r="G206" i="7" s="1"/>
  <c r="H313" i="7"/>
  <c r="F313" i="7"/>
  <c r="G313" i="7" s="1"/>
  <c r="H221" i="7"/>
  <c r="F221" i="7"/>
  <c r="G221" i="7" s="1"/>
  <c r="H179" i="7"/>
  <c r="F179" i="7"/>
  <c r="G179" i="7" s="1"/>
  <c r="H151" i="7"/>
  <c r="F151" i="7"/>
  <c r="G151" i="7" s="1"/>
  <c r="H59" i="7"/>
  <c r="F59" i="7"/>
  <c r="G59" i="7" s="1"/>
  <c r="H81" i="7"/>
  <c r="F81" i="7"/>
  <c r="G81" i="7" s="1"/>
  <c r="H63" i="7"/>
  <c r="F63" i="7"/>
  <c r="G63" i="7" s="1"/>
  <c r="C23" i="6"/>
  <c r="F120" i="7"/>
  <c r="G120" i="7" s="1"/>
  <c r="H120" i="7"/>
  <c r="H83" i="7"/>
  <c r="F83" i="7"/>
  <c r="G83" i="7" s="1"/>
  <c r="H456" i="7"/>
  <c r="F456" i="7"/>
  <c r="G456" i="7" s="1"/>
  <c r="J369" i="7"/>
  <c r="I369" i="7"/>
  <c r="J372" i="7"/>
  <c r="I372" i="7"/>
  <c r="I364" i="7"/>
  <c r="J364" i="7"/>
  <c r="J354" i="7"/>
  <c r="I354" i="7"/>
  <c r="J342" i="7"/>
  <c r="I342" i="7"/>
  <c r="H480" i="7"/>
  <c r="F480" i="7"/>
  <c r="G480" i="7" s="1"/>
  <c r="H437" i="7"/>
  <c r="F437" i="7"/>
  <c r="G437" i="7" s="1"/>
  <c r="H413" i="7"/>
  <c r="F413" i="7"/>
  <c r="G413" i="7" s="1"/>
  <c r="H428" i="7"/>
  <c r="F428" i="7"/>
  <c r="G428" i="7" s="1"/>
  <c r="H448" i="7"/>
  <c r="F448" i="7"/>
  <c r="G448" i="7" s="1"/>
  <c r="J375" i="7"/>
  <c r="I375" i="7"/>
  <c r="J363" i="7"/>
  <c r="I363" i="7"/>
  <c r="J290" i="7"/>
  <c r="I290" i="7"/>
  <c r="J278" i="7"/>
  <c r="I278" i="7"/>
  <c r="J266" i="7"/>
  <c r="I266" i="7"/>
  <c r="H395" i="7"/>
  <c r="F395" i="7"/>
  <c r="G395" i="7" s="1"/>
  <c r="F300" i="7"/>
  <c r="G300" i="7" s="1"/>
  <c r="H300" i="7"/>
  <c r="H318" i="7"/>
  <c r="F318" i="7"/>
  <c r="G318" i="7" s="1"/>
  <c r="H349" i="7"/>
  <c r="F349" i="7"/>
  <c r="G349" i="7" s="1"/>
  <c r="H312" i="7"/>
  <c r="F312" i="7"/>
  <c r="G312" i="7" s="1"/>
  <c r="H253" i="7"/>
  <c r="F253" i="7"/>
  <c r="G253" i="7" s="1"/>
  <c r="H238" i="7"/>
  <c r="F238" i="7"/>
  <c r="G238" i="7" s="1"/>
  <c r="H334" i="7"/>
  <c r="F334" i="7"/>
  <c r="G334" i="7" s="1"/>
  <c r="H242" i="7"/>
  <c r="F242" i="7"/>
  <c r="G242" i="7" s="1"/>
  <c r="H216" i="7"/>
  <c r="F216" i="7"/>
  <c r="G216" i="7" s="1"/>
  <c r="H224" i="7"/>
  <c r="F224" i="7"/>
  <c r="G224" i="7" s="1"/>
  <c r="H210" i="7"/>
  <c r="F210" i="7"/>
  <c r="G210" i="7" s="1"/>
  <c r="J152" i="7"/>
  <c r="I152" i="7"/>
  <c r="H141" i="7"/>
  <c r="F141" i="7"/>
  <c r="G141" i="7" s="1"/>
  <c r="J129" i="7"/>
  <c r="I129" i="7"/>
  <c r="J117" i="7"/>
  <c r="I117" i="7"/>
  <c r="H214" i="7"/>
  <c r="F214" i="7"/>
  <c r="G214" i="7" s="1"/>
  <c r="H211" i="7"/>
  <c r="F211" i="7"/>
  <c r="G211" i="7" s="1"/>
  <c r="H178" i="7"/>
  <c r="F178" i="7"/>
  <c r="G178" i="7" s="1"/>
  <c r="F231" i="7"/>
  <c r="G231" i="7" s="1"/>
  <c r="H231" i="7"/>
  <c r="F219" i="7"/>
  <c r="G219" i="7" s="1"/>
  <c r="H219" i="7"/>
  <c r="I156" i="7"/>
  <c r="J156" i="7"/>
  <c r="C21" i="6"/>
  <c r="F64" i="7"/>
  <c r="G64" i="7" s="1"/>
  <c r="H64" i="7"/>
  <c r="F126" i="7"/>
  <c r="G126" i="7" s="1"/>
  <c r="H126" i="7"/>
  <c r="H392" i="7"/>
  <c r="F392" i="7"/>
  <c r="G392" i="7" s="1"/>
  <c r="H359" i="7"/>
  <c r="F359" i="7"/>
  <c r="G359" i="7" s="1"/>
  <c r="F267" i="7"/>
  <c r="G267" i="7" s="1"/>
  <c r="H267" i="7"/>
  <c r="F465" i="7"/>
  <c r="G465" i="7" s="1"/>
  <c r="H465" i="7"/>
  <c r="J373" i="7"/>
  <c r="I373" i="7"/>
  <c r="J361" i="7"/>
  <c r="I361" i="7"/>
  <c r="H421" i="7"/>
  <c r="F421" i="7"/>
  <c r="G421" i="7" s="1"/>
  <c r="H384" i="7"/>
  <c r="F384" i="7"/>
  <c r="G384" i="7" s="1"/>
  <c r="H347" i="7"/>
  <c r="F347" i="7"/>
  <c r="G347" i="7" s="1"/>
  <c r="H322" i="7"/>
  <c r="F322" i="7"/>
  <c r="G322" i="7" s="1"/>
  <c r="H306" i="7"/>
  <c r="F306" i="7"/>
  <c r="G306" i="7" s="1"/>
  <c r="H319" i="7"/>
  <c r="F319" i="7"/>
  <c r="G319" i="7" s="1"/>
  <c r="H407" i="7"/>
  <c r="F407" i="7"/>
  <c r="G407" i="7" s="1"/>
  <c r="H355" i="7"/>
  <c r="F355" i="7"/>
  <c r="G355" i="7" s="1"/>
  <c r="F405" i="7"/>
  <c r="G405" i="7" s="1"/>
  <c r="H405" i="7"/>
  <c r="F333" i="7"/>
  <c r="G333" i="7" s="1"/>
  <c r="H333" i="7"/>
  <c r="H336" i="7"/>
  <c r="F336" i="7"/>
  <c r="G336" i="7" s="1"/>
  <c r="H301" i="7"/>
  <c r="F301" i="7"/>
  <c r="G301" i="7" s="1"/>
  <c r="H341" i="7"/>
  <c r="F341" i="7"/>
  <c r="G341" i="7" s="1"/>
  <c r="F249" i="7"/>
  <c r="G249" i="7" s="1"/>
  <c r="H249" i="7"/>
  <c r="H289" i="7"/>
  <c r="F289" i="7"/>
  <c r="G289" i="7" s="1"/>
  <c r="H293" i="7"/>
  <c r="F293" i="7"/>
  <c r="G293" i="7" s="1"/>
  <c r="F243" i="7"/>
  <c r="G243" i="7" s="1"/>
  <c r="H243" i="7"/>
  <c r="H175" i="7"/>
  <c r="F175" i="7"/>
  <c r="G175" i="7" s="1"/>
  <c r="H170" i="7"/>
  <c r="F170" i="7"/>
  <c r="G170" i="7" s="1"/>
  <c r="F207" i="7"/>
  <c r="G207" i="7" s="1"/>
  <c r="H207" i="7"/>
  <c r="H177" i="7"/>
  <c r="F177" i="7"/>
  <c r="G177" i="7" s="1"/>
  <c r="H181" i="7"/>
  <c r="F181" i="7"/>
  <c r="G181" i="7" s="1"/>
  <c r="F198" i="7"/>
  <c r="G198" i="7" s="1"/>
  <c r="H198" i="7"/>
  <c r="J148" i="7"/>
  <c r="I148" i="7"/>
  <c r="H194" i="7"/>
  <c r="F194" i="7"/>
  <c r="G194" i="7" s="1"/>
  <c r="H80" i="7"/>
  <c r="F80" i="7"/>
  <c r="G80" i="7" s="1"/>
  <c r="H124" i="7"/>
  <c r="F124" i="7"/>
  <c r="G124" i="7" s="1"/>
  <c r="H105" i="7"/>
  <c r="F105" i="7"/>
  <c r="G105" i="7" s="1"/>
  <c r="H57" i="7"/>
  <c r="F57" i="7"/>
  <c r="G57" i="7" s="1"/>
  <c r="H130" i="7"/>
  <c r="F130" i="7"/>
  <c r="G130" i="7" s="1"/>
  <c r="F82" i="7"/>
  <c r="G82" i="7" s="1"/>
  <c r="H82" i="7"/>
  <c r="H184" i="7"/>
  <c r="F184" i="7"/>
  <c r="G184" i="7" s="1"/>
  <c r="C19" i="6"/>
  <c r="H65" i="7"/>
  <c r="F65" i="7"/>
  <c r="G65" i="7" s="1"/>
  <c r="H78" i="7"/>
  <c r="F78" i="7"/>
  <c r="G78" i="7" s="1"/>
  <c r="F104" i="7"/>
  <c r="G104" i="7" s="1"/>
  <c r="H104" i="7"/>
  <c r="H90" i="7"/>
  <c r="F90" i="7"/>
  <c r="G90" i="7" s="1"/>
  <c r="H107" i="7"/>
  <c r="F107" i="7"/>
  <c r="G107" i="7" s="1"/>
  <c r="J242" i="7" l="1"/>
  <c r="I242" i="7"/>
  <c r="J330" i="7"/>
  <c r="I330" i="7"/>
  <c r="J384" i="7"/>
  <c r="I384" i="7"/>
  <c r="J67" i="7"/>
  <c r="I67" i="7"/>
  <c r="I315" i="7"/>
  <c r="J315" i="7"/>
  <c r="J483" i="7"/>
  <c r="I483" i="7"/>
  <c r="J429" i="7"/>
  <c r="I429" i="7"/>
  <c r="J58" i="7"/>
  <c r="I58" i="7"/>
  <c r="J351" i="7"/>
  <c r="I351" i="7"/>
  <c r="J100" i="7"/>
  <c r="I100" i="7"/>
  <c r="J52" i="7"/>
  <c r="I52" i="7"/>
  <c r="J132" i="7"/>
  <c r="I132" i="7"/>
  <c r="J192" i="7"/>
  <c r="I192" i="7"/>
  <c r="J185" i="7"/>
  <c r="I185" i="7"/>
  <c r="J275" i="7"/>
  <c r="I275" i="7"/>
  <c r="I412" i="7"/>
  <c r="J412" i="7"/>
  <c r="J479" i="7"/>
  <c r="I479" i="7"/>
  <c r="I454" i="7"/>
  <c r="J454" i="7"/>
  <c r="J134" i="7"/>
  <c r="I134" i="7"/>
  <c r="J107" i="7"/>
  <c r="I107" i="7"/>
  <c r="J207" i="7"/>
  <c r="I207" i="7"/>
  <c r="I249" i="7"/>
  <c r="J249" i="7"/>
  <c r="J141" i="7"/>
  <c r="I141" i="7"/>
  <c r="I334" i="7"/>
  <c r="J334" i="7"/>
  <c r="J83" i="7"/>
  <c r="I83" i="7"/>
  <c r="J218" i="7"/>
  <c r="I218" i="7"/>
  <c r="J320" i="7"/>
  <c r="I320" i="7"/>
  <c r="J377" i="7"/>
  <c r="I377" i="7"/>
  <c r="J173" i="7"/>
  <c r="I173" i="7"/>
  <c r="J277" i="7"/>
  <c r="I277" i="7"/>
  <c r="J491" i="7"/>
  <c r="I491" i="7"/>
  <c r="J101" i="7"/>
  <c r="I101" i="7"/>
  <c r="J112" i="7"/>
  <c r="I112" i="7"/>
  <c r="J99" i="7"/>
  <c r="I99" i="7"/>
  <c r="J247" i="7"/>
  <c r="I247" i="7"/>
  <c r="J254" i="7"/>
  <c r="I254" i="7"/>
  <c r="J397" i="7"/>
  <c r="I397" i="7"/>
  <c r="J469" i="7"/>
  <c r="I469" i="7"/>
  <c r="J215" i="7"/>
  <c r="I215" i="7"/>
  <c r="J325" i="7"/>
  <c r="I325" i="7"/>
  <c r="J409" i="7"/>
  <c r="I409" i="7"/>
  <c r="J66" i="7"/>
  <c r="I66" i="7"/>
  <c r="J68" i="7"/>
  <c r="I68" i="7"/>
  <c r="J182" i="7"/>
  <c r="I182" i="7"/>
  <c r="I328" i="7"/>
  <c r="J328" i="7"/>
  <c r="J452" i="7"/>
  <c r="I452" i="7"/>
  <c r="J269" i="7"/>
  <c r="I269" i="7"/>
  <c r="J161" i="7"/>
  <c r="I161" i="7"/>
  <c r="J87" i="7"/>
  <c r="I87" i="7"/>
  <c r="J240" i="7"/>
  <c r="I240" i="7"/>
  <c r="J302" i="7"/>
  <c r="I302" i="7"/>
  <c r="J445" i="7"/>
  <c r="I445" i="7"/>
  <c r="J391" i="7"/>
  <c r="I391" i="7"/>
  <c r="J389" i="7"/>
  <c r="I389" i="7"/>
  <c r="J318" i="7"/>
  <c r="I318" i="7"/>
  <c r="J203" i="7"/>
  <c r="I203" i="7"/>
  <c r="J402" i="7"/>
  <c r="I402" i="7"/>
  <c r="J308" i="7"/>
  <c r="I308" i="7"/>
  <c r="J359" i="7"/>
  <c r="I359" i="7"/>
  <c r="I151" i="7"/>
  <c r="J151" i="7"/>
  <c r="J273" i="7"/>
  <c r="I273" i="7"/>
  <c r="J407" i="7"/>
  <c r="I407" i="7"/>
  <c r="J300" i="7"/>
  <c r="I300" i="7"/>
  <c r="J321" i="7"/>
  <c r="I321" i="7"/>
  <c r="J89" i="7"/>
  <c r="I89" i="7"/>
  <c r="I238" i="7"/>
  <c r="J238" i="7"/>
  <c r="J324" i="7"/>
  <c r="I324" i="7"/>
  <c r="J468" i="7"/>
  <c r="I468" i="7"/>
  <c r="J415" i="7"/>
  <c r="I415" i="7"/>
  <c r="J431" i="7"/>
  <c r="I431" i="7"/>
  <c r="J329" i="7"/>
  <c r="I329" i="7"/>
  <c r="J143" i="7"/>
  <c r="I143" i="7"/>
  <c r="J385" i="7"/>
  <c r="I385" i="7"/>
  <c r="J497" i="7"/>
  <c r="I497" i="7"/>
  <c r="J130" i="7"/>
  <c r="I130" i="7"/>
  <c r="I175" i="7"/>
  <c r="J175" i="7"/>
  <c r="J301" i="7"/>
  <c r="I301" i="7"/>
  <c r="J319" i="7"/>
  <c r="I319" i="7"/>
  <c r="J120" i="7"/>
  <c r="I120" i="7"/>
  <c r="J221" i="7"/>
  <c r="I221" i="7"/>
  <c r="I418" i="7"/>
  <c r="J418" i="7"/>
  <c r="I460" i="7"/>
  <c r="J460" i="7"/>
  <c r="J441" i="7"/>
  <c r="I441" i="7"/>
  <c r="J186" i="7"/>
  <c r="I186" i="7"/>
  <c r="J327" i="7"/>
  <c r="I327" i="7"/>
  <c r="J114" i="7"/>
  <c r="I114" i="7"/>
  <c r="J201" i="7"/>
  <c r="I201" i="7"/>
  <c r="J88" i="7"/>
  <c r="I88" i="7"/>
  <c r="J222" i="7"/>
  <c r="I222" i="7"/>
  <c r="J171" i="7"/>
  <c r="I171" i="7"/>
  <c r="J283" i="7"/>
  <c r="I283" i="7"/>
  <c r="J379" i="7"/>
  <c r="I379" i="7"/>
  <c r="J462" i="7"/>
  <c r="I462" i="7"/>
  <c r="J97" i="7"/>
  <c r="I97" i="7"/>
  <c r="J411" i="7"/>
  <c r="I411" i="7"/>
  <c r="J227" i="7"/>
  <c r="I227" i="7"/>
  <c r="J451" i="7"/>
  <c r="I451" i="7"/>
  <c r="J219" i="7"/>
  <c r="I219" i="7"/>
  <c r="J259" i="7"/>
  <c r="I259" i="7"/>
  <c r="J421" i="7"/>
  <c r="I421" i="7"/>
  <c r="J179" i="7"/>
  <c r="I179" i="7"/>
  <c r="I339" i="7"/>
  <c r="J339" i="7"/>
  <c r="J357" i="7"/>
  <c r="I357" i="7"/>
  <c r="J70" i="7"/>
  <c r="I70" i="7"/>
  <c r="J102" i="7"/>
  <c r="I102" i="7"/>
  <c r="I448" i="7"/>
  <c r="J448" i="7"/>
  <c r="J447" i="7"/>
  <c r="I447" i="7"/>
  <c r="J425" i="7"/>
  <c r="I425" i="7"/>
  <c r="J499" i="7"/>
  <c r="I499" i="7"/>
  <c r="J295" i="7"/>
  <c r="I295" i="7"/>
  <c r="J443" i="7"/>
  <c r="I443" i="7"/>
  <c r="J414" i="7"/>
  <c r="I414" i="7"/>
  <c r="J440" i="7"/>
  <c r="I440" i="7"/>
  <c r="J126" i="7"/>
  <c r="I126" i="7"/>
  <c r="J211" i="7"/>
  <c r="I211" i="7"/>
  <c r="J210" i="7"/>
  <c r="I210" i="7"/>
  <c r="J253" i="7"/>
  <c r="I253" i="7"/>
  <c r="J428" i="7"/>
  <c r="I428" i="7"/>
  <c r="J122" i="7"/>
  <c r="I122" i="7"/>
  <c r="I250" i="7"/>
  <c r="J250" i="7"/>
  <c r="J410" i="7"/>
  <c r="I410" i="7"/>
  <c r="J404" i="7"/>
  <c r="I404" i="7"/>
  <c r="J51" i="7"/>
  <c r="I51" i="7"/>
  <c r="J197" i="7"/>
  <c r="I197" i="7"/>
  <c r="J229" i="7"/>
  <c r="I229" i="7"/>
  <c r="J317" i="7"/>
  <c r="I317" i="7"/>
  <c r="J420" i="7"/>
  <c r="I420" i="7"/>
  <c r="J155" i="7"/>
  <c r="I155" i="7"/>
  <c r="J189" i="7"/>
  <c r="I189" i="7"/>
  <c r="J426" i="7"/>
  <c r="I426" i="7"/>
  <c r="I442" i="7"/>
  <c r="J442" i="7"/>
  <c r="J200" i="7"/>
  <c r="I200" i="7"/>
  <c r="J353" i="7"/>
  <c r="I353" i="7"/>
  <c r="J476" i="7"/>
  <c r="I476" i="7"/>
  <c r="J56" i="7"/>
  <c r="I56" i="7"/>
  <c r="J71" i="7"/>
  <c r="I71" i="7"/>
  <c r="J69" i="7"/>
  <c r="I69" i="7"/>
  <c r="J188" i="7"/>
  <c r="I188" i="7"/>
  <c r="J196" i="7"/>
  <c r="I196" i="7"/>
  <c r="J380" i="7"/>
  <c r="I380" i="7"/>
  <c r="J419" i="7"/>
  <c r="I419" i="7"/>
  <c r="I484" i="7"/>
  <c r="J484" i="7"/>
  <c r="J500" i="7"/>
  <c r="I500" i="7"/>
  <c r="J54" i="7"/>
  <c r="I54" i="7"/>
  <c r="I193" i="7"/>
  <c r="J193" i="7"/>
  <c r="I310" i="7"/>
  <c r="J310" i="7"/>
  <c r="J432" i="7"/>
  <c r="I432" i="7"/>
  <c r="J343" i="7"/>
  <c r="I343" i="7"/>
  <c r="J495" i="7"/>
  <c r="I495" i="7"/>
  <c r="J248" i="7"/>
  <c r="I248" i="7"/>
  <c r="J252" i="7"/>
  <c r="I252" i="7"/>
  <c r="J461" i="7"/>
  <c r="I461" i="7"/>
  <c r="J184" i="7"/>
  <c r="I184" i="7"/>
  <c r="J392" i="7"/>
  <c r="I392" i="7"/>
  <c r="J263" i="7"/>
  <c r="I263" i="7"/>
  <c r="J485" i="7"/>
  <c r="I485" i="7"/>
  <c r="J104" i="7"/>
  <c r="I104" i="7"/>
  <c r="J57" i="7"/>
  <c r="I57" i="7"/>
  <c r="J336" i="7"/>
  <c r="I336" i="7"/>
  <c r="J306" i="7"/>
  <c r="I306" i="7"/>
  <c r="J63" i="7"/>
  <c r="I63" i="7"/>
  <c r="J313" i="7"/>
  <c r="I313" i="7"/>
  <c r="J434" i="7"/>
  <c r="I434" i="7"/>
  <c r="I394" i="7"/>
  <c r="J394" i="7"/>
  <c r="J459" i="7"/>
  <c r="I459" i="7"/>
  <c r="J285" i="7"/>
  <c r="I285" i="7"/>
  <c r="J237" i="7"/>
  <c r="I237" i="7"/>
  <c r="J108" i="7"/>
  <c r="I108" i="7"/>
  <c r="I307" i="7"/>
  <c r="J307" i="7"/>
  <c r="J245" i="7"/>
  <c r="I245" i="7"/>
  <c r="I332" i="7"/>
  <c r="J332" i="7"/>
  <c r="J455" i="7"/>
  <c r="I455" i="7"/>
  <c r="J474" i="7"/>
  <c r="I474" i="7"/>
  <c r="J396" i="7"/>
  <c r="I396" i="7"/>
  <c r="J128" i="7"/>
  <c r="I128" i="7"/>
  <c r="J417" i="7"/>
  <c r="I417" i="7"/>
  <c r="J260" i="7"/>
  <c r="I260" i="7"/>
  <c r="J456" i="7"/>
  <c r="I456" i="7"/>
  <c r="J72" i="7"/>
  <c r="I72" i="7"/>
  <c r="I226" i="7"/>
  <c r="J226" i="7"/>
  <c r="J80" i="7"/>
  <c r="I80" i="7"/>
  <c r="J194" i="7"/>
  <c r="I194" i="7"/>
  <c r="J303" i="7"/>
  <c r="I303" i="7"/>
  <c r="J489" i="7"/>
  <c r="I489" i="7"/>
  <c r="I478" i="7"/>
  <c r="J478" i="7"/>
  <c r="J82" i="7"/>
  <c r="I82" i="7"/>
  <c r="J199" i="7"/>
  <c r="I199" i="7"/>
  <c r="I244" i="7"/>
  <c r="J244" i="7"/>
  <c r="G50" i="7"/>
  <c r="B16" i="2"/>
  <c r="J251" i="7"/>
  <c r="I251" i="7"/>
  <c r="J84" i="7"/>
  <c r="I84" i="7"/>
  <c r="J446" i="7"/>
  <c r="I446" i="7"/>
  <c r="J378" i="7"/>
  <c r="I378" i="7"/>
  <c r="J198" i="7"/>
  <c r="I198" i="7"/>
  <c r="J243" i="7"/>
  <c r="I243" i="7"/>
  <c r="J64" i="7"/>
  <c r="I64" i="7"/>
  <c r="I214" i="7"/>
  <c r="J214" i="7"/>
  <c r="J224" i="7"/>
  <c r="I224" i="7"/>
  <c r="J312" i="7"/>
  <c r="I312" i="7"/>
  <c r="J413" i="7"/>
  <c r="I413" i="7"/>
  <c r="J95" i="7"/>
  <c r="I95" i="7"/>
  <c r="I256" i="7"/>
  <c r="J256" i="7"/>
  <c r="J439" i="7"/>
  <c r="I439" i="7"/>
  <c r="J118" i="7"/>
  <c r="I118" i="7"/>
  <c r="J233" i="7"/>
  <c r="I233" i="7"/>
  <c r="J337" i="7"/>
  <c r="I337" i="7"/>
  <c r="J467" i="7"/>
  <c r="I467" i="7"/>
  <c r="J449" i="7"/>
  <c r="I449" i="7"/>
  <c r="J53" i="7"/>
  <c r="I53" i="7"/>
  <c r="J75" i="7"/>
  <c r="I75" i="7"/>
  <c r="J212" i="7"/>
  <c r="I212" i="7"/>
  <c r="J323" i="7"/>
  <c r="I323" i="7"/>
  <c r="I496" i="7"/>
  <c r="J496" i="7"/>
  <c r="J458" i="7"/>
  <c r="I458" i="7"/>
  <c r="J190" i="7"/>
  <c r="I190" i="7"/>
  <c r="J191" i="7"/>
  <c r="I191" i="7"/>
  <c r="J246" i="7"/>
  <c r="I246" i="7"/>
  <c r="I388" i="7"/>
  <c r="J388" i="7"/>
  <c r="J470" i="7"/>
  <c r="I470" i="7"/>
  <c r="J217" i="7"/>
  <c r="I217" i="7"/>
  <c r="J79" i="7"/>
  <c r="I79" i="7"/>
  <c r="I163" i="7"/>
  <c r="J163" i="7"/>
  <c r="J92" i="7"/>
  <c r="I92" i="7"/>
  <c r="J223" i="7"/>
  <c r="I223" i="7"/>
  <c r="J228" i="7"/>
  <c r="I228" i="7"/>
  <c r="J235" i="7"/>
  <c r="I235" i="7"/>
  <c r="J311" i="7"/>
  <c r="I311" i="7"/>
  <c r="I400" i="7"/>
  <c r="J400" i="7"/>
  <c r="J427" i="7"/>
  <c r="I427" i="7"/>
  <c r="I187" i="7"/>
  <c r="J187" i="7"/>
  <c r="J444" i="7"/>
  <c r="I444" i="7"/>
  <c r="J401" i="7"/>
  <c r="I401" i="7"/>
  <c r="I208" i="7"/>
  <c r="J208" i="7"/>
  <c r="I267" i="7"/>
  <c r="J267" i="7"/>
  <c r="J387" i="7"/>
  <c r="I387" i="7"/>
  <c r="J239" i="7"/>
  <c r="I239" i="7"/>
  <c r="J204" i="7"/>
  <c r="I204" i="7"/>
  <c r="J383" i="7"/>
  <c r="I383" i="7"/>
  <c r="J231" i="7"/>
  <c r="I231" i="7"/>
  <c r="J85" i="7"/>
  <c r="I85" i="7"/>
  <c r="I436" i="7"/>
  <c r="J436" i="7"/>
  <c r="J90" i="7"/>
  <c r="I90" i="7"/>
  <c r="J395" i="7"/>
  <c r="I395" i="7"/>
  <c r="J106" i="7"/>
  <c r="I106" i="7"/>
  <c r="J147" i="7"/>
  <c r="I147" i="7"/>
  <c r="J55" i="7"/>
  <c r="I55" i="7"/>
  <c r="I169" i="7"/>
  <c r="J169" i="7"/>
  <c r="J183" i="7"/>
  <c r="I183" i="7"/>
  <c r="J81" i="7"/>
  <c r="I81" i="7"/>
  <c r="J206" i="7"/>
  <c r="I206" i="7"/>
  <c r="I430" i="7"/>
  <c r="J430" i="7"/>
  <c r="J481" i="7"/>
  <c r="I481" i="7"/>
  <c r="J76" i="7"/>
  <c r="I76" i="7"/>
  <c r="J149" i="7"/>
  <c r="I149" i="7"/>
  <c r="J138" i="7"/>
  <c r="I138" i="7"/>
  <c r="J225" i="7"/>
  <c r="I225" i="7"/>
  <c r="J176" i="7"/>
  <c r="I176" i="7"/>
  <c r="I316" i="7"/>
  <c r="J316" i="7"/>
  <c r="J463" i="7"/>
  <c r="I463" i="7"/>
  <c r="J486" i="7"/>
  <c r="I486" i="7"/>
  <c r="J261" i="7"/>
  <c r="I261" i="7"/>
  <c r="J453" i="7"/>
  <c r="I453" i="7"/>
  <c r="J477" i="7"/>
  <c r="I477" i="7"/>
  <c r="J405" i="7"/>
  <c r="I405" i="7"/>
  <c r="J433" i="7"/>
  <c r="I433" i="7"/>
  <c r="J170" i="7"/>
  <c r="I170" i="7"/>
  <c r="J399" i="7"/>
  <c r="I399" i="7"/>
  <c r="J291" i="7"/>
  <c r="I291" i="7"/>
  <c r="J487" i="7"/>
  <c r="I487" i="7"/>
  <c r="J178" i="7"/>
  <c r="I178" i="7"/>
  <c r="J309" i="7"/>
  <c r="I309" i="7"/>
  <c r="J281" i="7"/>
  <c r="I281" i="7"/>
  <c r="I145" i="7"/>
  <c r="J145" i="7"/>
  <c r="I157" i="7"/>
  <c r="J157" i="7"/>
  <c r="J438" i="7"/>
  <c r="I438" i="7"/>
  <c r="J86" i="7"/>
  <c r="I86" i="7"/>
  <c r="J209" i="7"/>
  <c r="I209" i="7"/>
  <c r="J287" i="7"/>
  <c r="I287" i="7"/>
  <c r="J159" i="7"/>
  <c r="I159" i="7"/>
  <c r="J279" i="7"/>
  <c r="I279" i="7"/>
  <c r="J408" i="7"/>
  <c r="I408" i="7"/>
  <c r="J105" i="7"/>
  <c r="I105" i="7"/>
  <c r="J293" i="7"/>
  <c r="I293" i="7"/>
  <c r="I322" i="7"/>
  <c r="J322" i="7"/>
  <c r="J65" i="7"/>
  <c r="I65" i="7"/>
  <c r="J333" i="7"/>
  <c r="I333" i="7"/>
  <c r="J465" i="7"/>
  <c r="I465" i="7"/>
  <c r="J216" i="7"/>
  <c r="I216" i="7"/>
  <c r="J349" i="7"/>
  <c r="I349" i="7"/>
  <c r="J437" i="7"/>
  <c r="I437" i="7"/>
  <c r="J116" i="7"/>
  <c r="I116" i="7"/>
  <c r="J403" i="7"/>
  <c r="I403" i="7"/>
  <c r="J195" i="7"/>
  <c r="I195" i="7"/>
  <c r="J98" i="7"/>
  <c r="I98" i="7"/>
  <c r="J74" i="7"/>
  <c r="I74" i="7"/>
  <c r="J305" i="7"/>
  <c r="I305" i="7"/>
  <c r="J422" i="7"/>
  <c r="I422" i="7"/>
  <c r="J475" i="7"/>
  <c r="I475" i="7"/>
  <c r="J77" i="7"/>
  <c r="I77" i="7"/>
  <c r="J96" i="7"/>
  <c r="I96" i="7"/>
  <c r="J326" i="7"/>
  <c r="I326" i="7"/>
  <c r="I424" i="7"/>
  <c r="J424" i="7"/>
  <c r="J153" i="7"/>
  <c r="I153" i="7"/>
  <c r="J172" i="7"/>
  <c r="I172" i="7"/>
  <c r="I220" i="7"/>
  <c r="J220" i="7"/>
  <c r="J257" i="7"/>
  <c r="I257" i="7"/>
  <c r="J482" i="7"/>
  <c r="I482" i="7"/>
  <c r="J258" i="7"/>
  <c r="I258" i="7"/>
  <c r="J110" i="7"/>
  <c r="I110" i="7"/>
  <c r="J91" i="7"/>
  <c r="I91" i="7"/>
  <c r="J416" i="7"/>
  <c r="I416" i="7"/>
  <c r="J457" i="7"/>
  <c r="I457" i="7"/>
  <c r="I466" i="7"/>
  <c r="J466" i="7"/>
  <c r="J60" i="7"/>
  <c r="I60" i="7"/>
  <c r="J236" i="7"/>
  <c r="I236" i="7"/>
  <c r="J464" i="7"/>
  <c r="I464" i="7"/>
  <c r="J331" i="7"/>
  <c r="I331" i="7"/>
  <c r="J255" i="7"/>
  <c r="I255" i="7"/>
  <c r="J393" i="7"/>
  <c r="I393" i="7"/>
  <c r="J423" i="7"/>
  <c r="I423" i="7"/>
  <c r="J62" i="7"/>
  <c r="I62" i="7"/>
  <c r="I304" i="7"/>
  <c r="J304" i="7"/>
  <c r="J398" i="7"/>
  <c r="I398" i="7"/>
  <c r="J493" i="7"/>
  <c r="I493" i="7"/>
  <c r="I406" i="7"/>
  <c r="J406" i="7"/>
  <c r="J480" i="7"/>
  <c r="I480" i="7"/>
  <c r="J93" i="7"/>
  <c r="I93" i="7"/>
  <c r="J355" i="7"/>
  <c r="I355" i="7"/>
  <c r="J341" i="7"/>
  <c r="I341" i="7"/>
  <c r="J78" i="7"/>
  <c r="I78" i="7"/>
  <c r="I181" i="7"/>
  <c r="J181" i="7"/>
  <c r="J124" i="7"/>
  <c r="I124" i="7"/>
  <c r="J177" i="7"/>
  <c r="I177" i="7"/>
  <c r="J289" i="7"/>
  <c r="I289" i="7"/>
  <c r="J347" i="7"/>
  <c r="I347" i="7"/>
  <c r="J59" i="7"/>
  <c r="I59" i="7"/>
  <c r="I202" i="7"/>
  <c r="J202" i="7"/>
  <c r="J488" i="7"/>
  <c r="I488" i="7"/>
  <c r="J174" i="7"/>
  <c r="I174" i="7"/>
  <c r="J297" i="7"/>
  <c r="I297" i="7"/>
  <c r="J435" i="7"/>
  <c r="I435" i="7"/>
  <c r="J180" i="7"/>
  <c r="I180" i="7"/>
  <c r="J381" i="7"/>
  <c r="I381" i="7"/>
  <c r="J94" i="7"/>
  <c r="I94" i="7"/>
  <c r="J167" i="7"/>
  <c r="I167" i="7"/>
  <c r="J230" i="7"/>
  <c r="I230" i="7"/>
  <c r="J213" i="7"/>
  <c r="I213" i="7"/>
  <c r="J165" i="7"/>
  <c r="I165" i="7"/>
  <c r="J338" i="7"/>
  <c r="I338" i="7"/>
  <c r="J492" i="7"/>
  <c r="I492" i="7"/>
  <c r="J498" i="7"/>
  <c r="I498" i="7"/>
  <c r="J73" i="7"/>
  <c r="I73" i="7"/>
  <c r="J168" i="7"/>
  <c r="I168" i="7"/>
  <c r="J205" i="7"/>
  <c r="I205" i="7"/>
  <c r="J390" i="7"/>
  <c r="I390" i="7"/>
  <c r="J314" i="7"/>
  <c r="I314" i="7"/>
  <c r="J494" i="7"/>
  <c r="I494" i="7"/>
  <c r="I103" i="7"/>
  <c r="J103" i="7"/>
  <c r="J136" i="7"/>
  <c r="I136" i="7"/>
  <c r="J271" i="7"/>
  <c r="I271" i="7"/>
  <c r="I232" i="7"/>
  <c r="J232" i="7"/>
  <c r="J241" i="7"/>
  <c r="I241" i="7"/>
  <c r="J386" i="7"/>
  <c r="I386" i="7"/>
  <c r="J473" i="7"/>
  <c r="I473" i="7"/>
  <c r="I490" i="7"/>
  <c r="J490" i="7"/>
  <c r="J299" i="7"/>
  <c r="I299" i="7"/>
  <c r="J345" i="7"/>
  <c r="I345" i="7"/>
  <c r="J471" i="7"/>
  <c r="I471" i="7"/>
  <c r="J61" i="7"/>
  <c r="I61" i="7"/>
  <c r="J265" i="7"/>
  <c r="I265" i="7"/>
  <c r="J234" i="7"/>
  <c r="I234" i="7"/>
  <c r="I382" i="7"/>
  <c r="J382" i="7"/>
  <c r="J335" i="7"/>
  <c r="I335" i="7"/>
  <c r="I472" i="7"/>
  <c r="J472" i="7"/>
  <c r="J450" i="7"/>
  <c r="I450" i="7"/>
  <c r="J50" i="7" l="1"/>
  <c r="I50" i="7"/>
  <c r="B13" i="2"/>
</calcChain>
</file>

<file path=xl/sharedStrings.xml><?xml version="1.0" encoding="utf-8"?>
<sst xmlns="http://schemas.openxmlformats.org/spreadsheetml/2006/main" count="2510" uniqueCount="973">
  <si>
    <t>Chitrakala Inventory Sync Template - Updated to Match Actual DB Exports</t>
  </si>
  <si>
    <t>Paste refreshed DB export CSVs into the matching DB_* tabs starting at A1 including headers. The Inventory_Master, Potential_Issues_Auto, and Sync_Summary tabs update from formulas.</t>
  </si>
  <si>
    <t>DB_Artworks_Export exact columns</t>
  </si>
  <si>
    <t>id, title, category_slug, category_name, description, materials, price_inr, price_usd, fx_rate_used, multiplier_used, featured, image, created_at, updated_at</t>
  </si>
  <si>
    <t>DB_Artwork_Sizes_Export exact columns</t>
  </si>
  <si>
    <t>id, artwork_id, artwork_title, size_label, price, price_usd, created_at</t>
  </si>
  <si>
    <t>DB_Categories_Export exact columns</t>
  </si>
  <si>
    <t>id, name, description, image, display_order</t>
  </si>
  <si>
    <t>Do not edit DB tabs</t>
  </si>
  <si>
    <t>These tabs are raw exports. Replace/paste exports only, keeping the same column order.</t>
  </si>
  <si>
    <t>Inventory_Master</t>
  </si>
  <si>
    <t>DB columns are auto-populated from DB_Artworks_Export in the exact exported order. Do not type over DB columns. Use Corrected_* columns for proposed changes.</t>
  </si>
  <si>
    <t>Manual columns</t>
  </si>
  <si>
    <t>Sync Action, Inventory SKU, Corrected_* fields, Inventory Notes, Intern Review Notes.</t>
  </si>
  <si>
    <t>Formula columns</t>
  </si>
  <si>
    <t>Formula columns include Suggested Sync Action, Validation Status, DB current fields, Category Validation, Size Variant Count, First Size Label/Price fields, Size Review Flag, and Final_* fields.</t>
  </si>
  <si>
    <t>Potential_Issues_Auto</t>
  </si>
  <si>
    <t>Automatically flags invalid category, missing price, missing image, and size variant review rows.</t>
  </si>
  <si>
    <t>Reconciliation_Report</t>
  </si>
  <si>
    <t>Manual issue log. Use Potential_Issues_Auto to identify what to log.</t>
  </si>
  <si>
    <t>Import_Validation_Rules</t>
  </si>
  <si>
    <t>Updated for actual export columns. Add rules only if a new business rule is discovered.</t>
  </si>
  <si>
    <t>Chitrakala Inventory Sync Summary</t>
  </si>
  <si>
    <t>Metric</t>
  </si>
  <si>
    <t>Formula/Value</t>
  </si>
  <si>
    <t>Notes</t>
  </si>
  <si>
    <t>DB artworks count</t>
  </si>
  <si>
    <t>Rows in DB_Artworks_Export</t>
  </si>
  <si>
    <t>DB artwork size rows count</t>
  </si>
  <si>
    <t>Rows in DB_Artwork_Sizes_Export</t>
  </si>
  <si>
    <t>DB categories count</t>
  </si>
  <si>
    <t>Rows in DB_Categories_Export</t>
  </si>
  <si>
    <t>Inventory rows loaded</t>
  </si>
  <si>
    <t>Auto-populated from DB export</t>
  </si>
  <si>
    <t>Manual Sync Action - CREATE</t>
  </si>
  <si>
    <t>Entered by intern</t>
  </si>
  <si>
    <t>Manual Sync Action - UPDATE</t>
  </si>
  <si>
    <t>Manual Sync Action - NO_CHANGE</t>
  </si>
  <si>
    <t>Manual Sync Action - ARCHIVE</t>
  </si>
  <si>
    <t>Manual Sync Action - REVIEW</t>
  </si>
  <si>
    <t>Potential issue rows</t>
  </si>
  <si>
    <t>Formula-driven issue helper</t>
  </si>
  <si>
    <t>Invalid category rows</t>
  </si>
  <si>
    <t>Should be zero</t>
  </si>
  <si>
    <t>Size variant artworks</t>
  </si>
  <si>
    <t>Review size pricing</t>
  </si>
  <si>
    <t>Missing image rows</t>
  </si>
  <si>
    <t>Review image path</t>
  </si>
  <si>
    <t>id</t>
  </si>
  <si>
    <t>title</t>
  </si>
  <si>
    <t>category_slug</t>
  </si>
  <si>
    <t>category_name</t>
  </si>
  <si>
    <t>description</t>
  </si>
  <si>
    <t>materials</t>
  </si>
  <si>
    <t>price_inr</t>
  </si>
  <si>
    <t>price_usd</t>
  </si>
  <si>
    <t>fx_rate_used</t>
  </si>
  <si>
    <t>multiplier_used</t>
  </si>
  <si>
    <t>featured</t>
  </si>
  <si>
    <t>image</t>
  </si>
  <si>
    <t>created_at</t>
  </si>
  <si>
    <t>updated_at</t>
  </si>
  <si>
    <t>art-1770419263598</t>
  </si>
  <si>
    <t>Eternal Glow – Mandala of Light and Balance</t>
  </si>
  <si>
    <t>dot-mandala</t>
  </si>
  <si>
    <t>Dot Mandala Art</t>
  </si>
  <si>
    <t>A striking hand-painted dot mandala artwork bursting with warmth and movement. Set against a deep black background, layers of flowing petal-like forms in rich shades of orange, amber, gold, and green radiate outward from a detailed center, creating a sense of balance and positive energy. Every dot and stroke is carefully placed by hand, making this piece truly one of a kind.
Perfect as a statement wall décor or tabletop display, this mandala brings vibrancy and artistic depth to living rooms, meditation spaces, offices, or creative corners. An eye-catching handmade gift for housewarmings, festivals, weddings, or for anyone who appreciates meaningful, soulful art.</t>
  </si>
  <si>
    <t>Wood</t>
  </si>
  <si>
    <t>4000.00</t>
  </si>
  <si>
    <t>76.00</t>
  </si>
  <si>
    <t>92.4000</t>
  </si>
  <si>
    <t>1.7500</t>
  </si>
  <si>
    <t>f</t>
  </si>
  <si>
    <t>https://chitrakalaarts-production.up.railway.app/api/images/artworks/art-1770419263598</t>
  </si>
  <si>
    <t>2026-02-10 17:54:35.568324</t>
  </si>
  <si>
    <t>2026-03-17 03:31:03.482303</t>
  </si>
  <si>
    <t>art-1770419392051</t>
  </si>
  <si>
    <t>Blush Serenity Mandala – Art in Soft Pink &amp; White</t>
  </si>
  <si>
    <t>A delicate hand-painted dot mandala artwork created in soothing blush pink and white tones. Intricate layers of flowing patterns and finely placed dots form a harmonious circular design that radiates calm, balance, and elegance. Each detail is painted by hand, making this artwork a truly one-of-a-kind piece.
Perfect for adding a soft, peaceful touch to living rooms, bedrooms, meditation corners, or creative spaces, this mandala also makes a thoughtful handmade gift for housewarmings, weddings, anniversaries, or festive occasions. Its gentle color palette blends beautifully with modern, boho, and minimalist interiors.</t>
  </si>
  <si>
    <t>https://chitrakalaarts-production.up.railway.app/api/images/artworks/art-1770419392051</t>
  </si>
  <si>
    <t>2026-03-17 03:31:03.510591</t>
  </si>
  <si>
    <t>art-1770419460850</t>
  </si>
  <si>
    <t>Mandala in Blue and Peach</t>
  </si>
  <si>
    <t>A captivating hand-painted round dot mandala artwork created in serene shades of blue and soft peach. Layers of intricate dot work and flowing floral patterns come together in perfect harmony, evoking a sense of calm, warmth, and balance. The soothing blue tones bring tranquility, while the peach accents add a gentle glow, making this piece both peaceful and uplifting.
Each mandala is carefully painted by hand, ensuring every artwork is unique. Perfect as a statement wall décor, shelf display, or meditation centerpiece, this mandala adds refined beauty to living rooms, bedrooms, yoga spaces, or creative corners. It also makes a thoughtful handmade gift for housewarmings, weddings, festivals, or special occasions.
18" - Rs 6200
24"  Rs 8000
36" Rs 16000</t>
  </si>
  <si>
    <t>https://chitrakalaarts-production.up.railway.app/api/images/artworks/art-1770419460850</t>
  </si>
  <si>
    <t>2026-03-17 03:31:03.532958</t>
  </si>
  <si>
    <t>art-1770771760544</t>
  </si>
  <si>
    <t>Hand-Painted Keychains (set of 5)</t>
  </si>
  <si>
    <t>Brighten someone’s day with these hand-painted dot mandala wooden keychains, full of color and joyful detail. A thoughtful and affordable gift for festivals, return gifts, party favors, or stocking stuffers—each piece handmade to spread happiness and charm.</t>
  </si>
  <si>
    <t>450.00</t>
  </si>
  <si>
    <t>9.00</t>
  </si>
  <si>
    <t>https://chitrakalaarts-production.up.railway.app/api/images/artworks/art-1770771760544</t>
  </si>
  <si>
    <t>2026-02-11 01:02:40.581985</t>
  </si>
  <si>
    <t>2026-03-17 03:31:03.473272</t>
  </si>
  <si>
    <t>art-1770771970545</t>
  </si>
  <si>
    <t>Mango-Shaped storage box</t>
  </si>
  <si>
    <t>Unique hand-painted mango-shaped wooden storage box decorated with detailed dot mandala artwork. Ideal for storing jewelry, trinkets, or small keepsakes while bringing a playful yet traditional artistic touch to your décor.</t>
  </si>
  <si>
    <t>https://chitrakalaarts-production.up.railway.app/api/images/artworks/art-1770771970545</t>
  </si>
  <si>
    <t>2026-02-11 01:06:10.580553</t>
  </si>
  <si>
    <t>2026-03-17 03:31:03.469417</t>
  </si>
  <si>
    <t>art-1770775579766</t>
  </si>
  <si>
    <t>Intricate Floral Mandala Art in Green &amp; Gold</t>
  </si>
  <si>
    <t>An exquisite hand-painted dot mandala artwork, created with intricate layers of delicate dots and flowing floral patterns. Painted in soothing green and warm gold tones, this mandala radiates harmony, balance, and timeless beauty. Every detail is carefully handcrafted, making each piece truly one of a kind.
Perfect as a statement wall décor, shelf accent, or meditation centerpiece, this mandala art brings a sense of calm and elegance to living rooms, entryways, yoga spaces, or gifting occasions. A meaningful handmade gift for art lovers, housewarmings, weddings, or festive celebrations.</t>
  </si>
  <si>
    <t>wood</t>
  </si>
  <si>
    <t>t</t>
  </si>
  <si>
    <t>https://chitrakalaarts-production.up.railway.app/api/images/artworks/art-1770775579766</t>
  </si>
  <si>
    <t>2026-02-11 02:06:19.802205</t>
  </si>
  <si>
    <t>2026-03-17 03:31:03.464546</t>
  </si>
  <si>
    <t>art-1770777152872</t>
  </si>
  <si>
    <t>Sacred Geometry in Clay &amp; Mirror</t>
  </si>
  <si>
    <t>lippan-art</t>
  </si>
  <si>
    <t>Lippan Art</t>
  </si>
  <si>
    <t>A stunning Lippan art panel handcrafted with clay motifs and delicate mirror inlays, radiating harmony through its geometric symmetry. Framed by vibrant earthy tones, it brings a serene glow to any space.</t>
  </si>
  <si>
    <t>8000.00</t>
  </si>
  <si>
    <t>152.00</t>
  </si>
  <si>
    <t>https://chitrakalaarts-production.up.railway.app/api/images/artworks/art-1770777152872</t>
  </si>
  <si>
    <t>2026-02-11 02:32:32.911059</t>
  </si>
  <si>
    <t>2026-04-28 17:54:38.817767</t>
  </si>
  <si>
    <t>art-1770778179564</t>
  </si>
  <si>
    <t>Colorful Mandala KeyChain Holder</t>
  </si>
  <si>
    <t>Handcrafted wooden key holder adorned with a vibrant dot mandala design in calming shades of purple and teal. Finished with sturdy hooks, it’s perfect for organizing keys while adding a touch of artistic elegance to your home décor. A beautiful blend of functionality and mindful art—ideal for entryways or as a thoughtful handmade gift.</t>
  </si>
  <si>
    <t>1000.00</t>
  </si>
  <si>
    <t>19.00</t>
  </si>
  <si>
    <t>https://chitrakalaarts-production.up.railway.app/api/images/artworks/art-1770778179564</t>
  </si>
  <si>
    <t>2026-02-11 02:49:39.60251</t>
  </si>
  <si>
    <t>2026-03-17 03:31:03.453632</t>
  </si>
  <si>
    <t>art-1770778384172</t>
  </si>
  <si>
    <t>Butterfly Set (3 pieces)</t>
  </si>
  <si>
    <t>A graceful butterfly brought to life through intricate dot mandala artistry, this hand-painted piece symbolizes transformation, joy, and renewal. Rendered in warm shades of gold, green, and soft orange, each delicate dot adds depth, movement, and a gentle sense of harmony. Perfect as a mindful décor piece, this artwork radiates elegance and positive energy—an exquisite reminder of beauty in transformation. Available in set of 3 - 8*, 6", 4"</t>
  </si>
  <si>
    <t>1500.00</t>
  </si>
  <si>
    <t>28.00</t>
  </si>
  <si>
    <t>https://chitrakalaarts-production.up.railway.app/api/images/artworks/art-1770778384172</t>
  </si>
  <si>
    <t>2026-02-11 02:53:04.203783</t>
  </si>
  <si>
    <t>2026-03-17 03:31:03.447787</t>
  </si>
  <si>
    <t>art-1770778509370</t>
  </si>
  <si>
    <t>Coaster Set (4 pieces)</t>
  </si>
  <si>
    <t>Add a touch of handcrafted elegance to your everyday moments with this hand-painted dot mandala coaster set. Each coaster is meticulously adorned with intricate dot patterns, radiating symmetry, balance, and calming energy. The rich colors and delicate detailing create a harmonious blend of art and function, protecting your surfaces while elevating your décor. Perfect for tea tables, coffee corners, or thoughtful gifting, this coaster set brings mindful beauty and artisanal charm into every sip.
Set of 4 - Rs 750
Set of 6 - Rs 1000</t>
  </si>
  <si>
    <t>800.00</t>
  </si>
  <si>
    <t>15.00</t>
  </si>
  <si>
    <t>https://chitrakalaarts-production.up.railway.app/api/images/artworks/art-1770778509370</t>
  </si>
  <si>
    <t>2026-02-11 02:55:09.407983</t>
  </si>
  <si>
    <t>2026-03-17 03:31:03.442637</t>
  </si>
  <si>
    <t>art-1770778808201</t>
  </si>
  <si>
    <t>Serene Teal Floral Mandala Box</t>
  </si>
  <si>
    <t>Hand-painted dot mandala box in soothing teal and turquoise tones, adorned with intricate floral patterns. A perfect accent piece for storing jewelry, keys, or small keepsakes—bringing calm, color, and handmade charm to any space</t>
  </si>
  <si>
    <t>https://chitrakalaarts-production.up.railway.app/api/images/artworks/art-1770778808201</t>
  </si>
  <si>
    <t>2026-02-11 03:00:08.235036</t>
  </si>
  <si>
    <t>2026-03-17 03:31:03.439328</t>
  </si>
  <si>
    <t>art-1770779054676</t>
  </si>
  <si>
    <t>Floral Rectangular Wooden Storage Box</t>
  </si>
  <si>
    <t>Bring vibrant artistry into your home with this beautifully hand‑painted rectangular wooden storage box. Featuring an intricate floral design in rich shades of orange, green, mustard, and white, the artwork is set against a deep, elegant background that makes every detail pop. The flowing patterns and delicate dot work create a striking centerpiece that reflects traditional craftsmanship with a modern touch.</t>
  </si>
  <si>
    <t>https://chitrakalaarts-production.up.railway.app/api/images/artworks/art-1770779054676</t>
  </si>
  <si>
    <t>2026-02-11 03:04:14.712276</t>
  </si>
  <si>
    <t>2026-03-17 03:31:03.43306</t>
  </si>
  <si>
    <t>art-1770779208267</t>
  </si>
  <si>
    <t>Rectangular Wooden box</t>
  </si>
  <si>
    <t>Hand-painted rectangular wooden box featuring beautiful dot mandala artwork delicately painted along the top and bottom borders on all sides. The intricate detailing adds a touch of elegance while keeping the design balanced and timeless. Perfect for storing jewelry, incense, stationery, or small keepsakes, this handcrafted box makes a lovely décor accent</t>
  </si>
  <si>
    <t>700.00</t>
  </si>
  <si>
    <t>13.00</t>
  </si>
  <si>
    <t>https://chitrakalaarts-production.up.railway.app/api/images/artworks/art-1770779208267</t>
  </si>
  <si>
    <t>2026-02-11 03:06:48.303533</t>
  </si>
  <si>
    <t>2026-05-01 22:02:14.458598</t>
  </si>
  <si>
    <t>art-1770933508740</t>
  </si>
  <si>
    <t>Canvas Bag - Birds</t>
  </si>
  <si>
    <t>textile-design</t>
  </si>
  <si>
    <t>Textile Art</t>
  </si>
  <si>
    <t>Beautiful, colorful birds sitting on a tree branch.</t>
  </si>
  <si>
    <t>Canvas Cloth</t>
  </si>
  <si>
    <t>2000.00</t>
  </si>
  <si>
    <t>38.00</t>
  </si>
  <si>
    <t>https://chitrakalaarts-production.up.railway.app/api/images/artworks/art-1770933508740</t>
  </si>
  <si>
    <t>2026-02-12 21:58:28.780157</t>
  </si>
  <si>
    <t>2026-03-17 03:31:03.42688</t>
  </si>
  <si>
    <t>art-1771030266195</t>
  </si>
  <si>
    <t>Hand-Painted Floral Saree</t>
  </si>
  <si>
    <t>Wrap yourself in art.
This exquisite hand‑painted saree is a celebration of craftsmanship, tradition, and delicate beauty. Designed on a soft, lightweight fabric that drapes effortlessly, it features intricate floral motifs painted by hand and accented with fine embroidery and shimmering embellishments. Every detail—each petal, each stitch—reflects hours of skilled artisan work.</t>
  </si>
  <si>
    <t>Georgette</t>
  </si>
  <si>
    <t>20000.00</t>
  </si>
  <si>
    <t>379.00</t>
  </si>
  <si>
    <t>https://chitrakalaarts-production.up.railway.app/api/images/artworks/art-1771030266195</t>
  </si>
  <si>
    <t>2026-02-14 00:51:06.225062</t>
  </si>
  <si>
    <t>2026-03-17 03:31:03.418899</t>
  </si>
  <si>
    <t>art-1771030980031</t>
  </si>
  <si>
    <t>Midnight Plum Hand-Painted Floral Saree</t>
  </si>
  <si>
    <t>Wrap yourself in effortless elegance with this stunning midnight plum saree, adorned with delicately hand-painted floral motifs. Each bloom unfolds in soft shades of lavender, blush, and muted gold, accented with graceful green leaves that dance across the rich, deep backdrop.
The artwork carries a romantic, almost vintage charm — subtle shimmer detailing adds depth and dimension, making the florals appear beautifully alive against the luxurious base. Perfect for evening gatherings, festive celebrations, cultural events, or intimate occasions where you want to make a refined yet unforgettable statement.</t>
  </si>
  <si>
    <t>Pure Wrinkle Cr</t>
  </si>
  <si>
    <t>18000.00</t>
  </si>
  <si>
    <t>341.00</t>
  </si>
  <si>
    <t>https://chitrakalaarts-production.up.railway.app/api/images/artworks/art-1771030980031</t>
  </si>
  <si>
    <t>2026-02-14 01:03:00.070567</t>
  </si>
  <si>
    <t>2026-03-17 03:31:03.41179</t>
  </si>
  <si>
    <t>art-1771031213758</t>
  </si>
  <si>
    <t>Soft Romantic Pastel Drape with Lavender Blooms</t>
  </si>
  <si>
    <t>Delicate, dreamy, and effortlessly graceful — this blush pink saree is a celebration of soft femininity and timeless artistry. Hand-painted with blooming lavender and rose-toned florals, the design flows gently across the fabric with elegant vine patterns and fresh green leaves.
The pastel base enhances the airy watercolor effect of the flowers, creating a light, romantic aesthetic that feels both classic and contemporary. The subtle shimmer accents add just the right hint of refinement, making it perfect for daytime celebrations, festive gatherings, brunch events, or intimate occasions.</t>
  </si>
  <si>
    <t>Pure Chiffon</t>
  </si>
  <si>
    <t>12000.00</t>
  </si>
  <si>
    <t>227.00</t>
  </si>
  <si>
    <t>https://chitrakalaarts-production.up.railway.app/api/images/artworks/art-1771031213758</t>
  </si>
  <si>
    <t>2026-02-14 01:06:53.787794</t>
  </si>
  <si>
    <t>2026-03-17 03:31:03.406274</t>
  </si>
  <si>
    <t>art-1771033398626</t>
  </si>
  <si>
    <t>Teal &amp; Blue Boho Decorative Round</t>
  </si>
  <si>
    <t>A small piece with a powerful presence. Available as single piece or in set.
This mandala is more than décor — it’s a symbol of unity, mindfulness, and creative energy, crafted with patience and love.
Add a touch of vibrant harmony to your space with this beautifully hand-painted 6-inch round dot mandala artwork. Designed with intricate layers of carefully placed dots, this piece radiates balance, calm, and artistic elegance.</t>
  </si>
  <si>
    <t>https://chitrakalaarts-production.up.railway.app/api/images/artworks/art-1771033398626</t>
  </si>
  <si>
    <t>2026-02-14 01:43:18.656885</t>
  </si>
  <si>
    <t>2026-03-17 03:31:03.400385</t>
  </si>
  <si>
    <t>art-1771101879286</t>
  </si>
  <si>
    <t>Decorative Serving Board</t>
  </si>
  <si>
    <t>Elevate your kitchen and dining space with this exquisite hand-painted wooden serving board.
• Hand painted Durable wooden base with smooth finish
• Intricate dot mandala design – each piece is one-of-a-kind
• Sealed for light use and easy maintenance
✨ Perfect For:
• Housewarming gifts
• Wedding or anniversary presents
• Boho or rustic kitchen décor
• Art lovers and handmade collectors</t>
  </si>
  <si>
    <t>https://chitrakalaarts-production.up.railway.app/api/images/artworks/art-1771101879286</t>
  </si>
  <si>
    <t>2026-02-14 20:44:39.314116</t>
  </si>
  <si>
    <t>2026-03-22 14:12:58.425012</t>
  </si>
  <si>
    <t>art-1771101978525</t>
  </si>
  <si>
    <t>Hand painted Tussar Saree</t>
  </si>
  <si>
    <t>Beautiful hand painted saree with Ornamental design all over</t>
  </si>
  <si>
    <t>Pure Tussar</t>
  </si>
  <si>
    <t>22000.00</t>
  </si>
  <si>
    <t>417.00</t>
  </si>
  <si>
    <t>https://chitrakalaarts-production.up.railway.app/api/images/artworks/art-1771101978525</t>
  </si>
  <si>
    <t>2026-02-14 20:46:18.553613</t>
  </si>
  <si>
    <t>2026-03-17 03:31:03.383394</t>
  </si>
  <si>
    <t>art-1771102194181</t>
  </si>
  <si>
    <t>Beautiful dot mandala coaster set in variety of patterns and colors</t>
  </si>
  <si>
    <t>https://chitrakalaarts-production.up.railway.app/api/images/artworks/art-1771102194181</t>
  </si>
  <si>
    <t>2026-02-14 20:49:54.209497</t>
  </si>
  <si>
    <t>2026-03-20 01:19:53.847521</t>
  </si>
  <si>
    <t>art-1771102482592</t>
  </si>
  <si>
    <t>Decorative Wall Panel</t>
  </si>
  <si>
    <t>Beautiful piece decorated with clay and mirrors</t>
  </si>
  <si>
    <t>Wood, Clay and Mirrors</t>
  </si>
  <si>
    <t>3000.00</t>
  </si>
  <si>
    <t>57.00</t>
  </si>
  <si>
    <t>https://chitrakalaarts-production.up.railway.app/api/images/artworks/art-1771102482592</t>
  </si>
  <si>
    <t>2026-02-14 20:54:42.622311</t>
  </si>
  <si>
    <t>2026-03-17 03:31:03.372791</t>
  </si>
  <si>
    <t>art-1771102578812</t>
  </si>
  <si>
    <t>Beautiful arrangement with clay, colors and mirrors</t>
  </si>
  <si>
    <t>1800.00</t>
  </si>
  <si>
    <t>34.00</t>
  </si>
  <si>
    <t>https://chitrakalaarts-production.up.railway.app/api/images/artworks/art-1771102578812</t>
  </si>
  <si>
    <t>2026-02-14 20:56:18.840844</t>
  </si>
  <si>
    <t>2026-03-17 03:31:03.365304</t>
  </si>
  <si>
    <t>art-1771102688340</t>
  </si>
  <si>
    <t>Small decorative Rounds (set of 5)</t>
  </si>
  <si>
    <t>Small accent pieces</t>
  </si>
  <si>
    <t>1200.00</t>
  </si>
  <si>
    <t>23.00</t>
  </si>
  <si>
    <t>https://chitrakalaarts-production.up.railway.app/api/images/artworks/art-1771102688340</t>
  </si>
  <si>
    <t>2026-02-14 20:58:08.369507</t>
  </si>
  <si>
    <t>2026-03-17 03:31:03.359987</t>
  </si>
  <si>
    <t>art-1771454920479</t>
  </si>
  <si>
    <t>Canvas Bag - Flowers</t>
  </si>
  <si>
    <t>Beautiful flowers with a butterflies showcased on a canvas bag.</t>
  </si>
  <si>
    <t>https://chitrakalaarts-production.up.railway.app/api/images/artworks/art-1771454920479</t>
  </si>
  <si>
    <t>2026-02-18 22:48:40.514052</t>
  </si>
  <si>
    <t>2026-03-17 03:31:03.353663</t>
  </si>
  <si>
    <t>art-1771902788998</t>
  </si>
  <si>
    <t>Hand Painted Wooden Mandala Tray (fillable Round)</t>
  </si>
  <si>
    <t>An exquisite hand-painted wooden round mandala tray, designed to elevate your space with rich heritage and refined artistry. Set against a deep maroon base, intricate layers of radiant orange, green, and gold detailing form a beautifully balanced floral mandala — each element carefully painted by hand.
Crafted on a solid wooden base and sealed for durability, this piece is designed as a decorative table accent — perfect for styling on a coffee table, console, or festive setting.
Elegant, vibrant, and one-of-a-kind, it brings a touch of artisanal luxury and timeless craftsmanship into your home.</t>
  </si>
  <si>
    <t>1100.00</t>
  </si>
  <si>
    <t>21.00</t>
  </si>
  <si>
    <t>https://chitrakalaarts-production.up.railway.app/api/images/artworks/art-1771902788998</t>
  </si>
  <si>
    <t>2026-02-24 03:13:09.029351</t>
  </si>
  <si>
    <t>2026-03-17 03:31:03.34836</t>
  </si>
  <si>
    <t>art-1771903158477</t>
  </si>
  <si>
    <t>Luxury Lippan Art Wall Panel</t>
  </si>
  <si>
    <t>A harmonious blend of tradition and contemporary luxury — designed to bring texture, light, and artistry into your space.
The soft white tones, subtle metallic highlights, and reflective mirror detailing create a sophisticated statement — perfect for modern, minimal, or luxury interiors.
Each element is meticulously shaped and placed by hand, making every piece truly one of a kind.
Ideal for living rooms, entryways, meditation spaces, or as an elevated festive accent.</t>
  </si>
  <si>
    <t>https://chitrakalaarts-production.up.railway.app/api/images/artworks/art-1771903158477</t>
  </si>
  <si>
    <t>2026-02-24 03:19:18.506343</t>
  </si>
  <si>
    <t>2026-04-28 17:53:57.339945</t>
  </si>
  <si>
    <t>art-1771903526915</t>
  </si>
  <si>
    <t>Handcrafted Mud &amp; Mirror Floral Mandala</t>
  </si>
  <si>
    <t>A bold celebration of heritage and artistry, this handcrafted Lippan artwork features an exquisite floral mandala sculpted in raised mud work and adorned with delicate mirror accents. Set against a rich crimson backdrop, the intricate white relief detailing creates a striking contrast, while the central mirror reflects light beautifully, adding depth and dimension.
Inspired by the traditional mud and mirror art of Kutch, this piece blends cultural craftsmanship with refined elegance, making it a captivating statement for living rooms, entryways, or festive interiors.</t>
  </si>
  <si>
    <t>2800.00</t>
  </si>
  <si>
    <t>53.00</t>
  </si>
  <si>
    <t>https://chitrakalaarts-production.up.railway.app/api/images/artworks/art-1771903526915</t>
  </si>
  <si>
    <t>2026-02-24 03:25:26.943345</t>
  </si>
  <si>
    <t>2026-03-17 03:31:03.334012</t>
  </si>
  <si>
    <t>art-1771903835260</t>
  </si>
  <si>
    <t>Wooden Coaster Set</t>
  </si>
  <si>
    <t>Elevate your everyday moments with this exquisite set of hand-painted wooden coasters, adorned with intricate dot mandala artistry. Each coaster is carefully detailed with layered patterns of delicate dots, creating a harmonious design that feels both vibrant and meditative.
Crafted on sturdy wooden bases and sealed for durability, these coasters are as functional as they are beautiful — protecting your surfaces while adding an artistic touch to your coffee table, dining space, or work desk.
No two pieces are exactly alike, making your set truly one of a kind.</t>
  </si>
  <si>
    <t>https://chitrakalaarts-production.up.railway.app/api/images/artworks/art-1771903835260</t>
  </si>
  <si>
    <t>2026-02-24 03:30:35.290121</t>
  </si>
  <si>
    <t>2026-03-22 13:54:44.573696</t>
  </si>
  <si>
    <t>art-1771904016600</t>
  </si>
  <si>
    <t>Heart Shaped Wooden Coaster Set</t>
  </si>
  <si>
    <t>Add a touch of love and artistry to your space with this charming set of heart-shaped wooden coasters, delicately hand-painted in intricate dot mandala patterns. Each piece is thoughtfully crafted with fine detailing and harmonious color layers, creating a design that feels both romantic and refined.
Made on durable wooden bases and carefully sealed for protection, these coasters blend beauty with function — perfect for styling your coffee table, bedside, or intimate gatherings.
Their heart silhouette makes them a meaningful gift for weddings, anniversaries, housewarmings, or simply to celebrate everyday moments.</t>
  </si>
  <si>
    <t>https://chitrakalaarts-production.up.railway.app/api/images/artworks/art-1771904016600</t>
  </si>
  <si>
    <t>2026-02-24 03:33:36.62971</t>
  </si>
  <si>
    <t>2026-03-17 03:31:03.310965</t>
  </si>
  <si>
    <t>art-1772897507182</t>
  </si>
  <si>
    <t>Peach &amp; Ivory Mirror Work Mandala</t>
  </si>
  <si>
    <t>Bring timeless elegance and traditional craftsmanship into your home with this exquisite handcrafted Lippan art wall décor. Created on a 24” x 24” panel, this stunning piece features an intricate mandala-inspired design highlighted with delicate mirror work and fine raised detailing.
Set against a soft peach background, the symmetrical patterns bloom outward with graceful floral and geometric motifs. Each tiny mirror and hand-sculpted element reflects light beautifully, creating a subtle shimmer that brings the artwork to life. The carefully detailed border frames the central mandala, giving the piece a royal and sophisticated presence.
Inspired by traditional Kutchi Lippan mud art of India, this modern interpretation blends heritage craftsmanship with contemporary elegance, making it a perfect statement piece for living rooms, entryways, meditation spaces, or luxury interiors.</t>
  </si>
  <si>
    <t>https://chitrakalaarts-production.up.railway.app/api/images/artworks/art-1772897507182</t>
  </si>
  <si>
    <t>2026-03-07 15:31:47.212473</t>
  </si>
  <si>
    <t>2026-04-28 17:52:33.072909</t>
  </si>
  <si>
    <t>art-1772899719136</t>
  </si>
  <si>
    <t>Lippan Art Small decorative Squares (set of 5)</t>
  </si>
  <si>
    <t>Decorative squares and round in a set of 5</t>
  </si>
  <si>
    <t>https://chitrakalaarts-production.up.railway.app/api/images/artworks/art-1772899719136</t>
  </si>
  <si>
    <t>2026-03-07 16:08:39.216183</t>
  </si>
  <si>
    <t>2026-03-22 13:52:52.683408</t>
  </si>
  <si>
    <t>art-1772942427729</t>
  </si>
  <si>
    <t>Hand-Painted Blue &amp; Green Dot Mandala Wall Art</t>
  </si>
  <si>
    <t>Bring harmony, color, and intricate beauty into your space with this hand-painted dot mandala artwork, created with meticulous layers of delicate dots and flowing patterns. This piece features soothing shades of deep blue, teal, and green, accented with subtle gold highlights, forming a mesmerizing mandala that radiates balance and symmetry.
Each dot is carefully placed by hand to create a stunning pattern that draws the eye toward the center, symbolizing calm, focus, and unity. The rich color palette and detailed design make it a striking statement piece for living rooms, meditation spaces, yoga studios, or boho-inspired interiors.</t>
  </si>
  <si>
    <t>https://chitrakalaarts-production.up.railway.app/api/images/artworks/art-1772942427729</t>
  </si>
  <si>
    <t>2026-03-08 04:00:27.794878</t>
  </si>
  <si>
    <t>2026-03-17 15:17:48.809019</t>
  </si>
  <si>
    <t>art-1772991773037</t>
  </si>
  <si>
    <t>Elegant Pink Floral Texture Wall Art – 4 Panel Canvas Set</t>
  </si>
  <si>
    <t>texture-art</t>
  </si>
  <si>
    <t>Texture Art</t>
  </si>
  <si>
    <t>A refined expression of elegance, this hand-painted textured floral artwork unfolds across four graceful panels, forming a continuous composition of soft pink blossoms and delicate botanical stems. Subtle texture and gentle gold accents add depth and sophistication, while the neutral background enhances its timeless beauty.
Designed to bring a sense of calm luxury and botanical charm, this piece creates a stunning focal point for living rooms, bedrooms, or serene interior spaces.
Details:
• Hand-painted textured floral artwork
• 4-panel canvas set
• Each panel: 24” x 12”
• Elegant pink blossoms with subtle gold accents
• A sophisticated statement piece for modern interiors ✨</t>
  </si>
  <si>
    <t>Canvas, Clay</t>
  </si>
  <si>
    <t>25000.00</t>
  </si>
  <si>
    <t>473.00</t>
  </si>
  <si>
    <t>https://chitrakalaarts-production.up.railway.app/api/images/artworks/art-1772991773037</t>
  </si>
  <si>
    <t>2026-03-08 17:42:53.0658</t>
  </si>
  <si>
    <t>2026-05-10 03:46:19.596409</t>
  </si>
  <si>
    <t>art-1778384480649</t>
  </si>
  <si>
    <t>Rhythms of Heritage – Blue Mirror Mosaic Art Work</t>
  </si>
  <si>
    <t>mirror-mosaic</t>
  </si>
  <si>
    <t>Mirror Mosaic</t>
  </si>
  <si>
    <t>A striking fusion of tribal rhythm and contemporary elegance, this handcrafted blue mirror mosaic artwork is inspired by traditional Indian folk motifs arranged in mesmerizing concentric patterns. The deep royal blue tones paired with reflective mirror accents create a captivating visual balance that instantly elevates any space. Every detail is carefully handcrafted, bringing texture, symmetry, and cultural artistry together into a timeless statement piece. Perfect for living rooms, entryways, meditation corners, or modern interiors seeking a touch of heritage and sophistication.</t>
  </si>
  <si>
    <t>Glass Mirrors Cuttings</t>
  </si>
  <si>
    <t>11500.00</t>
  </si>
  <si>
    <t>218.00</t>
  </si>
  <si>
    <t>https://chitrakalaarts-production.up.railway.app/api/images/artworks/art-1778384480649</t>
  </si>
  <si>
    <t>2026-05-10 03:41:20.683837</t>
  </si>
  <si>
    <t>2026-05-10 03:41:20.877234</t>
  </si>
  <si>
    <t>art-1778384550442</t>
  </si>
  <si>
    <t>Moonlit Lotus – White Mirror Mosaic Art Work</t>
  </si>
  <si>
    <t>Delicate, luminous, and intricately detailed, this white mirror mosaic artwork draws inspiration from blooming lotus patterns and traditional mandala artistry. The soft textured white finish combined with shimmering mirror inlays creates a serene yet luxurious presence, reflecting light beautifully from every angle. Handcrafted with precision, this elegant piece symbolizes harmony, purity, and balance, making it a perfect addition to contemporary, minimal, or spiritual interiors. Its timeless design brings calm sophistication and artistic depth to any wall or décor setting.</t>
  </si>
  <si>
    <t>13500.00</t>
  </si>
  <si>
    <t>256.00</t>
  </si>
  <si>
    <t>https://chitrakalaarts-production.up.railway.app/api/images/artworks/art-1778384550442</t>
  </si>
  <si>
    <t>2026-05-10 03:42:30.476539</t>
  </si>
  <si>
    <t>2026-05-10 03:42:30.676559</t>
  </si>
  <si>
    <t>artwork_id</t>
  </si>
  <si>
    <t>artwork_title</t>
  </si>
  <si>
    <t>size_label</t>
  </si>
  <si>
    <t>price</t>
  </si>
  <si>
    <t>608</t>
  </si>
  <si>
    <t>12" x 12"</t>
  </si>
  <si>
    <t>4500.00</t>
  </si>
  <si>
    <t>2026-03-17 03:31:03.509704</t>
  </si>
  <si>
    <t>609</t>
  </si>
  <si>
    <t>18" x 18"</t>
  </si>
  <si>
    <t>7500.00</t>
  </si>
  <si>
    <t>610</t>
  </si>
  <si>
    <t>24" x 24"</t>
  </si>
  <si>
    <t>10000.00</t>
  </si>
  <si>
    <t>611</t>
  </si>
  <si>
    <t>36" x 36"</t>
  </si>
  <si>
    <t>612</t>
  </si>
  <si>
    <t>12"</t>
  </si>
  <si>
    <t>3500.00</t>
  </si>
  <si>
    <t>2026-03-17 03:31:03.539472</t>
  </si>
  <si>
    <t>607</t>
  </si>
  <si>
    <t>custom</t>
  </si>
  <si>
    <t>2026-03-17 03:31:03.4795</t>
  </si>
  <si>
    <t>606</t>
  </si>
  <si>
    <t>4" X 2"</t>
  </si>
  <si>
    <t>2026-03-17 03:31:03.472348</t>
  </si>
  <si>
    <t>602</t>
  </si>
  <si>
    <t>12" round</t>
  </si>
  <si>
    <t>2026-03-17 03:31:03.468752</t>
  </si>
  <si>
    <t>603</t>
  </si>
  <si>
    <t>18" round</t>
  </si>
  <si>
    <t>6900.00</t>
  </si>
  <si>
    <t>604</t>
  </si>
  <si>
    <t>24" round</t>
  </si>
  <si>
    <t>9000.00</t>
  </si>
  <si>
    <t>605</t>
  </si>
  <si>
    <t>36" round</t>
  </si>
  <si>
    <t>636</t>
  </si>
  <si>
    <t>18" X 18"</t>
  </si>
  <si>
    <t>2026-04-28 17:54:38.827201</t>
  </si>
  <si>
    <t>637</t>
  </si>
  <si>
    <t>24" X 24"</t>
  </si>
  <si>
    <t>599</t>
  </si>
  <si>
    <t>4", 6", 8" set</t>
  </si>
  <si>
    <t>2026-03-17 03:31:03.453004</t>
  </si>
  <si>
    <t>595</t>
  </si>
  <si>
    <t>4" (set of 4)</t>
  </si>
  <si>
    <t>2026-03-17 03:31:03.447157</t>
  </si>
  <si>
    <t>596</t>
  </si>
  <si>
    <t>4" (set of 6)</t>
  </si>
  <si>
    <t>597</t>
  </si>
  <si>
    <t>4" with resin (set of 4)</t>
  </si>
  <si>
    <t>598</t>
  </si>
  <si>
    <t>4" with resin (set of 6)</t>
  </si>
  <si>
    <t>593</t>
  </si>
  <si>
    <t>12" X 5" X 3" (2 partitions)</t>
  </si>
  <si>
    <t>2026-03-17 03:31:03.436895</t>
  </si>
  <si>
    <t>594</t>
  </si>
  <si>
    <t>9" X 9" X 4" (3 partitions)</t>
  </si>
  <si>
    <t>638</t>
  </si>
  <si>
    <t>9" x 2.5" X 2.5" (single)</t>
  </si>
  <si>
    <t>2026-05-01 22:02:14.463766</t>
  </si>
  <si>
    <t>639</t>
  </si>
  <si>
    <t>set of 3</t>
  </si>
  <si>
    <t>1900.00</t>
  </si>
  <si>
    <t>589</t>
  </si>
  <si>
    <t>10"x10"</t>
  </si>
  <si>
    <t>2026-03-17 03:31:03.428641</t>
  </si>
  <si>
    <t>590</t>
  </si>
  <si>
    <t>12"x12"</t>
  </si>
  <si>
    <t>588</t>
  </si>
  <si>
    <t>Standard</t>
  </si>
  <si>
    <t>2026-03-17 03:31:03.426208</t>
  </si>
  <si>
    <t>587</t>
  </si>
  <si>
    <t>2026-03-17 03:31:03.418283</t>
  </si>
  <si>
    <t>586</t>
  </si>
  <si>
    <t>2026-03-17 03:31:03.411216</t>
  </si>
  <si>
    <t>584</t>
  </si>
  <si>
    <t>6" (set of 2)</t>
  </si>
  <si>
    <t>2026-03-17 03:31:03.405654</t>
  </si>
  <si>
    <t>585</t>
  </si>
  <si>
    <t>6" with resin (set of 2)</t>
  </si>
  <si>
    <t>624</t>
  </si>
  <si>
    <t>9" (single)</t>
  </si>
  <si>
    <t>2026-03-22 14:12:58.434829</t>
  </si>
  <si>
    <t>625</t>
  </si>
  <si>
    <t>10" (single)</t>
  </si>
  <si>
    <t>900.00</t>
  </si>
  <si>
    <t>626</t>
  </si>
  <si>
    <t>15" (single)</t>
  </si>
  <si>
    <t>1250.00</t>
  </si>
  <si>
    <t>627</t>
  </si>
  <si>
    <t>9" (set of 2)</t>
  </si>
  <si>
    <t>628</t>
  </si>
  <si>
    <t>10" (set of 2)</t>
  </si>
  <si>
    <t>1600.00</t>
  </si>
  <si>
    <t>629</t>
  </si>
  <si>
    <t>15" (set of 2)</t>
  </si>
  <si>
    <t>2100.00</t>
  </si>
  <si>
    <t>577</t>
  </si>
  <si>
    <t>2026-03-17 03:31:03.389472</t>
  </si>
  <si>
    <t>615</t>
  </si>
  <si>
    <t>2026-03-20 01:19:53.858305</t>
  </si>
  <si>
    <t>616</t>
  </si>
  <si>
    <t>617</t>
  </si>
  <si>
    <t>618</t>
  </si>
  <si>
    <t>570</t>
  </si>
  <si>
    <t>8" (round) or 8" (square)</t>
  </si>
  <si>
    <t>2026-03-17 03:31:03.377393</t>
  </si>
  <si>
    <t>571</t>
  </si>
  <si>
    <t>10" (round) or 10" (square")</t>
  </si>
  <si>
    <t>572</t>
  </si>
  <si>
    <t>12" x 14"</t>
  </si>
  <si>
    <t>567</t>
  </si>
  <si>
    <t>8"(round) or 8" (square)</t>
  </si>
  <si>
    <t>2026-03-17 03:31:03.372126</t>
  </si>
  <si>
    <t>568</t>
  </si>
  <si>
    <t>10"(round) or 10" (square)</t>
  </si>
  <si>
    <t>569</t>
  </si>
  <si>
    <t>12" X 14"</t>
  </si>
  <si>
    <t>566</t>
  </si>
  <si>
    <t>6" (set of 5)</t>
  </si>
  <si>
    <t>2026-03-17 03:31:03.364566</t>
  </si>
  <si>
    <t>564</t>
  </si>
  <si>
    <t>12" x 11"</t>
  </si>
  <si>
    <t>2026-03-17 03:31:03.359364</t>
  </si>
  <si>
    <t>565</t>
  </si>
  <si>
    <t>14" x 15"</t>
  </si>
  <si>
    <t>560</t>
  </si>
  <si>
    <t>4.5" round</t>
  </si>
  <si>
    <t>500.00</t>
  </si>
  <si>
    <t>2026-03-17 03:31:03.353052</t>
  </si>
  <si>
    <t>561</t>
  </si>
  <si>
    <t>6"round</t>
  </si>
  <si>
    <t>562</t>
  </si>
  <si>
    <t>8" round</t>
  </si>
  <si>
    <t>563</t>
  </si>
  <si>
    <t>10" round</t>
  </si>
  <si>
    <t>634</t>
  </si>
  <si>
    <t>2026-04-28 17:53:57.342936</t>
  </si>
  <si>
    <t>635</t>
  </si>
  <si>
    <t>555</t>
  </si>
  <si>
    <t>2026-03-17 03:31:03.341226</t>
  </si>
  <si>
    <t>556</t>
  </si>
  <si>
    <t>557</t>
  </si>
  <si>
    <t>620</t>
  </si>
  <si>
    <t>2026-03-22 13:54:44.583593</t>
  </si>
  <si>
    <t>621</t>
  </si>
  <si>
    <t>622</t>
  </si>
  <si>
    <t>623</t>
  </si>
  <si>
    <t>549</t>
  </si>
  <si>
    <t>2026-03-17 03:31:03.319722</t>
  </si>
  <si>
    <t>550</t>
  </si>
  <si>
    <t>551</t>
  </si>
  <si>
    <t>552</t>
  </si>
  <si>
    <t>632</t>
  </si>
  <si>
    <t>2026-04-28 17:52:33.078786</t>
  </si>
  <si>
    <t>633</t>
  </si>
  <si>
    <t>619</t>
  </si>
  <si>
    <t>4" (squares and round)</t>
  </si>
  <si>
    <t>2026-03-22 13:52:52.696453</t>
  </si>
  <si>
    <t>614</t>
  </si>
  <si>
    <t>12” x 12”</t>
  </si>
  <si>
    <t>2026-03-17 15:17:48.826378</t>
  </si>
  <si>
    <t>645</t>
  </si>
  <si>
    <t>Each Panel - 24” x 12”  (4 panels)</t>
  </si>
  <si>
    <t>2026-05-10 03:46:19.602094</t>
  </si>
  <si>
    <t>643</t>
  </si>
  <si>
    <t>2026-05-10 03:41:20.684903</t>
  </si>
  <si>
    <t>644</t>
  </si>
  <si>
    <t>2026-05-10 03:42:30.477433</t>
  </si>
  <si>
    <t>name</t>
  </si>
  <si>
    <t>display_order</t>
  </si>
  <si>
    <t>Intricate dot patterns creating beautiful mandala designs, combining precision and creativity.</t>
  </si>
  <si>
    <t>/assets/images/categories/dot-mandala.png</t>
  </si>
  <si>
    <t>1</t>
  </si>
  <si>
    <t>Traditional mirror and clay work art from Gujarat, featuring stunning geometric patterns.</t>
  </si>
  <si>
    <t>/assets/images/categories/lippan-art.png</t>
  </si>
  <si>
    <t>2</t>
  </si>
  <si>
    <t xml:space="preserve">Carefully arranged mirrored elements that catch and scatter light, adding depth, texture, and a subtle shimmer to any space. </t>
  </si>
  <si>
    <t>/assets/images/categories/mirror-mosaic.png</t>
  </si>
  <si>
    <t>3</t>
  </si>
  <si>
    <t>Hand-painted and designed textile pieces that blend tradition with contemporary aesthetics.</t>
  </si>
  <si>
    <t>/assets/images/categories/textile-design.png</t>
  </si>
  <si>
    <t>5</t>
  </si>
  <si>
    <t>Handcrafted pieces where dimension meets design, with layered details, soft depth, and tactile finishes that bring walls to life.</t>
  </si>
  <si>
    <t>/assets/images/categories/texture-art.png</t>
  </si>
  <si>
    <t>4</t>
  </si>
  <si>
    <t>Sync Action</t>
  </si>
  <si>
    <t>Suggested Sync Action</t>
  </si>
  <si>
    <t>Validation Status</t>
  </si>
  <si>
    <t>DB id</t>
  </si>
  <si>
    <t>DB title</t>
  </si>
  <si>
    <t>DB category_slug</t>
  </si>
  <si>
    <t>DB category_name</t>
  </si>
  <si>
    <t>DB description</t>
  </si>
  <si>
    <t>DB materials</t>
  </si>
  <si>
    <t>DB price_inr</t>
  </si>
  <si>
    <t>DB price_usd</t>
  </si>
  <si>
    <t>DB fx_rate_used</t>
  </si>
  <si>
    <t>DB multiplier_used</t>
  </si>
  <si>
    <t>DB featured</t>
  </si>
  <si>
    <t>DB image</t>
  </si>
  <si>
    <t>DB created_at</t>
  </si>
  <si>
    <t>DB updated_at</t>
  </si>
  <si>
    <t>Category Validation</t>
  </si>
  <si>
    <t>Size Variant Count</t>
  </si>
  <si>
    <t>First Size Label</t>
  </si>
  <si>
    <t>First Size Price INR</t>
  </si>
  <si>
    <t>First Size Price USD</t>
  </si>
  <si>
    <t>Size Review Flag</t>
  </si>
  <si>
    <t>Inventory SKU</t>
  </si>
  <si>
    <t>Corrected title</t>
  </si>
  <si>
    <t>Corrected category_slug</t>
  </si>
  <si>
    <t>Corrected description</t>
  </si>
  <si>
    <t>Corrected materials</t>
  </si>
  <si>
    <t>Corrected price_inr</t>
  </si>
  <si>
    <t>Corrected featured</t>
  </si>
  <si>
    <t>Corrected image</t>
  </si>
  <si>
    <t>Final title</t>
  </si>
  <si>
    <t>Final category_slug</t>
  </si>
  <si>
    <t>Final category_name</t>
  </si>
  <si>
    <t>Final description</t>
  </si>
  <si>
    <t>Final materials</t>
  </si>
  <si>
    <t>Final price_inr</t>
  </si>
  <si>
    <t>Final featured</t>
  </si>
  <si>
    <t>Final image</t>
  </si>
  <si>
    <t>Inventory Notes</t>
  </si>
  <si>
    <t>Intern Review Notes</t>
  </si>
  <si>
    <t>NO_CHANGE</t>
  </si>
  <si>
    <t>UPDATE</t>
  </si>
  <si>
    <t>A captivating hand-painted round dot mandala artwork created in serene shades of blue and soft peach. Layers of intricate dot work and flowing floral patterns come together in perfect harmony, evoking a sense of calm, warmth, and balance. The soothing blue tones bring tranquility, while the peach accents add a gentle glow, making this piece both peaceful and uplifting. Each mandala is carefully painted by hand, ensuring every artwork is unique. Perfect as a statement wall décor, shelf display, or meditation centerpiece, this mandala adds refined beauty to living rooms, bedrooms, yoga spaces, or creative corners. It also makes a thoughtful handmade gift for housewarmings, weddings, festivals, or special occasions.</t>
  </si>
  <si>
    <t>Pure Wrinkle Crepe</t>
  </si>
  <si>
    <t>Dot Mandala Coaster Set – Variety Pack (4 pieces)</t>
  </si>
  <si>
    <t>Lippan Decorative Wall Panel – Style A</t>
  </si>
  <si>
    <t>Artwork ID</t>
  </si>
  <si>
    <t>Title</t>
  </si>
  <si>
    <t>Issue Summary</t>
  </si>
  <si>
    <t>Needs Reconciliation Log?</t>
  </si>
  <si>
    <t>Suggested Issue Type</t>
  </si>
  <si>
    <t>Suggested Severity</t>
  </si>
  <si>
    <t>WARNING</t>
  </si>
  <si>
    <t>OK</t>
  </si>
  <si>
    <t>REVIEW_SIZE_PRICING</t>
  </si>
  <si>
    <t>Has size variants; Review warning</t>
  </si>
  <si>
    <t>YES</t>
  </si>
  <si>
    <t>Size Price Review</t>
  </si>
  <si>
    <t>MEDIUM</t>
  </si>
  <si>
    <t>REVIEW</t>
  </si>
  <si>
    <t>PASS</t>
  </si>
  <si>
    <t>NO</t>
  </si>
  <si>
    <t>Issue ID</t>
  </si>
  <si>
    <t>Issue Type</t>
  </si>
  <si>
    <t>Severity</t>
  </si>
  <si>
    <t>Source Tab</t>
  </si>
  <si>
    <t>Field Name</t>
  </si>
  <si>
    <t>DB Value</t>
  </si>
  <si>
    <t>Inventory/Proposed Value</t>
  </si>
  <si>
    <t>Expected Value</t>
  </si>
  <si>
    <t>Recommended Action</t>
  </si>
  <si>
    <t>Assigned To</t>
  </si>
  <si>
    <t>Resolved?</t>
  </si>
  <si>
    <t>Resolution Notes</t>
  </si>
  <si>
    <t>REC-001</t>
  </si>
  <si>
    <t>DB_Artwork_Sizes_Export</t>
  </si>
  <si>
    <t>price_inr / size price</t>
  </si>
  <si>
    <t>Base price: ₹4,000 | Size prices: 12"×12" ₹4,500 | 18"×18" ₹7,500 | 24"×24" ₹10,000 | 36"×36" ₹20,000</t>
  </si>
  <si>
    <t>Size-specific pricing supersedes base price</t>
  </si>
  <si>
    <t>Base price should reflect minimum/smallest size or be updated to match size table</t>
  </si>
  <si>
    <t>Confirm which size corresponds to the ₹4,000 base price, or update base to ₹4,500 (12" min size). Verify USD pricing across all sizes — all show ₹76 regardless of size.</t>
  </si>
  <si>
    <t>Sanjay</t>
  </si>
  <si>
    <t>REC-002</t>
  </si>
  <si>
    <t>HIGH</t>
  </si>
  <si>
    <t>price_usd (all size rows)</t>
  </si>
  <si>
    <t>All 4 size rows show price_usd = 76.00 regardless of size</t>
  </si>
  <si>
    <t>USD price should scale with INR size price using FX rate (92.40) × multiplier (1.75)</t>
  </si>
  <si>
    <t>12" ≈ $85 | 18" ≈ $142 | 24" ≈ $190 | 36" ≈ $379</t>
  </si>
  <si>
    <t>All size-variant USD prices appear frozen at the base-artwork USD value. Confirm whether USD is recalculated per size or inherited. Fix for all affected artworks.</t>
  </si>
  <si>
    <t>Affects most artworks with size variants — systemic issue</t>
  </si>
  <si>
    <t>REC-003</t>
  </si>
  <si>
    <t>price_inr / size variants</t>
  </si>
  <si>
    <t>Base price: ₹4,000 | Only 1 size row: 12" @ ₹3,500</t>
  </si>
  <si>
    <t>Description mentions 18"=₹6,200, 24"=₹8,000, 36"=₹16,000</t>
  </si>
  <si>
    <t>3 additional size rows for 18", 24", 36" per description</t>
  </si>
  <si>
    <t>Add missing size rows for 18", 24", and 36" per pricing in description. Also note base price (₹4,000) is higher than the listed 12" size price (₹3,500) — confirm correct base.</t>
  </si>
  <si>
    <t>Pricing found in description text: '18" - Rs 6200 24" Rs 8000 36" Rs 16000'</t>
  </si>
  <si>
    <t>REC-004</t>
  </si>
  <si>
    <t>price_inr (description vs size rows)</t>
  </si>
  <si>
    <t>Base: ₹800 | Description mentions 'Set of 4 - Rs 750, Set of 6 - Rs 1000' | Size rows: Set of 4 = ₹800, Set of 6 = ₹1,000</t>
  </si>
  <si>
    <t>Description says set of 4 = ₹750 but DB/size rows show ₹800</t>
  </si>
  <si>
    <t>Confirm correct set-of-4 price: ₹750 or ₹800</t>
  </si>
  <si>
    <t>Reconcile description pricing (₹750 for set of 4) against size table and base price (₹800). Update description or price to match actual.</t>
  </si>
  <si>
    <t>REC-005</t>
  </si>
  <si>
    <t>Base: ₹700 | 2 size rows: single (₹700), set of 3 (₹1,900) | price_usd both = 13.00</t>
  </si>
  <si>
    <t>USD for 'set of 3' should be higher than single</t>
  </si>
  <si>
    <t>Set of 3 USD ≈ ₹1,900 / 92.4 × 1.75 ≈ $36</t>
  </si>
  <si>
    <t>Update USD price for the 'set of 3' size variant (currently frozen at $13 same as single). Confirm INR pricing is correct.</t>
  </si>
  <si>
    <t>REC-006</t>
  </si>
  <si>
    <t>Base: ₹2,000 | Size rows: 10"×10" = ₹1,500, 12"×12" = ₹2,000 | Both USD = $38</t>
  </si>
  <si>
    <t>10"×10" USD should be lower than $38 (same as 12"×12")</t>
  </si>
  <si>
    <t>10"×10" ≈ ₹1,500 / 92.4 × 1.75 ≈ $28</t>
  </si>
  <si>
    <t>Confirm base price matches 12"×12" size. Fix USD for 10"×10" size variant. Check if $38 is correct for 12"×12" (₹2,000 / 92.4 × 1.75 = $38 ✓).</t>
  </si>
  <si>
    <t>REC-007</t>
  </si>
  <si>
    <t>Base: ₹1,000 | Size rows: 6" set of 2 = ₹1,000, 6" with resin set of 2 = ₹1,500 | Both USD = $19</t>
  </si>
  <si>
    <t>Resin variant USD should be higher</t>
  </si>
  <si>
    <t>With resin variant ≈ ₹1,500 / 92.4 × 1.75 ≈ $28</t>
  </si>
  <si>
    <t>Update USD price for resin size variant. Also verify whether base price ($1,000) correctly represents the plain variant or should reflect minimum.</t>
  </si>
  <si>
    <t>REC-008</t>
  </si>
  <si>
    <t>price_inr / base vs size</t>
  </si>
  <si>
    <t>Base price: ₹1,200 | Size row: 6" set of 5 = ₹1,500</t>
  </si>
  <si>
    <t>Base price (₹1,200) does not match the only size row (₹1,500)</t>
  </si>
  <si>
    <t>Base price should match or be explained relative to size row</t>
  </si>
  <si>
    <t>Clarify which price is correct. If ₹1,500 is current price, update base price_inr to ₹1,500.</t>
  </si>
  <si>
    <t>REC-009</t>
  </si>
  <si>
    <t>Base: ₹1,000 | Size rows: 12"×11" = ₹1,000, 14"×15" = ₹1,800 | Both USD = $19</t>
  </si>
  <si>
    <t>14"×15" USD should be higher than $19</t>
  </si>
  <si>
    <t>14"×15" ≈ ₹1,800 / 92.4 × 1.75 ≈ $34</t>
  </si>
  <si>
    <t>Update USD price for 14"×15" size variant. Confirm base price matches 12"×11".</t>
  </si>
  <si>
    <t>REC-010</t>
  </si>
  <si>
    <t>Base: ₹1,100 | Size rows: 4.5" ₹500, 6" ₹700, 8" ₹900, 10" ₹1,100 | All USD = $21</t>
  </si>
  <si>
    <t>Base (₹1,100) matches 10" size. USD should scale per size.</t>
  </si>
  <si>
    <t>4.5" ≈ $9 | 6" ≈ $13 | 8" ≈ $17 | 10" ≈ $21</t>
  </si>
  <si>
    <t>Confirm base price correctly represents 10" size. Fix USD pricing for all 4 size variants — currently all frozen at $21.</t>
  </si>
  <si>
    <t>REC-011</t>
  </si>
  <si>
    <t>Base: ₹1,500 | Size rows: 12"×5"×3" = ₹1,500, 9"×9"×4" = ₹1,800 | Both USD = $28</t>
  </si>
  <si>
    <t>Second size USD should be higher</t>
  </si>
  <si>
    <t>9"×9"×4" ≈ ₹1,800 / 92.4 × 1.75 ≈ $34</t>
  </si>
  <si>
    <t>Update USD price for 9"×9"×4" size variant.</t>
  </si>
  <si>
    <t>REC-012</t>
  </si>
  <si>
    <t>Duplicate Title</t>
  </si>
  <si>
    <t>DB_Artworks_Export</t>
  </si>
  <si>
    <t>Coaster Set (4 pieces) — art-1771102194181</t>
  </si>
  <si>
    <t>art-1770778509370 also titled 'Coaster Set (4 pieces)'</t>
  </si>
  <si>
    <t>Unique title per artwork</t>
  </si>
  <si>
    <t>Differentiate titles. Suggest renaming art-1771102194181 to 'Dot Mandala Coaster Set (4 pieces) – Variety Pack' or similar. Review descriptions to confirm these are truly different products.</t>
  </si>
  <si>
    <t>Chitrakala Team</t>
  </si>
  <si>
    <t>Two separate artworks share identical title; can cause confusion in sync and on website</t>
  </si>
  <si>
    <t>REC-013</t>
  </si>
  <si>
    <t>Decorative Wall Panel — art-1771102482592 (Lippan, ₹3,000)</t>
  </si>
  <si>
    <t>art-1771102578812 also titled 'Decorative Wall Panel' (Lippan, ₹1,800)</t>
  </si>
  <si>
    <t>Differentiate titles for the two Lippan 'Decorative Wall Panel' artworks. Suggest e.g. 'Lippan Decorative Wall Panel – Large' vs 'Lippan Decorative Wall Panel – Small'.</t>
  </si>
  <si>
    <t>Two separate Lippan artworks share identical title — different prices (₹3,000 vs ₹1,800) and different materials</t>
  </si>
  <si>
    <t>REC-014</t>
  </si>
  <si>
    <t>Proposed Update</t>
  </si>
  <si>
    <t>LOW</t>
  </si>
  <si>
    <t>Capitalize 'wood' to 'Wood' for consistency with all other artworks. Update Corrected_materials field.</t>
  </si>
  <si>
    <t>Intern</t>
  </si>
  <si>
    <t>REC-015</t>
  </si>
  <si>
    <t>Capitalize 'wood' to 'Wood' for consistency with all other artworks.</t>
  </si>
  <si>
    <t>REC-016</t>
  </si>
  <si>
    <t>REC-017</t>
  </si>
  <si>
    <t>Pure Wrinkle Crepe (or confirm full material name)</t>
  </si>
  <si>
    <t>Full material name</t>
  </si>
  <si>
    <t>Materials field appears truncated at 'Pure Wrinkle Cr'. Confirm full fabric name (likely 'Pure Wrinkle Crepe') and update Corrected_materials.</t>
  </si>
  <si>
    <t>Appears to be a data truncation from DB</t>
  </si>
  <si>
    <t>REC-018</t>
  </si>
  <si>
    <t>f (false)</t>
  </si>
  <si>
    <t>Review — no featured artworks in dot-mandala besides art-1770775579766</t>
  </si>
  <si>
    <t>Confirm intentional</t>
  </si>
  <si>
    <t>Only one dot-mandala artwork (Intricate Floral Mandala in Green &amp; Gold) is featured. Confirm whether 'Blush Serenity Mandala' should be featured.</t>
  </si>
  <si>
    <t>Featured=false for this well-described, complete artwork — confirm intentional</t>
  </si>
  <si>
    <t>REC-019</t>
  </si>
  <si>
    <t>Description ends with: '18" - Rs 6200 24" Rs 8000 36" Rs 16000'</t>
  </si>
  <si>
    <t>Remove pricing from description; pricing should live in size rows only</t>
  </si>
  <si>
    <t>Clean product description without embedded pricing</t>
  </si>
  <si>
    <t>Remove price list from end of description. Add missing size rows (18", 24", 36") to DB_Artwork_Sizes_Export instead. Update Corrected_description.</t>
  </si>
  <si>
    <t>Pricing in description is a data quality issue — should be managed via size variants</t>
  </si>
  <si>
    <t>REC-020</t>
  </si>
  <si>
    <t>Decorative Wall Panel (Lippan, ₹1,800)</t>
  </si>
  <si>
    <t>Wood, Clay and Mirrors (consistent with other Lippan artworks)</t>
  </si>
  <si>
    <t>This Lippan artwork lists only 'Wood' as material while all other Lippan artworks use 'Wood, Clay and Mirrors'. The description says 'clay, colors and mirrors'. Update Corrected_materials to 'Wood, Clay and Mirrors'.</t>
  </si>
  <si>
    <t>Likely data entry omission; description confirms clay and mirrors are used</t>
  </si>
  <si>
    <t>REC-021</t>
  </si>
  <si>
    <t>price_usd (size rows)</t>
  </si>
  <si>
    <t>18"×18" ₹8,000 = $152 | 24"×24" ₹12,000 = $152</t>
  </si>
  <si>
    <t>24"×24" USD should be higher than 18"×18"</t>
  </si>
  <si>
    <t>24"×24" ≈ ₹12,000 / 92.4 × 1.75 ≈ $227</t>
  </si>
  <si>
    <t>Update USD price for 24"×24" size row. Applies similarly to Luxury Lippan Art Wall Panel and Peach &amp; Ivory Mirror Work Mandala which have the same issue.</t>
  </si>
  <si>
    <t>Systemic USD freeze issue across Lippan panel artworks with 2 sizes</t>
  </si>
  <si>
    <t>REC-022</t>
  </si>
  <si>
    <t>price_usd (all 6 size rows)</t>
  </si>
  <si>
    <t>6 sizes: ₹800–₹2,100 INR | All show price_usd = $15</t>
  </si>
  <si>
    <t>USD should scale with INR price per size</t>
  </si>
  <si>
    <t>9" single ≈$15 | 10" single ≈$17 | 15" single ≈$24 | 9" ×2 ≈$28 | 10" ×2 ≈$30 | 15" ×2 ≈$40</t>
  </si>
  <si>
    <t>Fix USD pricing for all 6 size rows. This is the most extreme example of the systemic USD freeze issue.</t>
  </si>
  <si>
    <t>All 6 sizes show $15 USD regardless of INR price ranging from ₹800 to ₹2,100</t>
  </si>
  <si>
    <t>REC-023</t>
  </si>
  <si>
    <t>3 sizes: ₹1,600, ₹2,000, ₹2,800 | All USD = $53</t>
  </si>
  <si>
    <t>8" ≈$30 | 10" ≈$38 | 12"×14" ≈$53</t>
  </si>
  <si>
    <t>Fix USD pricing for the 8" and 10" size variants. $53 is only correct for the 12"×14" size.</t>
  </si>
  <si>
    <t>REC-024</t>
  </si>
  <si>
    <t>art-1770419263598
art-1770419460850
art-1770771760544
art-1770771970545
art-1770775579766
art-1770777152872
art-1770778384172
art-1770778509370
art-1770779054676
art-1770779208267
art-1770933508740
art-1771030266195
art-1771030980031
art-1771031213758
art-1771033398626
art-1771101879286
art-1771101978525
art-1771102194181
art-1771102482592
art-1771102578812
art-1771102688340
art-1771454920479
art-1771902788998
art-1771903158477
art-1771903526915
art-1771903835260
art-1771904016600
art-1772897507182
art-1772899719136
art-1772942427729
art-1772991773037
art-1778384480649
art-1778384550442</t>
  </si>
  <si>
    <t>ALL artworks with size variants (33 of 36 artworks; 73 size rows total)</t>
  </si>
  <si>
    <t>price_usd across all size rows</t>
  </si>
  <si>
    <t>price_usd in DB_Artwork_Sizes_Export is frozen at the artwork-level base USD price for virtually all size variants</t>
  </si>
  <si>
    <t>Each size row should have USD = round(INR_price / fx_rate × multiplier, 2)</t>
  </si>
  <si>
    <t>Dynamic USD per size variant</t>
  </si>
  <si>
    <t>This is a systemic bug/gap. Recommend coding agent recalculate USD for all size rows using: price_usd = price_inr / fx_rate_used * multiplier_used (from DB_Artworks_Export). Do not manually fix 70+ rows; request automated fix.</t>
  </si>
  <si>
    <t>Coding Agent</t>
  </si>
  <si>
    <t>Root cause: price_usd in DB_Artwork_Sizes_Export was not recalculated per size when size rows were created/updated — it inherited the artwork-level base USD. Affects all 33 artworks listed in Artwork ID column (73 size rows). Coding agent fix: UPDATE artwork_sizes s JOIN artworks a ON s.artwork_id = a.id SET s.price_usd = ROUND(s.price / a.fx_rate_used * a.multiplier_used, 2) WHERE s.price_usd != ROUND(s.price / a.fx_rate_used * a.multiplier_used, 2);</t>
  </si>
  <si>
    <t>Rule ID</t>
  </si>
  <si>
    <t>Workbook Tab</t>
  </si>
  <si>
    <t>Spreadsheet Column</t>
  </si>
  <si>
    <t>Source/DB Column</t>
  </si>
  <si>
    <t>Required?</t>
  </si>
  <si>
    <t>Manual or Formula?</t>
  </si>
  <si>
    <t>Data Type</t>
  </si>
  <si>
    <t>Allowed Values</t>
  </si>
  <si>
    <t>Validation Rule</t>
  </si>
  <si>
    <t>Error Message</t>
  </si>
  <si>
    <t>Example Valid</t>
  </si>
  <si>
    <t>Example Invalid</t>
  </si>
  <si>
    <t>VAL-001</t>
  </si>
  <si>
    <t>export column 1</t>
  </si>
  <si>
    <t>Yes</t>
  </si>
  <si>
    <t>Raw export</t>
  </si>
  <si>
    <t>Text</t>
  </si>
  <si>
    <t>Non-empty</t>
  </si>
  <si>
    <t>Must remain first column in DB_Artworks_Export.</t>
  </si>
  <si>
    <t>Missing artwork id.</t>
  </si>
  <si>
    <t>blank</t>
  </si>
  <si>
    <t>VAL-002</t>
  </si>
  <si>
    <t>export column 2</t>
  </si>
  <si>
    <t>Artwork title should not be blank.</t>
  </si>
  <si>
    <t>Missing title.</t>
  </si>
  <si>
    <t>Eternal Glow</t>
  </si>
  <si>
    <t>VAL-003</t>
  </si>
  <si>
    <t>export column 3</t>
  </si>
  <si>
    <t>Must match DB_Categories_Export.id</t>
  </si>
  <si>
    <t>Category slug must exist in categories export.</t>
  </si>
  <si>
    <t>Invalid category slug.</t>
  </si>
  <si>
    <t>textile</t>
  </si>
  <si>
    <t>VAL-004</t>
  </si>
  <si>
    <t>export column 4</t>
  </si>
  <si>
    <t>Reference</t>
  </si>
  <si>
    <t>Category display name</t>
  </si>
  <si>
    <t>Category name is reference/display only, not key.</t>
  </si>
  <si>
    <t>Use category_slug as key.</t>
  </si>
  <si>
    <t>VAL-005</t>
  </si>
  <si>
    <t>export column 5</t>
  </si>
  <si>
    <t>Recommended</t>
  </si>
  <si>
    <t>Any text</t>
  </si>
  <si>
    <t>Description should be reviewed for completeness.</t>
  </si>
  <si>
    <t>Description may be missing.</t>
  </si>
  <si>
    <t>Full description</t>
  </si>
  <si>
    <t>VAL-006</t>
  </si>
  <si>
    <t>export column 6</t>
  </si>
  <si>
    <t>Materials should be reviewed for completeness.</t>
  </si>
  <si>
    <t>Materials may be missing.</t>
  </si>
  <si>
    <t>VAL-007</t>
  </si>
  <si>
    <t>export column 7</t>
  </si>
  <si>
    <t>Raw export / final formula</t>
  </si>
  <si>
    <t>Number</t>
  </si>
  <si>
    <t>&gt;=0</t>
  </si>
  <si>
    <t>INR price is master price and should be numeric.</t>
  </si>
  <si>
    <t>Invalid INR price.</t>
  </si>
  <si>
    <t>text</t>
  </si>
  <si>
    <t>VAL-008</t>
  </si>
  <si>
    <t>export column 8</t>
  </si>
  <si>
    <t>Formula/system</t>
  </si>
  <si>
    <t>System-calculated</t>
  </si>
  <si>
    <t>USD price should not be manually corrected in spreadsheet.</t>
  </si>
  <si>
    <t>Do not manually import USD price.</t>
  </si>
  <si>
    <t>manual override</t>
  </si>
  <si>
    <t>VAL-009</t>
  </si>
  <si>
    <t>export column 9</t>
  </si>
  <si>
    <t>System</t>
  </si>
  <si>
    <t>System-controlled</t>
  </si>
  <si>
    <t>FX rate is reference only.</t>
  </si>
  <si>
    <t>Do not manually import FX rate.</t>
  </si>
  <si>
    <t>VAL-010</t>
  </si>
  <si>
    <t>export column 10</t>
  </si>
  <si>
    <t>Multiplier is reference only.</t>
  </si>
  <si>
    <t>Do not manually import multiplier.</t>
  </si>
  <si>
    <t>VAL-011</t>
  </si>
  <si>
    <t>export column 11</t>
  </si>
  <si>
    <t>No</t>
  </si>
  <si>
    <t>Raw export / corrected manual</t>
  </si>
  <si>
    <t>Boolean</t>
  </si>
  <si>
    <t>TRUE/FALSE</t>
  </si>
  <si>
    <t>Featured must be TRUE or FALSE if corrected.</t>
  </si>
  <si>
    <t>Invalid featured value.</t>
  </si>
  <si>
    <t>TRUE</t>
  </si>
  <si>
    <t>yes</t>
  </si>
  <si>
    <t>VAL-012</t>
  </si>
  <si>
    <t>export column 12</t>
  </si>
  <si>
    <t>Path/URL</t>
  </si>
  <si>
    <t>Image path should be reviewed but not auto-replaced in Phase 1.</t>
  </si>
  <si>
    <t>Missing image.</t>
  </si>
  <si>
    <t>/uploads/file.jpg</t>
  </si>
  <si>
    <t>VAL-013</t>
  </si>
  <si>
    <t>export column 13</t>
  </si>
  <si>
    <t>Timestamp</t>
  </si>
  <si>
    <t>System-generated</t>
  </si>
  <si>
    <t>Do not import/edit created_at.</t>
  </si>
  <si>
    <t>created_at is system-controlled.</t>
  </si>
  <si>
    <t>2026-03-17 03:31</t>
  </si>
  <si>
    <t>manual</t>
  </si>
  <si>
    <t>VAL-014</t>
  </si>
  <si>
    <t>export column 14</t>
  </si>
  <si>
    <t>Do not import/edit updated_at.</t>
  </si>
  <si>
    <t>updated_at is system-controlled.</t>
  </si>
  <si>
    <t>VAL-015</t>
  </si>
  <si>
    <t>Yes for sizes</t>
  </si>
  <si>
    <t>Must match DB_Artworks_Export.id</t>
  </si>
  <si>
    <t>Size row must link to valid artwork id.</t>
  </si>
  <si>
    <t>Invalid artwork_id.</t>
  </si>
  <si>
    <t>unknown id</t>
  </si>
  <si>
    <t>VAL-016</t>
  </si>
  <si>
    <t>Size label required when size row exists.</t>
  </si>
  <si>
    <t>Missing size label.</t>
  </si>
  <si>
    <t>12 x 12</t>
  </si>
  <si>
    <t>VAL-017</t>
  </si>
  <si>
    <t>Size INR price should be numeric.</t>
  </si>
  <si>
    <t>Invalid size price.</t>
  </si>
  <si>
    <t>VAL-018</t>
  </si>
  <si>
    <t>Do not manually correct size USD price.</t>
  </si>
  <si>
    <t>Do not manually import size USD price.</t>
  </si>
  <si>
    <t>VAL-019</t>
  </si>
  <si>
    <t>DB_Categories_Export</t>
  </si>
  <si>
    <t>Category key</t>
  </si>
  <si>
    <t>Category id is used as key by category_slug.</t>
  </si>
  <si>
    <t>Missing category id.</t>
  </si>
  <si>
    <t>VAL-020</t>
  </si>
  <si>
    <t>Display name</t>
  </si>
  <si>
    <t>Category display name should not be blank.</t>
  </si>
  <si>
    <t>Missing category name.</t>
  </si>
  <si>
    <t>VAL-021</t>
  </si>
  <si>
    <t>Yes after review</t>
  </si>
  <si>
    <t>Manual</t>
  </si>
  <si>
    <t>CREATE, UPDATE, NO_CHANGE, ARCHIVE, REVIEW</t>
  </si>
  <si>
    <t>Must be selected before final handoff.</t>
  </si>
  <si>
    <t>Missing sync action.</t>
  </si>
  <si>
    <t>DELETE</t>
  </si>
  <si>
    <t>VAL-022</t>
  </si>
  <si>
    <t>Corrected_* fields</t>
  </si>
  <si>
    <t>Mixed</t>
  </si>
  <si>
    <t>Blank or corrected value</t>
  </si>
  <si>
    <t>Leave blank if no change needed. Fill only for proposed changes.</t>
  </si>
  <si>
    <t>Do not overwrite DB values directly.</t>
  </si>
  <si>
    <t>typing over DB title</t>
  </si>
  <si>
    <t>VAL-023</t>
  </si>
  <si>
    <t>Final_* fields</t>
  </si>
  <si>
    <t>formula</t>
  </si>
  <si>
    <t>Formula</t>
  </si>
  <si>
    <t>Uses corrected if present, else DB</t>
  </si>
  <si>
    <t>Final fields are calculated for future sync preview.</t>
  </si>
  <si>
    <t>Do not manually edit final fields.</t>
  </si>
  <si>
    <t>Formula output</t>
  </si>
  <si>
    <t>manual value</t>
  </si>
  <si>
    <t>Source Column Order</t>
  </si>
  <si>
    <t>Source Column</t>
  </si>
  <si>
    <t>Inventory_Master Column</t>
  </si>
  <si>
    <t>Auto/Manual</t>
  </si>
  <si>
    <t>Rule / Notes</t>
  </si>
  <si>
    <t>Auto formula</t>
  </si>
  <si>
    <t>Exact uploaded export column order preserved.</t>
  </si>
  <si>
    <t>Size row id / reference only</t>
  </si>
  <si>
    <t>Auto formula/reference</t>
  </si>
  <si>
    <t>Exact uploaded export column order preserved. Multiple size rows remain in DB_Artwork_Sizes_Export.</t>
  </si>
  <si>
    <t>Size Variant Count / First Size fields</t>
  </si>
  <si>
    <t>Reference only</t>
  </si>
  <si>
    <t>Category Validation / Final category_name lookup key</t>
  </si>
  <si>
    <t>Final category_name / category lookup value</t>
  </si>
  <si>
    <t>Intern selects final planned action.</t>
  </si>
  <si>
    <t>Optional internal SKU.</t>
  </si>
  <si>
    <t>Fill only if title should change.</t>
  </si>
  <si>
    <t>Fill only if category should change.</t>
  </si>
  <si>
    <t>Fill only if description should change.</t>
  </si>
  <si>
    <t>Fill only if materials should change.</t>
  </si>
  <si>
    <t>Fill only if INR price should change.</t>
  </si>
  <si>
    <t>Fill only if featured flag should change.</t>
  </si>
  <si>
    <t>Review only; do not automate image replacement in Phase 1.</t>
  </si>
  <si>
    <t>INV-03-01 reviewed: final action NO_CHANGE for artwork-level fields. Suggested Sync Action was NO_CHANGE and current artwork fields/category validate. REVIEW was driven by size-level pricing review flag; defer size-level USD/variant pricing to pricing subtask. No Corrected_* fields needed.</t>
  </si>
  <si>
    <t>Cross-sheet link — pulls from another tab</t>
  </si>
  <si>
    <t>■ ■ ■</t>
  </si>
  <si>
    <t>Green text</t>
  </si>
  <si>
    <t>Formula — auto-calculated, do not edit</t>
  </si>
  <si>
    <t>Black text</t>
  </si>
  <si>
    <t>Hardcoded input — you edit these</t>
  </si>
  <si>
    <t>Blue text</t>
  </si>
  <si>
    <t>COLOR KEY</t>
  </si>
  <si>
    <t>Never price below 35% gross margin</t>
  </si>
  <si>
    <t>Minimum margin floor</t>
  </si>
  <si>
    <t>Signature/numbered work, high provenance</t>
  </si>
  <si>
    <t>Tier 4 — Collector</t>
  </si>
  <si>
    <t>Established artist, rare style, large format</t>
  </si>
  <si>
    <t>Tier 3 — Premium</t>
  </si>
  <si>
    <t>Recognized regional artist, quality medium</t>
  </si>
  <si>
    <t>Tier 2 — Mid-range</t>
  </si>
  <si>
    <t>Unknown/emerging artist, common style</t>
  </si>
  <si>
    <t>Tier 1 — Standard</t>
  </si>
  <si>
    <t>Applies When…</t>
  </si>
  <si>
    <t>Markup on Landed Cost</t>
  </si>
  <si>
    <t>Tier</t>
  </si>
  <si>
    <t>D.  PRICING TIER MARKUPS</t>
  </si>
  <si>
    <t>Allocated to each piece in inventory</t>
  </si>
  <si>
    <t>→ Overhead per Piece (USD)</t>
  </si>
  <si>
    <t>Auto-calculated from above</t>
  </si>
  <si>
    <t>→ Monthly Overhead Total</t>
  </si>
  <si>
    <t>Used to allocate overhead per piece</t>
  </si>
  <si>
    <t>Avg active inventory pieces</t>
  </si>
  <si>
    <t>Packaging materials, admin costs</t>
  </si>
  <si>
    <t>Monthly misc overhead (USD)</t>
  </si>
  <si>
    <t>Social media ads, photography, etc.</t>
  </si>
  <si>
    <t>Monthly marketing spend (USD)</t>
  </si>
  <si>
    <t>Hosting, domain, e-commerce platform</t>
  </si>
  <si>
    <t>Monthly website / platform cost (USD)</t>
  </si>
  <si>
    <t>Value</t>
  </si>
  <si>
    <t>Parameter</t>
  </si>
  <si>
    <t>C.  OVERHEAD ALLOCATION</t>
  </si>
  <si>
    <t>Last-mile to your storage/location</t>
  </si>
  <si>
    <t>Local delivery / handling (USD)</t>
  </si>
  <si>
    <t>Used to allocate brokerage per piece</t>
  </si>
  <si>
    <t>Avg pieces per shipment</t>
  </si>
  <si>
    <t>Per shipment; allocate across pieces</t>
  </si>
  <si>
    <t>Customs brokerage flat fee (USD)</t>
  </si>
  <si>
    <t>Typical transit insurance ~1.5%</t>
  </si>
  <si>
    <t>Insurance rate (% of purchase price)</t>
  </si>
  <si>
    <t>Decorative art may attract ~6.5%</t>
  </si>
  <si>
    <t>US Customs duty rate (decorative art)</t>
  </si>
  <si>
    <t>Fine art (HTS 9701) is typically duty-free</t>
  </si>
  <si>
    <t>US Customs duty rate (fine art)</t>
  </si>
  <si>
    <t>For size-based calculation override</t>
  </si>
  <si>
    <t>Shipping cost per sq ft (USD)</t>
  </si>
  <si>
    <t>Flat estimate; adjust by actual invoice</t>
  </si>
  <si>
    <t>Base shipping cost per piece (USD)</t>
  </si>
  <si>
    <t>B.  SHIPPING &amp; IMPORT COSTS</t>
  </si>
  <si>
    <t>3% buffer protects against rate moves</t>
  </si>
  <si>
    <t>Buffer % for rate fluctuation</t>
  </si>
  <si>
    <t>Update weekly — e.g. 1 INR = 0.012 USD</t>
  </si>
  <si>
    <t>INR to USD Exchange Rate</t>
  </si>
  <si>
    <t>A.  CURRENCY</t>
  </si>
  <si>
    <t>All blue cells are inputs — update these as your costs change</t>
  </si>
  <si>
    <t>⚙️  PRICING &amp; COST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</si>
</sst>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x"/>
    <numFmt numFmtId="166" formatCode="\$#,##0.00"/>
    <numFmt numFmtId="167" formatCode="#,##0.0000"/>
  </numFmts>
  <fonts count="23" x14ac:knownFonts="1">
    <font>
      <sz val="10"/>
      <name val="Arial"/>
    </font>
    <font>
      <b/>
      <sz val="14"/>
      <color rgb="FFFFFFFF"/>
      <name val="Calibri"/>
    </font>
    <font>
      <i/>
      <sz val="11"/>
      <name val="Calibri"/>
    </font>
    <font>
      <b/>
      <sz val="11"/>
      <name val="Calibri"/>
    </font>
    <font>
      <sz val="11"/>
      <name val="Calibri"/>
    </font>
    <font>
      <b/>
      <sz val="11"/>
      <color rgb="FFFFFFFF"/>
      <name val="Calibri"/>
    </font>
    <font>
      <sz val="11"/>
      <color theme="1"/>
      <name val="Calibri"/>
      <scheme val="minor"/>
    </font>
    <font>
      <sz val="11"/>
      <color theme="1"/>
      <name val="Calibri"/>
    </font>
    <font>
      <i/>
      <sz val="9"/>
      <color rgb="FF888888"/>
      <name val="Arial"/>
    </font>
    <font>
      <sz val="9"/>
      <color rgb="FF008000"/>
      <name val="Arial"/>
    </font>
    <font>
      <b/>
      <sz val="9"/>
      <color rgb="FF008000"/>
      <name val="Arial"/>
    </font>
    <font>
      <sz val="9"/>
      <color rgb="FF000000"/>
      <name val="Arial"/>
    </font>
    <font>
      <b/>
      <sz val="9"/>
      <color rgb="FF000000"/>
      <name val="Arial"/>
    </font>
    <font>
      <sz val="9"/>
      <color rgb="FF0000FF"/>
      <name val="Arial"/>
    </font>
    <font>
      <b/>
      <sz val="9"/>
      <color rgb="FF0000FF"/>
      <name val="Arial"/>
    </font>
    <font>
      <b/>
      <sz val="9"/>
      <color rgb="FF595959"/>
      <name val="Arial"/>
    </font>
    <font>
      <b/>
      <sz val="10"/>
      <color rgb="FF0000FF"/>
      <name val="Arial"/>
    </font>
    <font>
      <sz val="10"/>
      <color rgb="FF2F2F2F"/>
      <name val="Arial"/>
    </font>
    <font>
      <b/>
      <sz val="10"/>
      <color rgb="FFFFFFFF"/>
      <name val="Arial"/>
    </font>
    <font>
      <b/>
      <sz val="10"/>
      <color rgb="FF1F4E79"/>
      <name val="Arial"/>
    </font>
    <font>
      <b/>
      <sz val="10"/>
      <color rgb="FF000000"/>
      <name val="Arial"/>
    </font>
    <font>
      <sz val="9"/>
      <color rgb="FF2E75B6"/>
      <name val="Arial"/>
    </font>
    <font>
      <b/>
      <sz val="14"/>
      <color rgb="FFFFFFFF"/>
      <name val="Arial"/>
    </font>
  </fonts>
  <fills count="14">
    <fill>
      <patternFill patternType="none"/>
    </fill>
    <fill>
      <patternFill patternType="gray125"/>
    </fill>
    <fill>
      <patternFill patternType="solid">
        <fgColor rgb="FF1F4E78"/>
      </patternFill>
    </fill>
    <fill>
      <patternFill patternType="solid">
        <fgColor rgb="FFD9EAF7"/>
      </patternFill>
    </fill>
    <fill>
      <patternFill patternType="solid">
        <fgColor rgb="FFFFCC99"/>
      </patternFill>
    </fill>
    <fill>
      <patternFill patternType="solid">
        <fgColor rgb="FFFF9999"/>
      </patternFill>
    </fill>
    <fill>
      <patternFill patternType="solid">
        <fgColor rgb="FFFFFFAA"/>
      </patternFill>
    </fill>
    <fill>
      <patternFill patternType="solid">
        <fgColor rgb="FFF2F2F2"/>
        <bgColor rgb="FFF2F2F2"/>
      </patternFill>
    </fill>
    <fill>
      <patternFill patternType="solid">
        <fgColor rgb="FFFFF2CC"/>
        <bgColor rgb="FFFFF2CC"/>
      </patternFill>
    </fill>
    <fill>
      <patternFill patternType="solid">
        <fgColor rgb="FFFFFFFF"/>
        <bgColor rgb="FFFFFFFF"/>
      </patternFill>
    </fill>
    <fill>
      <patternFill patternType="solid">
        <fgColor rgb="FFEBF3FB"/>
        <bgColor rgb="FFEBF3FB"/>
      </patternFill>
    </fill>
    <fill>
      <patternFill patternType="solid">
        <fgColor rgb="FF2E75B6"/>
        <bgColor rgb="FF2E75B6"/>
      </patternFill>
    </fill>
    <fill>
      <patternFill patternType="solid">
        <fgColor rgb="FFBDD7EE"/>
        <bgColor rgb="FFBDD7EE"/>
      </patternFill>
    </fill>
    <fill>
      <patternFill patternType="solid">
        <fgColor rgb="FF1F4E79"/>
        <bgColor rgb="FF1F4E79"/>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6" fillId="0" borderId="0"/>
  </cellStyleXfs>
  <cellXfs count="35">
    <xf numFmtId="0" fontId="0" fillId="0" borderId="0" xfId="0"/>
    <xf numFmtId="0" fontId="3" fillId="3" borderId="0" xfId="0" applyFont="1" applyFill="1" applyAlignment="1">
      <alignment wrapText="1"/>
    </xf>
    <xf numFmtId="0" fontId="4" fillId="0" borderId="0" xfId="0" applyFont="1" applyAlignment="1">
      <alignment wrapText="1"/>
    </xf>
    <xf numFmtId="0" fontId="5" fillId="2" borderId="0" xfId="0" applyFont="1" applyFill="1" applyAlignment="1">
      <alignment horizontal="center" vertical="center" wrapText="1"/>
    </xf>
    <xf numFmtId="2" fontId="5" fillId="2" borderId="0" xfId="0" applyNumberFormat="1" applyFont="1" applyFill="1" applyAlignment="1">
      <alignment horizontal="center" vertical="center" wrapText="1"/>
    </xf>
    <xf numFmtId="0" fontId="4" fillId="0" borderId="0" xfId="0" applyFont="1" applyAlignment="1">
      <alignment vertical="top" wrapText="1"/>
    </xf>
    <xf numFmtId="0" fontId="4" fillId="4" borderId="0" xfId="0" applyFont="1" applyFill="1" applyAlignment="1">
      <alignment wrapText="1"/>
    </xf>
    <xf numFmtId="0" fontId="4" fillId="5" borderId="0" xfId="0" applyFont="1" applyFill="1" applyAlignment="1">
      <alignment wrapText="1"/>
    </xf>
    <xf numFmtId="0" fontId="4" fillId="6" borderId="0" xfId="0" applyFont="1" applyFill="1" applyAlignment="1">
      <alignment wrapText="1"/>
    </xf>
    <xf numFmtId="0" fontId="1" fillId="2" borderId="0" xfId="0" applyFont="1" applyFill="1" applyAlignment="1">
      <alignment horizontal="center"/>
    </xf>
    <xf numFmtId="0" fontId="2" fillId="0" borderId="0" xfId="0" applyFont="1" applyAlignment="1">
      <alignment wrapText="1"/>
    </xf>
    <xf numFmtId="0" fontId="6" fillId="0" borderId="0" xfId="1"/>
    <xf numFmtId="0" fontId="7" fillId="0" borderId="0" xfId="1" applyFont="1"/>
    <xf numFmtId="0" fontId="8" fillId="0" borderId="0" xfId="1" applyFont="1" applyAlignment="1">
      <alignment horizontal="left" vertical="center"/>
    </xf>
    <xf numFmtId="0" fontId="9" fillId="7" borderId="0" xfId="1" applyFont="1" applyFill="1" applyAlignment="1">
      <alignment horizontal="center" vertical="center"/>
    </xf>
    <xf numFmtId="0" fontId="10" fillId="7" borderId="1" xfId="1" applyFont="1" applyFill="1" applyBorder="1"/>
    <xf numFmtId="0" fontId="11" fillId="7" borderId="0" xfId="1" applyFont="1" applyFill="1" applyAlignment="1">
      <alignment horizontal="center" vertical="center"/>
    </xf>
    <xf numFmtId="0" fontId="12" fillId="7" borderId="1" xfId="1" applyFont="1" applyFill="1" applyBorder="1"/>
    <xf numFmtId="0" fontId="13" fillId="7" borderId="0" xfId="1" applyFont="1" applyFill="1" applyAlignment="1">
      <alignment horizontal="center" vertical="center"/>
    </xf>
    <xf numFmtId="0" fontId="14" fillId="7" borderId="1" xfId="1" applyFont="1" applyFill="1" applyBorder="1"/>
    <xf numFmtId="0" fontId="4" fillId="0" borderId="0" xfId="1" applyFont="1"/>
    <xf numFmtId="0" fontId="15" fillId="7" borderId="0" xfId="1" applyFont="1" applyFill="1" applyAlignment="1">
      <alignment horizontal="left" vertical="center"/>
    </xf>
    <xf numFmtId="164" fontId="16" fillId="8" borderId="1" xfId="1" applyNumberFormat="1" applyFont="1" applyFill="1" applyBorder="1" applyAlignment="1">
      <alignment horizontal="center" vertical="center"/>
    </xf>
    <xf numFmtId="0" fontId="17" fillId="9" borderId="1" xfId="1" applyFont="1" applyFill="1" applyBorder="1"/>
    <xf numFmtId="165" fontId="16" fillId="10" borderId="1" xfId="1" applyNumberFormat="1" applyFont="1" applyFill="1" applyBorder="1" applyAlignment="1">
      <alignment horizontal="center" vertical="center"/>
    </xf>
    <xf numFmtId="0" fontId="18" fillId="11" borderId="1" xfId="1" applyFont="1" applyFill="1" applyBorder="1" applyAlignment="1">
      <alignment horizontal="center" vertical="center"/>
    </xf>
    <xf numFmtId="0" fontId="19" fillId="12" borderId="0" xfId="1" applyFont="1" applyFill="1" applyAlignment="1">
      <alignment horizontal="left" vertical="center"/>
    </xf>
    <xf numFmtId="166" fontId="20" fillId="10" borderId="1" xfId="1" applyNumberFormat="1" applyFont="1" applyFill="1" applyBorder="1" applyAlignment="1">
      <alignment horizontal="center" vertical="center"/>
    </xf>
    <xf numFmtId="0" fontId="19" fillId="10" borderId="1" xfId="1" applyFont="1" applyFill="1" applyBorder="1"/>
    <xf numFmtId="3" fontId="16" fillId="10" borderId="1" xfId="1" applyNumberFormat="1" applyFont="1" applyFill="1" applyBorder="1" applyAlignment="1">
      <alignment horizontal="center" vertical="center"/>
    </xf>
    <xf numFmtId="166" fontId="16" fillId="10" borderId="1" xfId="1" applyNumberFormat="1" applyFont="1" applyFill="1" applyBorder="1" applyAlignment="1">
      <alignment horizontal="center" vertical="center"/>
    </xf>
    <xf numFmtId="164" fontId="16" fillId="10" borderId="1" xfId="1" applyNumberFormat="1" applyFont="1" applyFill="1" applyBorder="1" applyAlignment="1">
      <alignment horizontal="center" vertical="center"/>
    </xf>
    <xf numFmtId="167" fontId="16" fillId="10" borderId="1" xfId="1" applyNumberFormat="1" applyFont="1" applyFill="1" applyBorder="1" applyAlignment="1">
      <alignment horizontal="center" vertical="center"/>
    </xf>
    <xf numFmtId="0" fontId="21" fillId="10" borderId="0" xfId="1" applyFont="1" applyFill="1" applyAlignment="1">
      <alignment horizontal="center" vertical="center"/>
    </xf>
    <xf numFmtId="0" fontId="22" fillId="13" borderId="0" xfId="1" applyFont="1" applyFill="1" applyAlignment="1">
      <alignment horizontal="center" vertical="center"/>
    </xf>
  </cellXfs>
  <cellStyles count="2">
    <cellStyle name="Normal" xfId="0" builtinId="0"/>
    <cellStyle name="Normal 2" xfId="1" xr:uid="{2E70C0E9-B285-4943-9F47-DBA221AA30C7}"/>
  </cellStyles>
  <dxfs count="6">
    <dxf>
      <font>
        <color rgb="FF7F6000"/>
      </font>
      <fill>
        <patternFill>
          <bgColor rgb="FFFFF2CC"/>
        </patternFill>
      </fill>
    </dxf>
    <dxf>
      <font>
        <color rgb="FF7F6000"/>
      </font>
      <fill>
        <patternFill>
          <bgColor rgb="FFFFF2CC"/>
        </patternFill>
      </fill>
    </dxf>
    <dxf>
      <font>
        <color rgb="FF9C0006"/>
      </font>
      <fill>
        <patternFill>
          <bgColor rgb="FFF4CCCC"/>
        </patternFill>
      </fill>
    </dxf>
    <dxf>
      <font>
        <color rgb="FF274E13"/>
      </font>
      <fill>
        <patternFill>
          <bgColor rgb="FFD9EAD3"/>
        </patternFill>
      </fill>
    </dxf>
    <dxf>
      <font>
        <color rgb="FF7F6000"/>
      </font>
      <fill>
        <patternFill>
          <bgColor rgb="FFFFF2CC"/>
        </patternFill>
      </fill>
    </dxf>
    <dxf>
      <font>
        <color rgb="FF9C0006"/>
      </font>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C0C0C0"/>
      <rgbColor rgb="FF808080"/>
      <rgbColor rgb="FF9999FF"/>
      <rgbColor rgb="FF993366"/>
      <rgbColor rgb="FFFFF2CC"/>
      <rgbColor rgb="FFD9EAF7"/>
      <rgbColor rgb="FF660066"/>
      <rgbColor rgb="FFFF8080"/>
      <rgbColor rgb="FF0066CC"/>
      <rgbColor rgb="FFF4CCCC"/>
      <rgbColor rgb="FF000080"/>
      <rgbColor rgb="FFFF00FF"/>
      <rgbColor rgb="FFFFFF00"/>
      <rgbColor rgb="FF00FFFF"/>
      <rgbColor rgb="FF800080"/>
      <rgbColor rgb="FF800000"/>
      <rgbColor rgb="FF008080"/>
      <rgbColor rgb="FF0000FF"/>
      <rgbColor rgb="FF00CCFF"/>
      <rgbColor rgb="FFCCFFFF"/>
      <rgbColor rgb="FFD9EAD3"/>
      <rgbColor rgb="FFFFFFAA"/>
      <rgbColor rgb="FF99CCFF"/>
      <rgbColor rgb="FFFF9999"/>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74E13"/>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SyncSummaryTable" displayName="SyncSummaryTable" ref="A3:C16">
  <tableColumns count="3">
    <tableColumn id="1" xr3:uid="{00000000-0010-0000-0000-000001000000}" name="Metric"/>
    <tableColumn id="2" xr3:uid="{00000000-0010-0000-0000-000002000000}" name="Formula/Value"/>
    <tableColumn id="3" xr3:uid="{00000000-0010-0000-0000-000003000000}" name="Not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BArtworksExportTable" displayName="DBArtworksExportTable" ref="A1:N37">
  <tableColumns count="14">
    <tableColumn id="1" xr3:uid="{00000000-0010-0000-0100-000001000000}" name="id"/>
    <tableColumn id="2" xr3:uid="{00000000-0010-0000-0100-000002000000}" name="title"/>
    <tableColumn id="3" xr3:uid="{00000000-0010-0000-0100-000003000000}" name="category_slug"/>
    <tableColumn id="4" xr3:uid="{00000000-0010-0000-0100-000004000000}" name="category_name"/>
    <tableColumn id="5" xr3:uid="{00000000-0010-0000-0100-000005000000}" name="description"/>
    <tableColumn id="6" xr3:uid="{00000000-0010-0000-0100-000006000000}" name="materials"/>
    <tableColumn id="7" xr3:uid="{00000000-0010-0000-0100-000007000000}" name="price_inr"/>
    <tableColumn id="8" xr3:uid="{00000000-0010-0000-0100-000008000000}" name="price_usd"/>
    <tableColumn id="9" xr3:uid="{00000000-0010-0000-0100-000009000000}" name="fx_rate_used"/>
    <tableColumn id="10" xr3:uid="{00000000-0010-0000-0100-00000A000000}" name="multiplier_used"/>
    <tableColumn id="11" xr3:uid="{00000000-0010-0000-0100-00000B000000}" name="featured"/>
    <tableColumn id="12" xr3:uid="{00000000-0010-0000-0100-00000C000000}" name="image"/>
    <tableColumn id="13" xr3:uid="{00000000-0010-0000-0100-00000D000000}" name="created_at"/>
    <tableColumn id="14" xr3:uid="{00000000-0010-0000-0100-00000E000000}" name="updated_a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DBArtworkSizesExportTable" displayName="DBArtworkSizesExportTable" ref="A1:G74">
  <tableColumns count="7">
    <tableColumn id="1" xr3:uid="{00000000-0010-0000-0200-000001000000}" name="id"/>
    <tableColumn id="2" xr3:uid="{00000000-0010-0000-0200-000002000000}" name="artwork_id"/>
    <tableColumn id="3" xr3:uid="{00000000-0010-0000-0200-000003000000}" name="artwork_title"/>
    <tableColumn id="4" xr3:uid="{00000000-0010-0000-0200-000004000000}" name="size_label"/>
    <tableColumn id="5" xr3:uid="{00000000-0010-0000-0200-000005000000}" name="price"/>
    <tableColumn id="6" xr3:uid="{00000000-0010-0000-0200-000006000000}" name="price_usd"/>
    <tableColumn id="7" xr3:uid="{00000000-0010-0000-0200-000007000000}" name="created_a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DBCategoriesExportTable" displayName="DBCategoriesExportTable" ref="A1:E6">
  <tableColumns count="5">
    <tableColumn id="1" xr3:uid="{00000000-0010-0000-0300-000001000000}" name="id"/>
    <tableColumn id="2" xr3:uid="{00000000-0010-0000-0300-000002000000}" name="name"/>
    <tableColumn id="3" xr3:uid="{00000000-0010-0000-0300-000003000000}" name="description"/>
    <tableColumn id="4" xr3:uid="{00000000-0010-0000-0300-000004000000}" name="image"/>
    <tableColumn id="5" xr3:uid="{00000000-0010-0000-0300-000005000000}" name="display_order"/>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InventoryMasterTable" displayName="InventoryMasterTable" ref="A1:AO500">
  <tableColumns count="41">
    <tableColumn id="1" xr3:uid="{00000000-0010-0000-0400-000001000000}" name="Sync Action"/>
    <tableColumn id="2" xr3:uid="{00000000-0010-0000-0400-000002000000}" name="Suggested Sync Action"/>
    <tableColumn id="3" xr3:uid="{00000000-0010-0000-0400-000003000000}" name="Validation Status"/>
    <tableColumn id="4" xr3:uid="{00000000-0010-0000-0400-000004000000}" name="DB id"/>
    <tableColumn id="5" xr3:uid="{00000000-0010-0000-0400-000005000000}" name="DB title"/>
    <tableColumn id="6" xr3:uid="{00000000-0010-0000-0400-000006000000}" name="DB category_slug"/>
    <tableColumn id="7" xr3:uid="{00000000-0010-0000-0400-000007000000}" name="DB category_name"/>
    <tableColumn id="8" xr3:uid="{00000000-0010-0000-0400-000008000000}" name="DB description"/>
    <tableColumn id="9" xr3:uid="{00000000-0010-0000-0400-000009000000}" name="DB materials"/>
    <tableColumn id="10" xr3:uid="{00000000-0010-0000-0400-00000A000000}" name="DB price_inr"/>
    <tableColumn id="11" xr3:uid="{00000000-0010-0000-0400-00000B000000}" name="DB price_usd"/>
    <tableColumn id="12" xr3:uid="{00000000-0010-0000-0400-00000C000000}" name="DB fx_rate_used"/>
    <tableColumn id="13" xr3:uid="{00000000-0010-0000-0400-00000D000000}" name="DB multiplier_used"/>
    <tableColumn id="14" xr3:uid="{00000000-0010-0000-0400-00000E000000}" name="DB featured"/>
    <tableColumn id="15" xr3:uid="{00000000-0010-0000-0400-00000F000000}" name="DB image"/>
    <tableColumn id="16" xr3:uid="{00000000-0010-0000-0400-000010000000}" name="DB created_at"/>
    <tableColumn id="17" xr3:uid="{00000000-0010-0000-0400-000011000000}" name="DB updated_at"/>
    <tableColumn id="18" xr3:uid="{00000000-0010-0000-0400-000012000000}" name="Category Validation"/>
    <tableColumn id="19" xr3:uid="{00000000-0010-0000-0400-000013000000}" name="Size Variant Count"/>
    <tableColumn id="20" xr3:uid="{00000000-0010-0000-0400-000014000000}" name="First Size Label"/>
    <tableColumn id="21" xr3:uid="{00000000-0010-0000-0400-000015000000}" name="First Size Price INR"/>
    <tableColumn id="22" xr3:uid="{00000000-0010-0000-0400-000016000000}" name="First Size Price USD"/>
    <tableColumn id="23" xr3:uid="{00000000-0010-0000-0400-000017000000}" name="Size Review Flag"/>
    <tableColumn id="24" xr3:uid="{00000000-0010-0000-0400-000018000000}" name="Inventory SKU"/>
    <tableColumn id="25" xr3:uid="{00000000-0010-0000-0400-000019000000}" name="Corrected title"/>
    <tableColumn id="26" xr3:uid="{00000000-0010-0000-0400-00001A000000}" name="Corrected category_slug"/>
    <tableColumn id="27" xr3:uid="{00000000-0010-0000-0400-00001B000000}" name="Corrected description"/>
    <tableColumn id="28" xr3:uid="{00000000-0010-0000-0400-00001C000000}" name="Corrected materials"/>
    <tableColumn id="29" xr3:uid="{00000000-0010-0000-0400-00001D000000}" name="Corrected price_inr"/>
    <tableColumn id="30" xr3:uid="{00000000-0010-0000-0400-00001E000000}" name="Corrected featured"/>
    <tableColumn id="31" xr3:uid="{00000000-0010-0000-0400-00001F000000}" name="Corrected image"/>
    <tableColumn id="32" xr3:uid="{00000000-0010-0000-0400-000020000000}" name="Final title"/>
    <tableColumn id="33" xr3:uid="{00000000-0010-0000-0400-000021000000}" name="Final category_slug"/>
    <tableColumn id="34" xr3:uid="{00000000-0010-0000-0400-000022000000}" name="Final category_name"/>
    <tableColumn id="35" xr3:uid="{00000000-0010-0000-0400-000023000000}" name="Final description"/>
    <tableColumn id="36" xr3:uid="{00000000-0010-0000-0400-000024000000}" name="Final materials"/>
    <tableColumn id="37" xr3:uid="{00000000-0010-0000-0400-000025000000}" name="Final price_inr"/>
    <tableColumn id="38" xr3:uid="{00000000-0010-0000-0400-000026000000}" name="Final featured"/>
    <tableColumn id="39" xr3:uid="{00000000-0010-0000-0400-000027000000}" name="Final image"/>
    <tableColumn id="40" xr3:uid="{00000000-0010-0000-0400-000028000000}" name="Inventory Notes"/>
    <tableColumn id="41" xr3:uid="{00000000-0010-0000-0400-000029000000}" name="Intern Review Note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PotentialIssuesAutoTable" displayName="PotentialIssuesAutoTable" ref="A1:J500">
  <tableColumns count="10">
    <tableColumn id="1" xr3:uid="{00000000-0010-0000-0500-000001000000}" name="Artwork ID"/>
    <tableColumn id="2" xr3:uid="{00000000-0010-0000-0500-000002000000}" name="Title"/>
    <tableColumn id="3" xr3:uid="{00000000-0010-0000-0500-000003000000}" name="Validation Status"/>
    <tableColumn id="4" xr3:uid="{00000000-0010-0000-0500-000004000000}" name="Category Validation"/>
    <tableColumn id="5" xr3:uid="{00000000-0010-0000-0500-000005000000}" name="Size Review Flag"/>
    <tableColumn id="6" xr3:uid="{00000000-0010-0000-0500-000006000000}" name="Issue Summary"/>
    <tableColumn id="7" xr3:uid="{00000000-0010-0000-0500-000007000000}" name="Needs Reconciliation Log?"/>
    <tableColumn id="8" xr3:uid="{00000000-0010-0000-0500-000008000000}" name="Suggested Issue Type"/>
    <tableColumn id="9" xr3:uid="{00000000-0010-0000-0500-000009000000}" name="Suggested Severity"/>
    <tableColumn id="10" xr3:uid="{00000000-0010-0000-0500-00000A000000}" name="Suggested Sync Actio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ReconciliationReportTable" displayName="ReconciliationReportTable" ref="A1:P500">
  <tableColumns count="16">
    <tableColumn id="1" xr3:uid="{00000000-0010-0000-0600-000001000000}" name="Issue ID"/>
    <tableColumn id="2" xr3:uid="{00000000-0010-0000-0600-000002000000}" name="Issue Type"/>
    <tableColumn id="3" xr3:uid="{00000000-0010-0000-0600-000003000000}" name="Severity"/>
    <tableColumn id="4" xr3:uid="{00000000-0010-0000-0600-000004000000}" name="Source Tab"/>
    <tableColumn id="5" xr3:uid="{00000000-0010-0000-0600-000005000000}" name="Artwork ID"/>
    <tableColumn id="6" xr3:uid="{00000000-0010-0000-0600-000006000000}" name="Inventory SKU"/>
    <tableColumn id="7" xr3:uid="{00000000-0010-0000-0600-000007000000}" name="Title"/>
    <tableColumn id="8" xr3:uid="{00000000-0010-0000-0600-000008000000}" name="Field Name"/>
    <tableColumn id="9" xr3:uid="{00000000-0010-0000-0600-000009000000}" name="DB Value"/>
    <tableColumn id="10" xr3:uid="{00000000-0010-0000-0600-00000A000000}" name="Inventory/Proposed Value"/>
    <tableColumn id="11" xr3:uid="{00000000-0010-0000-0600-00000B000000}" name="Expected Value"/>
    <tableColumn id="12" xr3:uid="{00000000-0010-0000-0600-00000C000000}" name="Recommended Action"/>
    <tableColumn id="13" xr3:uid="{00000000-0010-0000-0600-00000D000000}" name="Sync Action"/>
    <tableColumn id="14" xr3:uid="{00000000-0010-0000-0600-00000E000000}" name="Assigned To"/>
    <tableColumn id="15" xr3:uid="{00000000-0010-0000-0600-00000F000000}" name="Resolved?"/>
    <tableColumn id="16" xr3:uid="{00000000-0010-0000-0600-000010000000}" name="Resolution Note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ImportValidationRulesTable" displayName="ImportValidationRulesTable" ref="A1:M24">
  <tableColumns count="13">
    <tableColumn id="1" xr3:uid="{00000000-0010-0000-0700-000001000000}" name="Rule ID"/>
    <tableColumn id="2" xr3:uid="{00000000-0010-0000-0700-000002000000}" name="Workbook Tab"/>
    <tableColumn id="3" xr3:uid="{00000000-0010-0000-0700-000003000000}" name="Spreadsheet Column"/>
    <tableColumn id="4" xr3:uid="{00000000-0010-0000-0700-000004000000}" name="Source/DB Column"/>
    <tableColumn id="5" xr3:uid="{00000000-0010-0000-0700-000005000000}" name="Required?"/>
    <tableColumn id="6" xr3:uid="{00000000-0010-0000-0700-000006000000}" name="Manual or Formula?"/>
    <tableColumn id="7" xr3:uid="{00000000-0010-0000-0700-000007000000}" name="Data Type"/>
    <tableColumn id="8" xr3:uid="{00000000-0010-0000-0700-000008000000}" name="Allowed Values"/>
    <tableColumn id="9" xr3:uid="{00000000-0010-0000-0700-000009000000}" name="Validation Rule"/>
    <tableColumn id="10" xr3:uid="{00000000-0010-0000-0700-00000A000000}" name="Error Message"/>
    <tableColumn id="11" xr3:uid="{00000000-0010-0000-0700-00000B000000}" name="Severity"/>
    <tableColumn id="12" xr3:uid="{00000000-0010-0000-0700-00000C000000}" name="Example Valid"/>
    <tableColumn id="13" xr3:uid="{00000000-0010-0000-0700-00000D000000}" name="Example Invalid"/>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8000000}" name="FieldMappingTable" displayName="FieldMappingTable" ref="A1:F36">
  <tableColumns count="6">
    <tableColumn id="1" xr3:uid="{00000000-0010-0000-0800-000001000000}" name="Source Tab"/>
    <tableColumn id="2" xr3:uid="{00000000-0010-0000-0800-000002000000}" name="Source Column Order"/>
    <tableColumn id="3" xr3:uid="{00000000-0010-0000-0800-000003000000}" name="Source Column"/>
    <tableColumn id="4" xr3:uid="{00000000-0010-0000-0800-000004000000}" name="Inventory_Master Column"/>
    <tableColumn id="5" xr3:uid="{00000000-0010-0000-0800-000005000000}" name="Auto/Manual"/>
    <tableColumn id="6" xr3:uid="{00000000-0010-0000-0800-000006000000}" name="Rule / Notes"/>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workbookViewId="0">
      <selection sqref="A1:H1"/>
    </sheetView>
  </sheetViews>
  <sheetFormatPr defaultColWidth="8.6640625" defaultRowHeight="13.2" x14ac:dyDescent="0.25"/>
  <cols>
    <col min="1" max="1" width="28" customWidth="1"/>
    <col min="2" max="2" width="120" customWidth="1"/>
  </cols>
  <sheetData>
    <row r="1" spans="1:8" ht="13.8" customHeight="1" x14ac:dyDescent="0.35">
      <c r="A1" s="9" t="s">
        <v>0</v>
      </c>
      <c r="B1" s="9"/>
      <c r="C1" s="9"/>
      <c r="D1" s="9"/>
      <c r="E1" s="9"/>
      <c r="F1" s="9"/>
      <c r="G1" s="9"/>
      <c r="H1" s="9"/>
    </row>
    <row r="2" spans="1:8" ht="12" customHeight="1" x14ac:dyDescent="0.3">
      <c r="A2" s="10" t="s">
        <v>1</v>
      </c>
      <c r="B2" s="10"/>
      <c r="C2" s="10"/>
      <c r="D2" s="10"/>
      <c r="E2" s="10"/>
      <c r="F2" s="10"/>
      <c r="G2" s="10"/>
      <c r="H2" s="10"/>
    </row>
    <row r="4" spans="1:8" ht="22.2" customHeight="1" x14ac:dyDescent="0.3">
      <c r="A4" s="1" t="s">
        <v>2</v>
      </c>
      <c r="B4" s="2" t="s">
        <v>3</v>
      </c>
    </row>
    <row r="5" spans="1:8" ht="22.2" customHeight="1" x14ac:dyDescent="0.3">
      <c r="A5" s="1" t="s">
        <v>4</v>
      </c>
      <c r="B5" s="2" t="s">
        <v>5</v>
      </c>
    </row>
    <row r="6" spans="1:8" ht="22.2" customHeight="1" x14ac:dyDescent="0.3">
      <c r="A6" s="1" t="s">
        <v>6</v>
      </c>
      <c r="B6" s="2" t="s">
        <v>7</v>
      </c>
    </row>
    <row r="7" spans="1:8" ht="12" customHeight="1" x14ac:dyDescent="0.3">
      <c r="A7" s="1" t="s">
        <v>8</v>
      </c>
      <c r="B7" s="2" t="s">
        <v>9</v>
      </c>
    </row>
    <row r="8" spans="1:8" ht="22.2" customHeight="1" x14ac:dyDescent="0.3">
      <c r="A8" s="1" t="s">
        <v>10</v>
      </c>
      <c r="B8" s="2" t="s">
        <v>11</v>
      </c>
    </row>
    <row r="9" spans="1:8" ht="12" customHeight="1" x14ac:dyDescent="0.3">
      <c r="A9" s="1" t="s">
        <v>12</v>
      </c>
      <c r="B9" s="2" t="s">
        <v>13</v>
      </c>
    </row>
    <row r="10" spans="1:8" ht="22.2" customHeight="1" x14ac:dyDescent="0.3">
      <c r="A10" s="1" t="s">
        <v>14</v>
      </c>
      <c r="B10" s="2" t="s">
        <v>15</v>
      </c>
    </row>
    <row r="11" spans="1:8" ht="12" customHeight="1" x14ac:dyDescent="0.3">
      <c r="A11" s="1" t="s">
        <v>16</v>
      </c>
      <c r="B11" s="2" t="s">
        <v>17</v>
      </c>
    </row>
    <row r="12" spans="1:8" ht="12" customHeight="1" x14ac:dyDescent="0.3">
      <c r="A12" s="1" t="s">
        <v>18</v>
      </c>
      <c r="B12" s="2" t="s">
        <v>19</v>
      </c>
    </row>
    <row r="13" spans="1:8" ht="12" customHeight="1" x14ac:dyDescent="0.3">
      <c r="A13" s="1" t="s">
        <v>20</v>
      </c>
      <c r="B13" s="2" t="s">
        <v>21</v>
      </c>
    </row>
  </sheetData>
  <mergeCells count="2">
    <mergeCell ref="A1:H1"/>
    <mergeCell ref="A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sqref="A1:C1"/>
    </sheetView>
  </sheetViews>
  <sheetFormatPr defaultColWidth="8.6640625" defaultRowHeight="13.2" x14ac:dyDescent="0.25"/>
  <cols>
    <col min="1" max="1" width="32" customWidth="1"/>
    <col min="2" max="2" width="24" customWidth="1"/>
    <col min="3" max="3" width="48" customWidth="1"/>
  </cols>
  <sheetData>
    <row r="1" spans="1:3" ht="13.8" customHeight="1" x14ac:dyDescent="0.35">
      <c r="A1" s="9" t="s">
        <v>22</v>
      </c>
      <c r="B1" s="9"/>
      <c r="C1" s="9"/>
    </row>
    <row r="3" spans="1:3" ht="28.8" customHeight="1" x14ac:dyDescent="0.25">
      <c r="A3" s="3" t="s">
        <v>23</v>
      </c>
      <c r="B3" s="3" t="s">
        <v>24</v>
      </c>
      <c r="C3" s="3" t="s">
        <v>25</v>
      </c>
    </row>
    <row r="4" spans="1:3" ht="12" customHeight="1" x14ac:dyDescent="0.3">
      <c r="A4" s="1" t="s">
        <v>26</v>
      </c>
      <c r="B4" s="2">
        <f>MAX(COUNTA(DB_Artworks_Export!$A:$A)-1,0)</f>
        <v>36</v>
      </c>
      <c r="C4" s="2" t="s">
        <v>27</v>
      </c>
    </row>
    <row r="5" spans="1:3" ht="12" customHeight="1" x14ac:dyDescent="0.3">
      <c r="A5" s="1" t="s">
        <v>28</v>
      </c>
      <c r="B5" s="2">
        <f>MAX(COUNTA(DB_Artwork_Sizes_Export!$A:$A)-1,0)</f>
        <v>73</v>
      </c>
      <c r="C5" s="2" t="s">
        <v>29</v>
      </c>
    </row>
    <row r="6" spans="1:3" ht="12" customHeight="1" x14ac:dyDescent="0.3">
      <c r="A6" s="1" t="s">
        <v>30</v>
      </c>
      <c r="B6" s="2">
        <f>MAX(COUNTA(DB_Categories_Export!$A:$A)-1,0)</f>
        <v>5</v>
      </c>
      <c r="C6" s="2" t="s">
        <v>31</v>
      </c>
    </row>
    <row r="7" spans="1:3" ht="12" customHeight="1" x14ac:dyDescent="0.3">
      <c r="A7" s="1" t="s">
        <v>32</v>
      </c>
      <c r="B7" s="2">
        <f>MAX(COUNTA(DB_Artworks_Export!$A:$A)-1,0)</f>
        <v>36</v>
      </c>
      <c r="C7" s="2" t="s">
        <v>33</v>
      </c>
    </row>
    <row r="8" spans="1:3" ht="12" customHeight="1" x14ac:dyDescent="0.3">
      <c r="A8" s="1" t="s">
        <v>34</v>
      </c>
      <c r="B8" s="2">
        <f>COUNTIF(Inventory_Master!$A:$A,"CREATE")</f>
        <v>0</v>
      </c>
      <c r="C8" s="2" t="s">
        <v>35</v>
      </c>
    </row>
    <row r="9" spans="1:3" ht="12" customHeight="1" x14ac:dyDescent="0.3">
      <c r="A9" s="1" t="s">
        <v>36</v>
      </c>
      <c r="B9" s="2">
        <f>COUNTIF(Inventory_Master!$A:$A,"UPDATE")</f>
        <v>9</v>
      </c>
      <c r="C9" s="2" t="s">
        <v>35</v>
      </c>
    </row>
    <row r="10" spans="1:3" ht="12" customHeight="1" x14ac:dyDescent="0.3">
      <c r="A10" s="1" t="s">
        <v>37</v>
      </c>
      <c r="B10" s="2">
        <f>COUNTIF(Inventory_Master!$A:$A,"NO_CHANGE")</f>
        <v>27</v>
      </c>
      <c r="C10" s="2" t="s">
        <v>35</v>
      </c>
    </row>
    <row r="11" spans="1:3" ht="12" customHeight="1" x14ac:dyDescent="0.3">
      <c r="A11" s="1" t="s">
        <v>38</v>
      </c>
      <c r="B11" s="2">
        <f>COUNTIF(Inventory_Master!$A:$A,"ARCHIVE")</f>
        <v>0</v>
      </c>
      <c r="C11" s="2" t="s">
        <v>35</v>
      </c>
    </row>
    <row r="12" spans="1:3" ht="12" customHeight="1" x14ac:dyDescent="0.3">
      <c r="A12" s="1" t="s">
        <v>39</v>
      </c>
      <c r="B12" s="2">
        <f>COUNTIF(Inventory_Master!$A:$A,"REVIEW")</f>
        <v>0</v>
      </c>
      <c r="C12" s="2" t="s">
        <v>35</v>
      </c>
    </row>
    <row r="13" spans="1:3" ht="12" customHeight="1" x14ac:dyDescent="0.3">
      <c r="A13" s="1" t="s">
        <v>40</v>
      </c>
      <c r="B13" s="2">
        <f>COUNTIF(Potential_Issues_Auto!$G:$G,"YES")</f>
        <v>33</v>
      </c>
      <c r="C13" s="2" t="s">
        <v>41</v>
      </c>
    </row>
    <row r="14" spans="1:3" ht="12" customHeight="1" x14ac:dyDescent="0.3">
      <c r="A14" s="1" t="s">
        <v>42</v>
      </c>
      <c r="B14" s="2">
        <f>COUNTIF(Inventory_Master!$R:$R,"INVALID CATEGORY")</f>
        <v>0</v>
      </c>
      <c r="C14" s="2" t="s">
        <v>43</v>
      </c>
    </row>
    <row r="15" spans="1:3" ht="12" customHeight="1" x14ac:dyDescent="0.3">
      <c r="A15" s="1" t="s">
        <v>44</v>
      </c>
      <c r="B15" s="2">
        <f>COUNTIF(Inventory_Master!$W:$W,"REVIEW_SIZE_PRICING")</f>
        <v>33</v>
      </c>
      <c r="C15" s="2" t="s">
        <v>45</v>
      </c>
    </row>
    <row r="16" spans="1:3" ht="12" customHeight="1" x14ac:dyDescent="0.3">
      <c r="A16" s="1" t="s">
        <v>46</v>
      </c>
      <c r="B16" s="2">
        <f>COUNTIF(Potential_Issues_Auto!$F:$F,"*Missing image*")</f>
        <v>0</v>
      </c>
      <c r="C16" s="2" t="s">
        <v>47</v>
      </c>
    </row>
  </sheetData>
  <mergeCells count="1">
    <mergeCell ref="A1:C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9730F-2D4E-4C20-BADB-D2EBD650CCD4}">
  <dimension ref="A1:E1000"/>
  <sheetViews>
    <sheetView showGridLines="0" tabSelected="1" topLeftCell="A15" workbookViewId="0">
      <selection activeCell="C7" sqref="C7"/>
    </sheetView>
  </sheetViews>
  <sheetFormatPr defaultColWidth="14.44140625" defaultRowHeight="15" customHeight="1" x14ac:dyDescent="0.3"/>
  <cols>
    <col min="1" max="1" width="2" style="11" customWidth="1"/>
    <col min="2" max="2" width="34" style="11" customWidth="1"/>
    <col min="3" max="3" width="18" style="11" customWidth="1"/>
    <col min="4" max="4" width="20" style="11" customWidth="1"/>
    <col min="5" max="5" width="34" style="11" customWidth="1"/>
    <col min="6" max="26" width="8.6640625" style="11" customWidth="1"/>
    <col min="27" max="16384" width="14.44140625" style="11"/>
  </cols>
  <sheetData>
    <row r="1" spans="1:5" ht="31.5" customHeight="1" x14ac:dyDescent="0.3">
      <c r="A1" s="12"/>
      <c r="B1" s="34" t="s">
        <v>972</v>
      </c>
      <c r="C1" s="20"/>
      <c r="D1" s="20"/>
      <c r="E1" s="12"/>
    </row>
    <row r="2" spans="1:5" ht="15.75" customHeight="1" x14ac:dyDescent="0.3">
      <c r="A2" s="12"/>
      <c r="B2" s="33" t="s">
        <v>971</v>
      </c>
      <c r="C2" s="20"/>
      <c r="D2" s="20"/>
      <c r="E2" s="12"/>
    </row>
    <row r="3" spans="1:5" ht="14.4" x14ac:dyDescent="0.3">
      <c r="A3" s="12"/>
      <c r="B3" s="12"/>
      <c r="C3" s="12"/>
      <c r="D3" s="12"/>
      <c r="E3" s="12"/>
    </row>
    <row r="4" spans="1:5" ht="15" customHeight="1" x14ac:dyDescent="0.3">
      <c r="A4" s="12"/>
      <c r="B4" s="26" t="s">
        <v>970</v>
      </c>
      <c r="C4" s="20"/>
      <c r="D4" s="20"/>
      <c r="E4" s="12"/>
    </row>
    <row r="5" spans="1:5" ht="18" customHeight="1" x14ac:dyDescent="0.3">
      <c r="A5" s="12"/>
      <c r="B5" s="25" t="s">
        <v>947</v>
      </c>
      <c r="C5" s="25" t="s">
        <v>946</v>
      </c>
      <c r="D5" s="25" t="s">
        <v>25</v>
      </c>
      <c r="E5" s="12"/>
    </row>
    <row r="6" spans="1:5" ht="15.75" customHeight="1" x14ac:dyDescent="0.3">
      <c r="A6" s="12"/>
      <c r="B6" s="23" t="s">
        <v>969</v>
      </c>
      <c r="C6" s="32">
        <v>1.059E-2</v>
      </c>
      <c r="D6" s="13" t="s">
        <v>968</v>
      </c>
      <c r="E6" s="12"/>
    </row>
    <row r="7" spans="1:5" ht="15.75" customHeight="1" x14ac:dyDescent="0.3">
      <c r="A7" s="12"/>
      <c r="B7" s="23" t="s">
        <v>967</v>
      </c>
      <c r="C7" s="31">
        <v>0.03</v>
      </c>
      <c r="D7" s="13" t="s">
        <v>966</v>
      </c>
      <c r="E7" s="12"/>
    </row>
    <row r="8" spans="1:5" ht="14.4" x14ac:dyDescent="0.3">
      <c r="A8" s="12"/>
      <c r="B8" s="12"/>
      <c r="C8" s="12"/>
      <c r="D8" s="12"/>
      <c r="E8" s="12"/>
    </row>
    <row r="9" spans="1:5" ht="15" customHeight="1" x14ac:dyDescent="0.3">
      <c r="A9" s="12"/>
      <c r="B9" s="26" t="s">
        <v>965</v>
      </c>
      <c r="C9" s="20"/>
      <c r="D9" s="20"/>
      <c r="E9" s="12"/>
    </row>
    <row r="10" spans="1:5" ht="18" customHeight="1" x14ac:dyDescent="0.3">
      <c r="A10" s="12"/>
      <c r="B10" s="25" t="s">
        <v>947</v>
      </c>
      <c r="C10" s="25" t="s">
        <v>946</v>
      </c>
      <c r="D10" s="25" t="s">
        <v>25</v>
      </c>
      <c r="E10" s="12"/>
    </row>
    <row r="11" spans="1:5" ht="15.75" customHeight="1" x14ac:dyDescent="0.3">
      <c r="A11" s="12"/>
      <c r="B11" s="23" t="s">
        <v>964</v>
      </c>
      <c r="C11" s="30">
        <v>45</v>
      </c>
      <c r="D11" s="13" t="s">
        <v>963</v>
      </c>
      <c r="E11" s="12"/>
    </row>
    <row r="12" spans="1:5" ht="15.75" customHeight="1" x14ac:dyDescent="0.3">
      <c r="A12" s="12"/>
      <c r="B12" s="23" t="s">
        <v>962</v>
      </c>
      <c r="C12" s="30">
        <v>8</v>
      </c>
      <c r="D12" s="13" t="s">
        <v>961</v>
      </c>
      <c r="E12" s="12"/>
    </row>
    <row r="13" spans="1:5" ht="15.75" customHeight="1" x14ac:dyDescent="0.3">
      <c r="A13" s="12"/>
      <c r="B13" s="23" t="s">
        <v>960</v>
      </c>
      <c r="C13" s="30">
        <v>0</v>
      </c>
      <c r="D13" s="13" t="s">
        <v>959</v>
      </c>
      <c r="E13" s="12"/>
    </row>
    <row r="14" spans="1:5" ht="15.75" customHeight="1" x14ac:dyDescent="0.3">
      <c r="A14" s="12"/>
      <c r="B14" s="23" t="s">
        <v>958</v>
      </c>
      <c r="C14" s="31">
        <v>6.5000000000000002E-2</v>
      </c>
      <c r="D14" s="13" t="s">
        <v>957</v>
      </c>
      <c r="E14" s="12"/>
    </row>
    <row r="15" spans="1:5" ht="15.75" customHeight="1" x14ac:dyDescent="0.3">
      <c r="A15" s="12"/>
      <c r="B15" s="23" t="s">
        <v>956</v>
      </c>
      <c r="C15" s="31">
        <v>1.4999999999999999E-2</v>
      </c>
      <c r="D15" s="13" t="s">
        <v>955</v>
      </c>
      <c r="E15" s="12"/>
    </row>
    <row r="16" spans="1:5" ht="15.75" customHeight="1" x14ac:dyDescent="0.3">
      <c r="A16" s="12"/>
      <c r="B16" s="23" t="s">
        <v>954</v>
      </c>
      <c r="C16" s="30">
        <v>85</v>
      </c>
      <c r="D16" s="13" t="s">
        <v>953</v>
      </c>
      <c r="E16" s="12"/>
    </row>
    <row r="17" spans="1:5" ht="15.75" customHeight="1" x14ac:dyDescent="0.3">
      <c r="A17" s="12"/>
      <c r="B17" s="23" t="s">
        <v>952</v>
      </c>
      <c r="C17" s="29">
        <v>8</v>
      </c>
      <c r="D17" s="13" t="s">
        <v>951</v>
      </c>
      <c r="E17" s="12"/>
    </row>
    <row r="18" spans="1:5" ht="15.75" customHeight="1" x14ac:dyDescent="0.3">
      <c r="A18" s="12"/>
      <c r="B18" s="23" t="s">
        <v>950</v>
      </c>
      <c r="C18" s="30">
        <v>25</v>
      </c>
      <c r="D18" s="13" t="s">
        <v>949</v>
      </c>
      <c r="E18" s="12"/>
    </row>
    <row r="19" spans="1:5" ht="14.4" x14ac:dyDescent="0.3">
      <c r="A19" s="12"/>
      <c r="B19" s="12"/>
      <c r="C19" s="12"/>
      <c r="D19" s="12"/>
      <c r="E19" s="12"/>
    </row>
    <row r="20" spans="1:5" ht="15" customHeight="1" x14ac:dyDescent="0.3">
      <c r="A20" s="12"/>
      <c r="B20" s="26" t="s">
        <v>948</v>
      </c>
      <c r="C20" s="20"/>
      <c r="D20" s="20"/>
      <c r="E20" s="12"/>
    </row>
    <row r="21" spans="1:5" ht="18" customHeight="1" x14ac:dyDescent="0.3">
      <c r="A21" s="12"/>
      <c r="B21" s="25" t="s">
        <v>947</v>
      </c>
      <c r="C21" s="25" t="s">
        <v>946</v>
      </c>
      <c r="D21" s="25" t="s">
        <v>25</v>
      </c>
      <c r="E21" s="12"/>
    </row>
    <row r="22" spans="1:5" ht="15.75" customHeight="1" x14ac:dyDescent="0.3">
      <c r="A22" s="12"/>
      <c r="B22" s="23" t="s">
        <v>945</v>
      </c>
      <c r="C22" s="30">
        <v>49</v>
      </c>
      <c r="D22" s="13" t="s">
        <v>944</v>
      </c>
      <c r="E22" s="12"/>
    </row>
    <row r="23" spans="1:5" ht="15.75" customHeight="1" x14ac:dyDescent="0.3">
      <c r="A23" s="12"/>
      <c r="B23" s="23" t="s">
        <v>943</v>
      </c>
      <c r="C23" s="30">
        <v>100</v>
      </c>
      <c r="D23" s="13" t="s">
        <v>942</v>
      </c>
      <c r="E23" s="12"/>
    </row>
    <row r="24" spans="1:5" ht="15.75" customHeight="1" x14ac:dyDescent="0.3">
      <c r="A24" s="12"/>
      <c r="B24" s="23" t="s">
        <v>941</v>
      </c>
      <c r="C24" s="30">
        <v>50</v>
      </c>
      <c r="D24" s="13" t="s">
        <v>940</v>
      </c>
      <c r="E24" s="12"/>
    </row>
    <row r="25" spans="1:5" ht="15.75" customHeight="1" x14ac:dyDescent="0.3">
      <c r="A25" s="12"/>
      <c r="B25" s="23" t="s">
        <v>939</v>
      </c>
      <c r="C25" s="29">
        <v>20</v>
      </c>
      <c r="D25" s="13" t="s">
        <v>938</v>
      </c>
      <c r="E25" s="12"/>
    </row>
    <row r="26" spans="1:5" ht="15.75" customHeight="1" x14ac:dyDescent="0.3">
      <c r="A26" s="12"/>
      <c r="B26" s="28" t="s">
        <v>937</v>
      </c>
      <c r="C26" s="27">
        <f>C22+C23+C24</f>
        <v>199</v>
      </c>
      <c r="D26" s="13" t="s">
        <v>936</v>
      </c>
      <c r="E26" s="12"/>
    </row>
    <row r="27" spans="1:5" ht="15.75" customHeight="1" x14ac:dyDescent="0.3">
      <c r="A27" s="12"/>
      <c r="B27" s="28" t="s">
        <v>935</v>
      </c>
      <c r="C27" s="27">
        <f>C26/C25</f>
        <v>9.9499999999999993</v>
      </c>
      <c r="D27" s="13" t="s">
        <v>934</v>
      </c>
      <c r="E27" s="12"/>
    </row>
    <row r="28" spans="1:5" ht="15.75" customHeight="1" x14ac:dyDescent="0.3">
      <c r="A28" s="12"/>
      <c r="B28" s="12"/>
      <c r="C28" s="12"/>
      <c r="D28" s="12"/>
      <c r="E28" s="12"/>
    </row>
    <row r="29" spans="1:5" ht="15" customHeight="1" x14ac:dyDescent="0.3">
      <c r="A29" s="12"/>
      <c r="B29" s="26" t="s">
        <v>933</v>
      </c>
      <c r="C29" s="20"/>
      <c r="D29" s="20"/>
      <c r="E29" s="12"/>
    </row>
    <row r="30" spans="1:5" ht="18" customHeight="1" x14ac:dyDescent="0.3">
      <c r="A30" s="12"/>
      <c r="B30" s="25" t="s">
        <v>932</v>
      </c>
      <c r="C30" s="25" t="s">
        <v>931</v>
      </c>
      <c r="D30" s="25" t="s">
        <v>930</v>
      </c>
      <c r="E30" s="12"/>
    </row>
    <row r="31" spans="1:5" ht="15.75" customHeight="1" x14ac:dyDescent="0.3">
      <c r="A31" s="12"/>
      <c r="B31" s="23" t="s">
        <v>929</v>
      </c>
      <c r="C31" s="24">
        <v>2.2000000000000002</v>
      </c>
      <c r="D31" s="13" t="s">
        <v>928</v>
      </c>
      <c r="E31" s="12"/>
    </row>
    <row r="32" spans="1:5" ht="15.75" customHeight="1" x14ac:dyDescent="0.3">
      <c r="A32" s="12"/>
      <c r="B32" s="23" t="s">
        <v>927</v>
      </c>
      <c r="C32" s="24">
        <v>2.8</v>
      </c>
      <c r="D32" s="13" t="s">
        <v>926</v>
      </c>
      <c r="E32" s="12"/>
    </row>
    <row r="33" spans="1:5" ht="15.75" customHeight="1" x14ac:dyDescent="0.3">
      <c r="A33" s="12"/>
      <c r="B33" s="23" t="s">
        <v>925</v>
      </c>
      <c r="C33" s="24">
        <v>3.5</v>
      </c>
      <c r="D33" s="13" t="s">
        <v>924</v>
      </c>
      <c r="E33" s="12"/>
    </row>
    <row r="34" spans="1:5" ht="15.75" customHeight="1" x14ac:dyDescent="0.3">
      <c r="A34" s="12"/>
      <c r="B34" s="23" t="s">
        <v>923</v>
      </c>
      <c r="C34" s="24">
        <v>4.5</v>
      </c>
      <c r="D34" s="13" t="s">
        <v>922</v>
      </c>
      <c r="E34" s="12"/>
    </row>
    <row r="35" spans="1:5" ht="15.75" customHeight="1" x14ac:dyDescent="0.3">
      <c r="A35" s="12"/>
      <c r="B35" s="23" t="s">
        <v>921</v>
      </c>
      <c r="C35" s="22">
        <v>0.35</v>
      </c>
      <c r="D35" s="13" t="s">
        <v>920</v>
      </c>
      <c r="E35" s="12"/>
    </row>
    <row r="36" spans="1:5" ht="15.75" customHeight="1" x14ac:dyDescent="0.3">
      <c r="A36" s="12"/>
      <c r="B36" s="12"/>
      <c r="C36" s="12"/>
      <c r="D36" s="12"/>
      <c r="E36" s="12"/>
    </row>
    <row r="37" spans="1:5" ht="15" customHeight="1" x14ac:dyDescent="0.3">
      <c r="A37" s="12"/>
      <c r="B37" s="21" t="s">
        <v>919</v>
      </c>
      <c r="C37" s="20"/>
      <c r="D37" s="20"/>
      <c r="E37" s="12"/>
    </row>
    <row r="38" spans="1:5" ht="13.5" customHeight="1" x14ac:dyDescent="0.3">
      <c r="A38" s="12"/>
      <c r="B38" s="19" t="s">
        <v>918</v>
      </c>
      <c r="C38" s="18" t="s">
        <v>913</v>
      </c>
      <c r="D38" s="13" t="s">
        <v>917</v>
      </c>
      <c r="E38" s="12"/>
    </row>
    <row r="39" spans="1:5" ht="13.5" customHeight="1" x14ac:dyDescent="0.3">
      <c r="A39" s="12"/>
      <c r="B39" s="17" t="s">
        <v>916</v>
      </c>
      <c r="C39" s="16" t="s">
        <v>913</v>
      </c>
      <c r="D39" s="13" t="s">
        <v>915</v>
      </c>
      <c r="E39" s="12"/>
    </row>
    <row r="40" spans="1:5" ht="13.5" customHeight="1" x14ac:dyDescent="0.3">
      <c r="A40" s="12"/>
      <c r="B40" s="15" t="s">
        <v>914</v>
      </c>
      <c r="C40" s="14" t="s">
        <v>913</v>
      </c>
      <c r="D40" s="13" t="s">
        <v>912</v>
      </c>
      <c r="E40" s="12"/>
    </row>
    <row r="41" spans="1:5" ht="15.75" customHeight="1" x14ac:dyDescent="0.3">
      <c r="A41" s="12"/>
      <c r="B41" s="12"/>
      <c r="C41" s="12"/>
      <c r="D41" s="12"/>
      <c r="E41" s="12"/>
    </row>
    <row r="42" spans="1:5" ht="15.75" customHeight="1" x14ac:dyDescent="0.3">
      <c r="A42" s="12"/>
      <c r="B42" s="12"/>
      <c r="C42" s="12"/>
      <c r="D42" s="12"/>
      <c r="E42" s="12"/>
    </row>
    <row r="43" spans="1:5" ht="15.75" customHeight="1" x14ac:dyDescent="0.3">
      <c r="A43" s="12"/>
      <c r="B43" s="12"/>
      <c r="C43" s="12"/>
      <c r="D43" s="12"/>
      <c r="E43" s="12"/>
    </row>
    <row r="44" spans="1:5" ht="15.75" customHeight="1" x14ac:dyDescent="0.3">
      <c r="A44" s="12"/>
      <c r="B44" s="12"/>
      <c r="C44" s="12"/>
      <c r="D44" s="12"/>
      <c r="E44" s="12"/>
    </row>
    <row r="45" spans="1:5" ht="15.75" customHeight="1" x14ac:dyDescent="0.3">
      <c r="A45" s="12"/>
      <c r="B45" s="12"/>
      <c r="C45" s="12"/>
      <c r="D45" s="12"/>
      <c r="E45" s="12"/>
    </row>
    <row r="46" spans="1:5" ht="15.75" customHeight="1" x14ac:dyDescent="0.3">
      <c r="A46" s="12"/>
      <c r="B46" s="12"/>
      <c r="C46" s="12"/>
      <c r="D46" s="12"/>
      <c r="E46" s="12"/>
    </row>
    <row r="47" spans="1:5" ht="15.75" customHeight="1" x14ac:dyDescent="0.3">
      <c r="A47" s="12"/>
      <c r="B47" s="12"/>
      <c r="C47" s="12"/>
      <c r="D47" s="12"/>
      <c r="E47" s="12"/>
    </row>
    <row r="48" spans="1:5" ht="15.75" customHeight="1" x14ac:dyDescent="0.3">
      <c r="A48" s="12"/>
      <c r="B48" s="12"/>
      <c r="C48" s="12"/>
      <c r="D48" s="12"/>
      <c r="E48" s="12"/>
    </row>
    <row r="49" spans="1:5" ht="15.75" customHeight="1" x14ac:dyDescent="0.3">
      <c r="A49" s="12"/>
      <c r="B49" s="12"/>
      <c r="C49" s="12"/>
      <c r="D49" s="12"/>
      <c r="E49" s="12"/>
    </row>
    <row r="50" spans="1:5" ht="15.75" customHeight="1" x14ac:dyDescent="0.3">
      <c r="A50" s="12"/>
      <c r="B50" s="12"/>
      <c r="C50" s="12"/>
      <c r="D50" s="12"/>
      <c r="E50" s="12"/>
    </row>
    <row r="51" spans="1:5" ht="15.75" customHeight="1" x14ac:dyDescent="0.3">
      <c r="A51" s="12"/>
      <c r="B51" s="12"/>
      <c r="C51" s="12"/>
      <c r="D51" s="12"/>
      <c r="E51" s="12"/>
    </row>
    <row r="52" spans="1:5" ht="15.75" customHeight="1" x14ac:dyDescent="0.3">
      <c r="A52" s="12"/>
      <c r="B52" s="12"/>
      <c r="C52" s="12"/>
      <c r="D52" s="12"/>
      <c r="E52" s="12"/>
    </row>
    <row r="53" spans="1:5" ht="15.75" customHeight="1" x14ac:dyDescent="0.3">
      <c r="A53" s="12"/>
      <c r="B53" s="12"/>
      <c r="C53" s="12"/>
      <c r="D53" s="12"/>
      <c r="E53" s="12"/>
    </row>
    <row r="54" spans="1:5" ht="15.75" customHeight="1" x14ac:dyDescent="0.3">
      <c r="A54" s="12"/>
      <c r="B54" s="12"/>
      <c r="C54" s="12"/>
      <c r="D54" s="12"/>
      <c r="E54" s="12"/>
    </row>
    <row r="55" spans="1:5" ht="15.75" customHeight="1" x14ac:dyDescent="0.3">
      <c r="A55" s="12"/>
      <c r="B55" s="12"/>
      <c r="C55" s="12"/>
      <c r="D55" s="12"/>
      <c r="E55" s="12"/>
    </row>
    <row r="56" spans="1:5" ht="15.75" customHeight="1" x14ac:dyDescent="0.3">
      <c r="A56" s="12"/>
      <c r="B56" s="12"/>
      <c r="C56" s="12"/>
      <c r="D56" s="12"/>
      <c r="E56" s="12"/>
    </row>
    <row r="57" spans="1:5" ht="15.75" customHeight="1" x14ac:dyDescent="0.3">
      <c r="A57" s="12"/>
      <c r="B57" s="12"/>
      <c r="C57" s="12"/>
      <c r="D57" s="12"/>
      <c r="E57" s="12"/>
    </row>
    <row r="58" spans="1:5" ht="15.75" customHeight="1" x14ac:dyDescent="0.3">
      <c r="A58" s="12"/>
      <c r="B58" s="12"/>
      <c r="C58" s="12"/>
      <c r="D58" s="12"/>
      <c r="E58" s="12"/>
    </row>
    <row r="59" spans="1:5" ht="15.75" customHeight="1" x14ac:dyDescent="0.3">
      <c r="A59" s="12"/>
      <c r="B59" s="12"/>
      <c r="C59" s="12"/>
      <c r="D59" s="12"/>
      <c r="E59" s="12"/>
    </row>
    <row r="60" spans="1:5" ht="15.75" customHeight="1" x14ac:dyDescent="0.3">
      <c r="A60" s="12"/>
      <c r="B60" s="12"/>
      <c r="C60" s="12"/>
      <c r="D60" s="12"/>
      <c r="E60" s="12"/>
    </row>
    <row r="61" spans="1:5" ht="15.75" customHeight="1" x14ac:dyDescent="0.3">
      <c r="A61" s="12"/>
      <c r="B61" s="12"/>
      <c r="C61" s="12"/>
      <c r="D61" s="12"/>
      <c r="E61" s="12"/>
    </row>
    <row r="62" spans="1:5" ht="15.75" customHeight="1" x14ac:dyDescent="0.3">
      <c r="A62" s="12"/>
      <c r="B62" s="12"/>
      <c r="C62" s="12"/>
      <c r="D62" s="12"/>
      <c r="E62" s="12"/>
    </row>
    <row r="63" spans="1:5" ht="15.75" customHeight="1" x14ac:dyDescent="0.3">
      <c r="A63" s="12"/>
      <c r="B63" s="12"/>
      <c r="C63" s="12"/>
      <c r="D63" s="12"/>
      <c r="E63" s="12"/>
    </row>
    <row r="64" spans="1:5" ht="15.75" customHeight="1" x14ac:dyDescent="0.3">
      <c r="A64" s="12"/>
      <c r="B64" s="12"/>
      <c r="C64" s="12"/>
      <c r="D64" s="12"/>
      <c r="E64" s="12"/>
    </row>
    <row r="65" spans="1:5" ht="15.75" customHeight="1" x14ac:dyDescent="0.3">
      <c r="A65" s="12"/>
      <c r="B65" s="12"/>
      <c r="C65" s="12"/>
      <c r="D65" s="12"/>
      <c r="E65" s="12"/>
    </row>
    <row r="66" spans="1:5" ht="15.75" customHeight="1" x14ac:dyDescent="0.3">
      <c r="A66" s="12"/>
      <c r="B66" s="12"/>
      <c r="C66" s="12"/>
      <c r="D66" s="12"/>
      <c r="E66" s="12"/>
    </row>
    <row r="67" spans="1:5" ht="15.75" customHeight="1" x14ac:dyDescent="0.3">
      <c r="A67" s="12"/>
      <c r="B67" s="12"/>
      <c r="C67" s="12"/>
      <c r="D67" s="12"/>
      <c r="E67" s="12"/>
    </row>
    <row r="68" spans="1:5" ht="15.75" customHeight="1" x14ac:dyDescent="0.3">
      <c r="A68" s="12"/>
      <c r="B68" s="12"/>
      <c r="C68" s="12"/>
      <c r="D68" s="12"/>
      <c r="E68" s="12"/>
    </row>
    <row r="69" spans="1:5" ht="15.75" customHeight="1" x14ac:dyDescent="0.3">
      <c r="A69" s="12"/>
      <c r="B69" s="12"/>
      <c r="C69" s="12"/>
      <c r="D69" s="12"/>
      <c r="E69" s="12"/>
    </row>
    <row r="70" spans="1:5" ht="15.75" customHeight="1" x14ac:dyDescent="0.3">
      <c r="A70" s="12"/>
      <c r="B70" s="12"/>
      <c r="C70" s="12"/>
      <c r="D70" s="12"/>
      <c r="E70" s="12"/>
    </row>
    <row r="71" spans="1:5" ht="15.75" customHeight="1" x14ac:dyDescent="0.3">
      <c r="A71" s="12"/>
      <c r="B71" s="12"/>
      <c r="C71" s="12"/>
      <c r="D71" s="12"/>
      <c r="E71" s="12"/>
    </row>
    <row r="72" spans="1:5" ht="15.75" customHeight="1" x14ac:dyDescent="0.3">
      <c r="A72" s="12"/>
      <c r="B72" s="12"/>
      <c r="C72" s="12"/>
      <c r="D72" s="12"/>
      <c r="E72" s="12"/>
    </row>
    <row r="73" spans="1:5" ht="15.75" customHeight="1" x14ac:dyDescent="0.3">
      <c r="A73" s="12"/>
      <c r="B73" s="12"/>
      <c r="C73" s="12"/>
      <c r="D73" s="12"/>
      <c r="E73" s="12"/>
    </row>
    <row r="74" spans="1:5" ht="15.75" customHeight="1" x14ac:dyDescent="0.3">
      <c r="A74" s="12"/>
      <c r="B74" s="12"/>
      <c r="C74" s="12"/>
      <c r="D74" s="12"/>
      <c r="E74" s="12"/>
    </row>
    <row r="75" spans="1:5" ht="15.75" customHeight="1" x14ac:dyDescent="0.3">
      <c r="A75" s="12"/>
      <c r="B75" s="12"/>
      <c r="C75" s="12"/>
      <c r="D75" s="12"/>
      <c r="E75" s="12"/>
    </row>
    <row r="76" spans="1:5" ht="15.75" customHeight="1" x14ac:dyDescent="0.3">
      <c r="A76" s="12"/>
      <c r="B76" s="12"/>
      <c r="C76" s="12"/>
      <c r="D76" s="12"/>
      <c r="E76" s="12"/>
    </row>
    <row r="77" spans="1:5" ht="15.75" customHeight="1" x14ac:dyDescent="0.3">
      <c r="A77" s="12"/>
      <c r="B77" s="12"/>
      <c r="C77" s="12"/>
      <c r="D77" s="12"/>
      <c r="E77" s="12"/>
    </row>
    <row r="78" spans="1:5" ht="15.75" customHeight="1" x14ac:dyDescent="0.3">
      <c r="A78" s="12"/>
      <c r="B78" s="12"/>
      <c r="C78" s="12"/>
      <c r="D78" s="12"/>
      <c r="E78" s="12"/>
    </row>
    <row r="79" spans="1:5" ht="15.75" customHeight="1" x14ac:dyDescent="0.3">
      <c r="A79" s="12"/>
      <c r="B79" s="12"/>
      <c r="C79" s="12"/>
      <c r="D79" s="12"/>
      <c r="E79" s="12"/>
    </row>
    <row r="80" spans="1:5" ht="15.75" customHeight="1" x14ac:dyDescent="0.3">
      <c r="A80" s="12"/>
      <c r="B80" s="12"/>
      <c r="C80" s="12"/>
      <c r="D80" s="12"/>
      <c r="E80" s="12"/>
    </row>
    <row r="81" spans="1:5" ht="15.75" customHeight="1" x14ac:dyDescent="0.3">
      <c r="A81" s="12"/>
      <c r="B81" s="12"/>
      <c r="C81" s="12"/>
      <c r="D81" s="12"/>
      <c r="E81" s="12"/>
    </row>
    <row r="82" spans="1:5" ht="15.75" customHeight="1" x14ac:dyDescent="0.3">
      <c r="A82" s="12"/>
      <c r="B82" s="12"/>
      <c r="C82" s="12"/>
      <c r="D82" s="12"/>
      <c r="E82" s="12"/>
    </row>
    <row r="83" spans="1:5" ht="15.75" customHeight="1" x14ac:dyDescent="0.3">
      <c r="A83" s="12"/>
      <c r="B83" s="12"/>
      <c r="C83" s="12"/>
      <c r="D83" s="12"/>
      <c r="E83" s="12"/>
    </row>
    <row r="84" spans="1:5" ht="15.75" customHeight="1" x14ac:dyDescent="0.3">
      <c r="A84" s="12"/>
      <c r="B84" s="12"/>
      <c r="C84" s="12"/>
      <c r="D84" s="12"/>
      <c r="E84" s="12"/>
    </row>
    <row r="85" spans="1:5" ht="15.75" customHeight="1" x14ac:dyDescent="0.3">
      <c r="A85" s="12"/>
      <c r="B85" s="12"/>
      <c r="C85" s="12"/>
      <c r="D85" s="12"/>
      <c r="E85" s="12"/>
    </row>
    <row r="86" spans="1:5" ht="15.75" customHeight="1" x14ac:dyDescent="0.3">
      <c r="A86" s="12"/>
      <c r="B86" s="12"/>
      <c r="C86" s="12"/>
      <c r="D86" s="12"/>
      <c r="E86" s="12"/>
    </row>
    <row r="87" spans="1:5" ht="15.75" customHeight="1" x14ac:dyDescent="0.3">
      <c r="A87" s="12"/>
      <c r="B87" s="12"/>
      <c r="C87" s="12"/>
      <c r="D87" s="12"/>
      <c r="E87" s="12"/>
    </row>
    <row r="88" spans="1:5" ht="15.75" customHeight="1" x14ac:dyDescent="0.3">
      <c r="A88" s="12"/>
      <c r="B88" s="12"/>
      <c r="C88" s="12"/>
      <c r="D88" s="12"/>
      <c r="E88" s="12"/>
    </row>
    <row r="89" spans="1:5" ht="15.75" customHeight="1" x14ac:dyDescent="0.3">
      <c r="A89" s="12"/>
      <c r="B89" s="12"/>
      <c r="C89" s="12"/>
      <c r="D89" s="12"/>
      <c r="E89" s="12"/>
    </row>
    <row r="90" spans="1:5" ht="15.75" customHeight="1" x14ac:dyDescent="0.3">
      <c r="A90" s="12"/>
      <c r="B90" s="12"/>
      <c r="C90" s="12"/>
      <c r="D90" s="12"/>
      <c r="E90" s="12"/>
    </row>
    <row r="91" spans="1:5" ht="15.75" customHeight="1" x14ac:dyDescent="0.3">
      <c r="A91" s="12"/>
      <c r="B91" s="12"/>
      <c r="C91" s="12"/>
      <c r="D91" s="12"/>
      <c r="E91" s="12"/>
    </row>
    <row r="92" spans="1:5" ht="15.75" customHeight="1" x14ac:dyDescent="0.3">
      <c r="A92" s="12"/>
      <c r="B92" s="12"/>
      <c r="C92" s="12"/>
      <c r="D92" s="12"/>
      <c r="E92" s="12"/>
    </row>
    <row r="93" spans="1:5" ht="15.75" customHeight="1" x14ac:dyDescent="0.3">
      <c r="A93" s="12"/>
      <c r="B93" s="12"/>
      <c r="C93" s="12"/>
      <c r="D93" s="12"/>
      <c r="E93" s="12"/>
    </row>
    <row r="94" spans="1:5" ht="15.75" customHeight="1" x14ac:dyDescent="0.3">
      <c r="A94" s="12"/>
      <c r="B94" s="12"/>
      <c r="C94" s="12"/>
      <c r="D94" s="12"/>
      <c r="E94" s="12"/>
    </row>
    <row r="95" spans="1:5" ht="15.75" customHeight="1" x14ac:dyDescent="0.3">
      <c r="A95" s="12"/>
      <c r="B95" s="12"/>
      <c r="C95" s="12"/>
      <c r="D95" s="12"/>
      <c r="E95" s="12"/>
    </row>
    <row r="96" spans="1:5" ht="15.75" customHeight="1" x14ac:dyDescent="0.3">
      <c r="A96" s="12"/>
      <c r="B96" s="12"/>
      <c r="C96" s="12"/>
      <c r="D96" s="12"/>
      <c r="E96" s="12"/>
    </row>
    <row r="97" spans="1:5" ht="15.75" customHeight="1" x14ac:dyDescent="0.3">
      <c r="A97" s="12"/>
      <c r="B97" s="12"/>
      <c r="C97" s="12"/>
      <c r="D97" s="12"/>
      <c r="E97" s="12"/>
    </row>
    <row r="98" spans="1:5" ht="15.75" customHeight="1" x14ac:dyDescent="0.3">
      <c r="A98" s="12"/>
      <c r="B98" s="12"/>
      <c r="C98" s="12"/>
      <c r="D98" s="12"/>
      <c r="E98" s="12"/>
    </row>
    <row r="99" spans="1:5" ht="15.75" customHeight="1" x14ac:dyDescent="0.3">
      <c r="A99" s="12"/>
      <c r="B99" s="12"/>
      <c r="C99" s="12"/>
      <c r="D99" s="12"/>
      <c r="E99" s="12"/>
    </row>
    <row r="100" spans="1:5" ht="15.75" customHeight="1" x14ac:dyDescent="0.3">
      <c r="A100" s="12"/>
      <c r="B100" s="12"/>
      <c r="C100" s="12"/>
      <c r="D100" s="12"/>
      <c r="E100" s="12"/>
    </row>
    <row r="101" spans="1:5" ht="15.75" customHeight="1" x14ac:dyDescent="0.3">
      <c r="A101" s="12"/>
      <c r="B101" s="12"/>
      <c r="C101" s="12"/>
      <c r="D101" s="12"/>
      <c r="E101" s="12"/>
    </row>
    <row r="102" spans="1:5" ht="15.75" customHeight="1" x14ac:dyDescent="0.3">
      <c r="A102" s="12"/>
      <c r="B102" s="12"/>
      <c r="C102" s="12"/>
      <c r="D102" s="12"/>
      <c r="E102" s="12"/>
    </row>
    <row r="103" spans="1:5" ht="15.75" customHeight="1" x14ac:dyDescent="0.3">
      <c r="A103" s="12"/>
      <c r="B103" s="12"/>
      <c r="C103" s="12"/>
      <c r="D103" s="12"/>
      <c r="E103" s="12"/>
    </row>
    <row r="104" spans="1:5" ht="15.75" customHeight="1" x14ac:dyDescent="0.3">
      <c r="A104" s="12"/>
      <c r="B104" s="12"/>
      <c r="C104" s="12"/>
      <c r="D104" s="12"/>
      <c r="E104" s="12"/>
    </row>
    <row r="105" spans="1:5" ht="15.75" customHeight="1" x14ac:dyDescent="0.3">
      <c r="A105" s="12"/>
      <c r="B105" s="12"/>
      <c r="C105" s="12"/>
      <c r="D105" s="12"/>
      <c r="E105" s="12"/>
    </row>
    <row r="106" spans="1:5" ht="15.75" customHeight="1" x14ac:dyDescent="0.3">
      <c r="A106" s="12"/>
      <c r="B106" s="12"/>
      <c r="C106" s="12"/>
      <c r="D106" s="12"/>
      <c r="E106" s="12"/>
    </row>
    <row r="107" spans="1:5" ht="15.75" customHeight="1" x14ac:dyDescent="0.3">
      <c r="A107" s="12"/>
      <c r="B107" s="12"/>
      <c r="C107" s="12"/>
      <c r="D107" s="12"/>
      <c r="E107" s="12"/>
    </row>
    <row r="108" spans="1:5" ht="15.75" customHeight="1" x14ac:dyDescent="0.3">
      <c r="A108" s="12"/>
      <c r="B108" s="12"/>
      <c r="C108" s="12"/>
      <c r="D108" s="12"/>
      <c r="E108" s="12"/>
    </row>
    <row r="109" spans="1:5" ht="15.75" customHeight="1" x14ac:dyDescent="0.3">
      <c r="A109" s="12"/>
      <c r="B109" s="12"/>
      <c r="C109" s="12"/>
      <c r="D109" s="12"/>
      <c r="E109" s="12"/>
    </row>
    <row r="110" spans="1:5" ht="15.75" customHeight="1" x14ac:dyDescent="0.3">
      <c r="A110" s="12"/>
      <c r="B110" s="12"/>
      <c r="C110" s="12"/>
      <c r="D110" s="12"/>
      <c r="E110" s="12"/>
    </row>
    <row r="111" spans="1:5" ht="15.75" customHeight="1" x14ac:dyDescent="0.3">
      <c r="A111" s="12"/>
      <c r="B111" s="12"/>
      <c r="C111" s="12"/>
      <c r="D111" s="12"/>
      <c r="E111" s="12"/>
    </row>
    <row r="112" spans="1:5" ht="15.75" customHeight="1" x14ac:dyDescent="0.3">
      <c r="A112" s="12"/>
      <c r="B112" s="12"/>
      <c r="C112" s="12"/>
      <c r="D112" s="12"/>
      <c r="E112" s="12"/>
    </row>
    <row r="113" spans="1:5" ht="15.75" customHeight="1" x14ac:dyDescent="0.3">
      <c r="A113" s="12"/>
      <c r="B113" s="12"/>
      <c r="C113" s="12"/>
      <c r="D113" s="12"/>
      <c r="E113" s="12"/>
    </row>
    <row r="114" spans="1:5" ht="15.75" customHeight="1" x14ac:dyDescent="0.3">
      <c r="A114" s="12"/>
      <c r="B114" s="12"/>
      <c r="C114" s="12"/>
      <c r="D114" s="12"/>
      <c r="E114" s="12"/>
    </row>
    <row r="115" spans="1:5" ht="15.75" customHeight="1" x14ac:dyDescent="0.3">
      <c r="A115" s="12"/>
      <c r="B115" s="12"/>
      <c r="C115" s="12"/>
      <c r="D115" s="12"/>
      <c r="E115" s="12"/>
    </row>
    <row r="116" spans="1:5" ht="15.75" customHeight="1" x14ac:dyDescent="0.3">
      <c r="A116" s="12"/>
      <c r="B116" s="12"/>
      <c r="C116" s="12"/>
      <c r="D116" s="12"/>
      <c r="E116" s="12"/>
    </row>
    <row r="117" spans="1:5" ht="15.75" customHeight="1" x14ac:dyDescent="0.3">
      <c r="A117" s="12"/>
      <c r="B117" s="12"/>
      <c r="C117" s="12"/>
      <c r="D117" s="12"/>
      <c r="E117" s="12"/>
    </row>
    <row r="118" spans="1:5" ht="15.75" customHeight="1" x14ac:dyDescent="0.3">
      <c r="A118" s="12"/>
      <c r="B118" s="12"/>
      <c r="C118" s="12"/>
      <c r="D118" s="12"/>
      <c r="E118" s="12"/>
    </row>
    <row r="119" spans="1:5" ht="15.75" customHeight="1" x14ac:dyDescent="0.3">
      <c r="A119" s="12"/>
      <c r="B119" s="12"/>
      <c r="C119" s="12"/>
      <c r="D119" s="12"/>
      <c r="E119" s="12"/>
    </row>
    <row r="120" spans="1:5" ht="15.75" customHeight="1" x14ac:dyDescent="0.3">
      <c r="A120" s="12"/>
      <c r="B120" s="12"/>
      <c r="C120" s="12"/>
      <c r="D120" s="12"/>
      <c r="E120" s="12"/>
    </row>
    <row r="121" spans="1:5" ht="15.75" customHeight="1" x14ac:dyDescent="0.3">
      <c r="A121" s="12"/>
      <c r="B121" s="12"/>
      <c r="C121" s="12"/>
      <c r="D121" s="12"/>
      <c r="E121" s="12"/>
    </row>
    <row r="122" spans="1:5" ht="15.75" customHeight="1" x14ac:dyDescent="0.3">
      <c r="A122" s="12"/>
      <c r="B122" s="12"/>
      <c r="C122" s="12"/>
      <c r="D122" s="12"/>
      <c r="E122" s="12"/>
    </row>
    <row r="123" spans="1:5" ht="15.75" customHeight="1" x14ac:dyDescent="0.3">
      <c r="A123" s="12"/>
      <c r="B123" s="12"/>
      <c r="C123" s="12"/>
      <c r="D123" s="12"/>
      <c r="E123" s="12"/>
    </row>
    <row r="124" spans="1:5" ht="15.75" customHeight="1" x14ac:dyDescent="0.3">
      <c r="A124" s="12"/>
      <c r="B124" s="12"/>
      <c r="C124" s="12"/>
      <c r="D124" s="12"/>
      <c r="E124" s="12"/>
    </row>
    <row r="125" spans="1:5" ht="15.75" customHeight="1" x14ac:dyDescent="0.3">
      <c r="A125" s="12"/>
      <c r="B125" s="12"/>
      <c r="C125" s="12"/>
      <c r="D125" s="12"/>
      <c r="E125" s="12"/>
    </row>
    <row r="126" spans="1:5" ht="15.75" customHeight="1" x14ac:dyDescent="0.3">
      <c r="A126" s="12"/>
      <c r="B126" s="12"/>
      <c r="C126" s="12"/>
      <c r="D126" s="12"/>
      <c r="E126" s="12"/>
    </row>
    <row r="127" spans="1:5" ht="15.75" customHeight="1" x14ac:dyDescent="0.3">
      <c r="A127" s="12"/>
      <c r="B127" s="12"/>
      <c r="C127" s="12"/>
      <c r="D127" s="12"/>
      <c r="E127" s="12"/>
    </row>
    <row r="128" spans="1:5" ht="15.75" customHeight="1" x14ac:dyDescent="0.3">
      <c r="A128" s="12"/>
      <c r="B128" s="12"/>
      <c r="C128" s="12"/>
      <c r="D128" s="12"/>
      <c r="E128" s="12"/>
    </row>
    <row r="129" spans="1:5" ht="15.75" customHeight="1" x14ac:dyDescent="0.3">
      <c r="A129" s="12"/>
      <c r="B129" s="12"/>
      <c r="C129" s="12"/>
      <c r="D129" s="12"/>
      <c r="E129" s="12"/>
    </row>
    <row r="130" spans="1:5" ht="15.75" customHeight="1" x14ac:dyDescent="0.3">
      <c r="A130" s="12"/>
      <c r="B130" s="12"/>
      <c r="C130" s="12"/>
      <c r="D130" s="12"/>
      <c r="E130" s="12"/>
    </row>
    <row r="131" spans="1:5" ht="15.75" customHeight="1" x14ac:dyDescent="0.3">
      <c r="A131" s="12"/>
      <c r="B131" s="12"/>
      <c r="C131" s="12"/>
      <c r="D131" s="12"/>
      <c r="E131" s="12"/>
    </row>
    <row r="132" spans="1:5" ht="15.75" customHeight="1" x14ac:dyDescent="0.3">
      <c r="A132" s="12"/>
      <c r="B132" s="12"/>
      <c r="C132" s="12"/>
      <c r="D132" s="12"/>
      <c r="E132" s="12"/>
    </row>
    <row r="133" spans="1:5" ht="15.75" customHeight="1" x14ac:dyDescent="0.3">
      <c r="A133" s="12"/>
      <c r="B133" s="12"/>
      <c r="C133" s="12"/>
      <c r="D133" s="12"/>
      <c r="E133" s="12"/>
    </row>
    <row r="134" spans="1:5" ht="15.75" customHeight="1" x14ac:dyDescent="0.3">
      <c r="A134" s="12"/>
      <c r="B134" s="12"/>
      <c r="C134" s="12"/>
      <c r="D134" s="12"/>
      <c r="E134" s="12"/>
    </row>
    <row r="135" spans="1:5" ht="15.75" customHeight="1" x14ac:dyDescent="0.3">
      <c r="A135" s="12"/>
      <c r="B135" s="12"/>
      <c r="C135" s="12"/>
      <c r="D135" s="12"/>
      <c r="E135" s="12"/>
    </row>
    <row r="136" spans="1:5" ht="15.75" customHeight="1" x14ac:dyDescent="0.3">
      <c r="A136" s="12"/>
      <c r="B136" s="12"/>
      <c r="C136" s="12"/>
      <c r="D136" s="12"/>
      <c r="E136" s="12"/>
    </row>
    <row r="137" spans="1:5" ht="15.75" customHeight="1" x14ac:dyDescent="0.3">
      <c r="A137" s="12"/>
      <c r="B137" s="12"/>
      <c r="C137" s="12"/>
      <c r="D137" s="12"/>
      <c r="E137" s="12"/>
    </row>
    <row r="138" spans="1:5" ht="15.75" customHeight="1" x14ac:dyDescent="0.3">
      <c r="A138" s="12"/>
      <c r="B138" s="12"/>
      <c r="C138" s="12"/>
      <c r="D138" s="12"/>
      <c r="E138" s="12"/>
    </row>
    <row r="139" spans="1:5" ht="15.75" customHeight="1" x14ac:dyDescent="0.3">
      <c r="A139" s="12"/>
      <c r="B139" s="12"/>
      <c r="C139" s="12"/>
      <c r="D139" s="12"/>
      <c r="E139" s="12"/>
    </row>
    <row r="140" spans="1:5" ht="15.75" customHeight="1" x14ac:dyDescent="0.3">
      <c r="A140" s="12"/>
      <c r="B140" s="12"/>
      <c r="C140" s="12"/>
      <c r="D140" s="12"/>
      <c r="E140" s="12"/>
    </row>
    <row r="141" spans="1:5" ht="15.75" customHeight="1" x14ac:dyDescent="0.3">
      <c r="A141" s="12"/>
      <c r="B141" s="12"/>
      <c r="C141" s="12"/>
      <c r="D141" s="12"/>
      <c r="E141" s="12"/>
    </row>
    <row r="142" spans="1:5" ht="15.75" customHeight="1" x14ac:dyDescent="0.3">
      <c r="A142" s="12"/>
      <c r="B142" s="12"/>
      <c r="C142" s="12"/>
      <c r="D142" s="12"/>
      <c r="E142" s="12"/>
    </row>
    <row r="143" spans="1:5" ht="15.75" customHeight="1" x14ac:dyDescent="0.3">
      <c r="A143" s="12"/>
      <c r="B143" s="12"/>
      <c r="C143" s="12"/>
      <c r="D143" s="12"/>
      <c r="E143" s="12"/>
    </row>
    <row r="144" spans="1:5" ht="15.75" customHeight="1" x14ac:dyDescent="0.3">
      <c r="A144" s="12"/>
      <c r="B144" s="12"/>
      <c r="C144" s="12"/>
      <c r="D144" s="12"/>
      <c r="E144" s="12"/>
    </row>
    <row r="145" spans="1:5" ht="15.75" customHeight="1" x14ac:dyDescent="0.3">
      <c r="A145" s="12"/>
      <c r="B145" s="12"/>
      <c r="C145" s="12"/>
      <c r="D145" s="12"/>
      <c r="E145" s="12"/>
    </row>
    <row r="146" spans="1:5" ht="15.75" customHeight="1" x14ac:dyDescent="0.3">
      <c r="A146" s="12"/>
      <c r="B146" s="12"/>
      <c r="C146" s="12"/>
      <c r="D146" s="12"/>
      <c r="E146" s="12"/>
    </row>
    <row r="147" spans="1:5" ht="15.75" customHeight="1" x14ac:dyDescent="0.3">
      <c r="A147" s="12"/>
      <c r="B147" s="12"/>
      <c r="C147" s="12"/>
      <c r="D147" s="12"/>
      <c r="E147" s="12"/>
    </row>
    <row r="148" spans="1:5" ht="15.75" customHeight="1" x14ac:dyDescent="0.3">
      <c r="A148" s="12"/>
      <c r="B148" s="12"/>
      <c r="C148" s="12"/>
      <c r="D148" s="12"/>
      <c r="E148" s="12"/>
    </row>
    <row r="149" spans="1:5" ht="15.75" customHeight="1" x14ac:dyDescent="0.3">
      <c r="A149" s="12"/>
      <c r="B149" s="12"/>
      <c r="C149" s="12"/>
      <c r="D149" s="12"/>
      <c r="E149" s="12"/>
    </row>
    <row r="150" spans="1:5" ht="15.75" customHeight="1" x14ac:dyDescent="0.3">
      <c r="A150" s="12"/>
      <c r="B150" s="12"/>
      <c r="C150" s="12"/>
      <c r="D150" s="12"/>
      <c r="E150" s="12"/>
    </row>
    <row r="151" spans="1:5" ht="15.75" customHeight="1" x14ac:dyDescent="0.3">
      <c r="A151" s="12"/>
      <c r="B151" s="12"/>
      <c r="C151" s="12"/>
      <c r="D151" s="12"/>
      <c r="E151" s="12"/>
    </row>
    <row r="152" spans="1:5" ht="15.75" customHeight="1" x14ac:dyDescent="0.3">
      <c r="A152" s="12"/>
      <c r="B152" s="12"/>
      <c r="C152" s="12"/>
      <c r="D152" s="12"/>
      <c r="E152" s="12"/>
    </row>
    <row r="153" spans="1:5" ht="15.75" customHeight="1" x14ac:dyDescent="0.3">
      <c r="A153" s="12"/>
      <c r="B153" s="12"/>
      <c r="C153" s="12"/>
      <c r="D153" s="12"/>
      <c r="E153" s="12"/>
    </row>
    <row r="154" spans="1:5" ht="15.75" customHeight="1" x14ac:dyDescent="0.3">
      <c r="A154" s="12"/>
      <c r="B154" s="12"/>
      <c r="C154" s="12"/>
      <c r="D154" s="12"/>
      <c r="E154" s="12"/>
    </row>
    <row r="155" spans="1:5" ht="15.75" customHeight="1" x14ac:dyDescent="0.3">
      <c r="A155" s="12"/>
      <c r="B155" s="12"/>
      <c r="C155" s="12"/>
      <c r="D155" s="12"/>
      <c r="E155" s="12"/>
    </row>
    <row r="156" spans="1:5" ht="15.75" customHeight="1" x14ac:dyDescent="0.3">
      <c r="A156" s="12"/>
      <c r="B156" s="12"/>
      <c r="C156" s="12"/>
      <c r="D156" s="12"/>
      <c r="E156" s="12"/>
    </row>
    <row r="157" spans="1:5" ht="15.75" customHeight="1" x14ac:dyDescent="0.3">
      <c r="A157" s="12"/>
      <c r="B157" s="12"/>
      <c r="C157" s="12"/>
      <c r="D157" s="12"/>
      <c r="E157" s="12"/>
    </row>
    <row r="158" spans="1:5" ht="15.75" customHeight="1" x14ac:dyDescent="0.3">
      <c r="A158" s="12"/>
      <c r="B158" s="12"/>
      <c r="C158" s="12"/>
      <c r="D158" s="12"/>
      <c r="E158" s="12"/>
    </row>
    <row r="159" spans="1:5" ht="15.75" customHeight="1" x14ac:dyDescent="0.3">
      <c r="A159" s="12"/>
      <c r="B159" s="12"/>
      <c r="C159" s="12"/>
      <c r="D159" s="12"/>
      <c r="E159" s="12"/>
    </row>
    <row r="160" spans="1:5" ht="15.75" customHeight="1" x14ac:dyDescent="0.3">
      <c r="A160" s="12"/>
      <c r="B160" s="12"/>
      <c r="C160" s="12"/>
      <c r="D160" s="12"/>
      <c r="E160" s="12"/>
    </row>
    <row r="161" spans="1:5" ht="15.75" customHeight="1" x14ac:dyDescent="0.3">
      <c r="A161" s="12"/>
      <c r="B161" s="12"/>
      <c r="C161" s="12"/>
      <c r="D161" s="12"/>
      <c r="E161" s="12"/>
    </row>
    <row r="162" spans="1:5" ht="15.75" customHeight="1" x14ac:dyDescent="0.3">
      <c r="A162" s="12"/>
      <c r="B162" s="12"/>
      <c r="C162" s="12"/>
      <c r="D162" s="12"/>
      <c r="E162" s="12"/>
    </row>
    <row r="163" spans="1:5" ht="15.75" customHeight="1" x14ac:dyDescent="0.3">
      <c r="A163" s="12"/>
      <c r="B163" s="12"/>
      <c r="C163" s="12"/>
      <c r="D163" s="12"/>
      <c r="E163" s="12"/>
    </row>
    <row r="164" spans="1:5" ht="15.75" customHeight="1" x14ac:dyDescent="0.3">
      <c r="A164" s="12"/>
      <c r="B164" s="12"/>
      <c r="C164" s="12"/>
      <c r="D164" s="12"/>
      <c r="E164" s="12"/>
    </row>
    <row r="165" spans="1:5" ht="15.75" customHeight="1" x14ac:dyDescent="0.3">
      <c r="A165" s="12"/>
      <c r="B165" s="12"/>
      <c r="C165" s="12"/>
      <c r="D165" s="12"/>
      <c r="E165" s="12"/>
    </row>
    <row r="166" spans="1:5" ht="15.75" customHeight="1" x14ac:dyDescent="0.3">
      <c r="A166" s="12"/>
      <c r="B166" s="12"/>
      <c r="C166" s="12"/>
      <c r="D166" s="12"/>
      <c r="E166" s="12"/>
    </row>
    <row r="167" spans="1:5" ht="15.75" customHeight="1" x14ac:dyDescent="0.3">
      <c r="A167" s="12"/>
      <c r="B167" s="12"/>
      <c r="C167" s="12"/>
      <c r="D167" s="12"/>
      <c r="E167" s="12"/>
    </row>
    <row r="168" spans="1:5" ht="15.75" customHeight="1" x14ac:dyDescent="0.3">
      <c r="A168" s="12"/>
      <c r="B168" s="12"/>
      <c r="C168" s="12"/>
      <c r="D168" s="12"/>
      <c r="E168" s="12"/>
    </row>
    <row r="169" spans="1:5" ht="15.75" customHeight="1" x14ac:dyDescent="0.3">
      <c r="A169" s="12"/>
      <c r="B169" s="12"/>
      <c r="C169" s="12"/>
      <c r="D169" s="12"/>
      <c r="E169" s="12"/>
    </row>
    <row r="170" spans="1:5" ht="15.75" customHeight="1" x14ac:dyDescent="0.3">
      <c r="A170" s="12"/>
      <c r="B170" s="12"/>
      <c r="C170" s="12"/>
      <c r="D170" s="12"/>
      <c r="E170" s="12"/>
    </row>
    <row r="171" spans="1:5" ht="15.75" customHeight="1" x14ac:dyDescent="0.3">
      <c r="A171" s="12"/>
      <c r="B171" s="12"/>
      <c r="C171" s="12"/>
      <c r="D171" s="12"/>
      <c r="E171" s="12"/>
    </row>
    <row r="172" spans="1:5" ht="15.75" customHeight="1" x14ac:dyDescent="0.3">
      <c r="A172" s="12"/>
      <c r="B172" s="12"/>
      <c r="C172" s="12"/>
      <c r="D172" s="12"/>
      <c r="E172" s="12"/>
    </row>
    <row r="173" spans="1:5" ht="15.75" customHeight="1" x14ac:dyDescent="0.3">
      <c r="A173" s="12"/>
      <c r="B173" s="12"/>
      <c r="C173" s="12"/>
      <c r="D173" s="12"/>
      <c r="E173" s="12"/>
    </row>
    <row r="174" spans="1:5" ht="15.75" customHeight="1" x14ac:dyDescent="0.3">
      <c r="A174" s="12"/>
      <c r="B174" s="12"/>
      <c r="C174" s="12"/>
      <c r="D174" s="12"/>
      <c r="E174" s="12"/>
    </row>
    <row r="175" spans="1:5" ht="15.75" customHeight="1" x14ac:dyDescent="0.3">
      <c r="A175" s="12"/>
      <c r="B175" s="12"/>
      <c r="C175" s="12"/>
      <c r="D175" s="12"/>
      <c r="E175" s="12"/>
    </row>
    <row r="176" spans="1:5" ht="15.75" customHeight="1" x14ac:dyDescent="0.3">
      <c r="A176" s="12"/>
      <c r="B176" s="12"/>
      <c r="C176" s="12"/>
      <c r="D176" s="12"/>
      <c r="E176" s="12"/>
    </row>
    <row r="177" spans="1:5" ht="15.75" customHeight="1" x14ac:dyDescent="0.3">
      <c r="A177" s="12"/>
      <c r="B177" s="12"/>
      <c r="C177" s="12"/>
      <c r="D177" s="12"/>
      <c r="E177" s="12"/>
    </row>
    <row r="178" spans="1:5" ht="15.75" customHeight="1" x14ac:dyDescent="0.3">
      <c r="A178" s="12"/>
      <c r="B178" s="12"/>
      <c r="C178" s="12"/>
      <c r="D178" s="12"/>
      <c r="E178" s="12"/>
    </row>
    <row r="179" spans="1:5" ht="15.75" customHeight="1" x14ac:dyDescent="0.3">
      <c r="A179" s="12"/>
      <c r="B179" s="12"/>
      <c r="C179" s="12"/>
      <c r="D179" s="12"/>
      <c r="E179" s="12"/>
    </row>
    <row r="180" spans="1:5" ht="15.75" customHeight="1" x14ac:dyDescent="0.3">
      <c r="A180" s="12"/>
      <c r="B180" s="12"/>
      <c r="C180" s="12"/>
      <c r="D180" s="12"/>
      <c r="E180" s="12"/>
    </row>
    <row r="181" spans="1:5" ht="15.75" customHeight="1" x14ac:dyDescent="0.3">
      <c r="A181" s="12"/>
      <c r="B181" s="12"/>
      <c r="C181" s="12"/>
      <c r="D181" s="12"/>
      <c r="E181" s="12"/>
    </row>
    <row r="182" spans="1:5" ht="15.75" customHeight="1" x14ac:dyDescent="0.3">
      <c r="A182" s="12"/>
      <c r="B182" s="12"/>
      <c r="C182" s="12"/>
      <c r="D182" s="12"/>
      <c r="E182" s="12"/>
    </row>
    <row r="183" spans="1:5" ht="15.75" customHeight="1" x14ac:dyDescent="0.3">
      <c r="A183" s="12"/>
      <c r="B183" s="12"/>
      <c r="C183" s="12"/>
      <c r="D183" s="12"/>
      <c r="E183" s="12"/>
    </row>
    <row r="184" spans="1:5" ht="15.75" customHeight="1" x14ac:dyDescent="0.3">
      <c r="A184" s="12"/>
      <c r="B184" s="12"/>
      <c r="C184" s="12"/>
      <c r="D184" s="12"/>
      <c r="E184" s="12"/>
    </row>
    <row r="185" spans="1:5" ht="15.75" customHeight="1" x14ac:dyDescent="0.3">
      <c r="A185" s="12"/>
      <c r="B185" s="12"/>
      <c r="C185" s="12"/>
      <c r="D185" s="12"/>
      <c r="E185" s="12"/>
    </row>
    <row r="186" spans="1:5" ht="15.75" customHeight="1" x14ac:dyDescent="0.3">
      <c r="A186" s="12"/>
      <c r="B186" s="12"/>
      <c r="C186" s="12"/>
      <c r="D186" s="12"/>
      <c r="E186" s="12"/>
    </row>
    <row r="187" spans="1:5" ht="15.75" customHeight="1" x14ac:dyDescent="0.3">
      <c r="A187" s="12"/>
      <c r="B187" s="12"/>
      <c r="C187" s="12"/>
      <c r="D187" s="12"/>
      <c r="E187" s="12"/>
    </row>
    <row r="188" spans="1:5" ht="15.75" customHeight="1" x14ac:dyDescent="0.3">
      <c r="A188" s="12"/>
      <c r="B188" s="12"/>
      <c r="C188" s="12"/>
      <c r="D188" s="12"/>
      <c r="E188" s="12"/>
    </row>
    <row r="189" spans="1:5" ht="15.75" customHeight="1" x14ac:dyDescent="0.3">
      <c r="A189" s="12"/>
      <c r="B189" s="12"/>
      <c r="C189" s="12"/>
      <c r="D189" s="12"/>
      <c r="E189" s="12"/>
    </row>
    <row r="190" spans="1:5" ht="15.75" customHeight="1" x14ac:dyDescent="0.3">
      <c r="A190" s="12"/>
      <c r="B190" s="12"/>
      <c r="C190" s="12"/>
      <c r="D190" s="12"/>
      <c r="E190" s="12"/>
    </row>
    <row r="191" spans="1:5" ht="15.75" customHeight="1" x14ac:dyDescent="0.3">
      <c r="A191" s="12"/>
      <c r="B191" s="12"/>
      <c r="C191" s="12"/>
      <c r="D191" s="12"/>
      <c r="E191" s="12"/>
    </row>
    <row r="192" spans="1:5" ht="15.75" customHeight="1" x14ac:dyDescent="0.3">
      <c r="A192" s="12"/>
      <c r="B192" s="12"/>
      <c r="C192" s="12"/>
      <c r="D192" s="12"/>
      <c r="E192" s="12"/>
    </row>
    <row r="193" spans="1:5" ht="15.75" customHeight="1" x14ac:dyDescent="0.3">
      <c r="A193" s="12"/>
      <c r="B193" s="12"/>
      <c r="C193" s="12"/>
      <c r="D193" s="12"/>
      <c r="E193" s="12"/>
    </row>
    <row r="194" spans="1:5" ht="15.75" customHeight="1" x14ac:dyDescent="0.3">
      <c r="A194" s="12"/>
      <c r="B194" s="12"/>
      <c r="C194" s="12"/>
      <c r="D194" s="12"/>
      <c r="E194" s="12"/>
    </row>
    <row r="195" spans="1:5" ht="15.75" customHeight="1" x14ac:dyDescent="0.3">
      <c r="A195" s="12"/>
      <c r="B195" s="12"/>
      <c r="C195" s="12"/>
      <c r="D195" s="12"/>
      <c r="E195" s="12"/>
    </row>
    <row r="196" spans="1:5" ht="15.75" customHeight="1" x14ac:dyDescent="0.3">
      <c r="A196" s="12"/>
      <c r="B196" s="12"/>
      <c r="C196" s="12"/>
      <c r="D196" s="12"/>
      <c r="E196" s="12"/>
    </row>
    <row r="197" spans="1:5" ht="15.75" customHeight="1" x14ac:dyDescent="0.3">
      <c r="A197" s="12"/>
      <c r="B197" s="12"/>
      <c r="C197" s="12"/>
      <c r="D197" s="12"/>
      <c r="E197" s="12"/>
    </row>
    <row r="198" spans="1:5" ht="15.75" customHeight="1" x14ac:dyDescent="0.3">
      <c r="A198" s="12"/>
      <c r="B198" s="12"/>
      <c r="C198" s="12"/>
      <c r="D198" s="12"/>
      <c r="E198" s="12"/>
    </row>
    <row r="199" spans="1:5" ht="15.75" customHeight="1" x14ac:dyDescent="0.3">
      <c r="A199" s="12"/>
      <c r="B199" s="12"/>
      <c r="C199" s="12"/>
      <c r="D199" s="12"/>
      <c r="E199" s="12"/>
    </row>
    <row r="200" spans="1:5" ht="15.75" customHeight="1" x14ac:dyDescent="0.3">
      <c r="A200" s="12"/>
      <c r="B200" s="12"/>
      <c r="C200" s="12"/>
      <c r="D200" s="12"/>
      <c r="E200" s="12"/>
    </row>
    <row r="201" spans="1:5" ht="15.75" customHeight="1" x14ac:dyDescent="0.3">
      <c r="A201" s="12"/>
      <c r="B201" s="12"/>
      <c r="C201" s="12"/>
      <c r="D201" s="12"/>
      <c r="E201" s="12"/>
    </row>
    <row r="202" spans="1:5" ht="15.75" customHeight="1" x14ac:dyDescent="0.3">
      <c r="A202" s="12"/>
      <c r="B202" s="12"/>
      <c r="C202" s="12"/>
      <c r="D202" s="12"/>
      <c r="E202" s="12"/>
    </row>
    <row r="203" spans="1:5" ht="15.75" customHeight="1" x14ac:dyDescent="0.3">
      <c r="A203" s="12"/>
      <c r="B203" s="12"/>
      <c r="C203" s="12"/>
      <c r="D203" s="12"/>
      <c r="E203" s="12"/>
    </row>
    <row r="204" spans="1:5" ht="15.75" customHeight="1" x14ac:dyDescent="0.3">
      <c r="A204" s="12"/>
      <c r="B204" s="12"/>
      <c r="C204" s="12"/>
      <c r="D204" s="12"/>
      <c r="E204" s="12"/>
    </row>
    <row r="205" spans="1:5" ht="15.75" customHeight="1" x14ac:dyDescent="0.3">
      <c r="A205" s="12"/>
      <c r="B205" s="12"/>
      <c r="C205" s="12"/>
      <c r="D205" s="12"/>
      <c r="E205" s="12"/>
    </row>
    <row r="206" spans="1:5" ht="15.75" customHeight="1" x14ac:dyDescent="0.3">
      <c r="A206" s="12"/>
      <c r="B206" s="12"/>
      <c r="C206" s="12"/>
      <c r="D206" s="12"/>
      <c r="E206" s="12"/>
    </row>
    <row r="207" spans="1:5" ht="15.75" customHeight="1" x14ac:dyDescent="0.3">
      <c r="A207" s="12"/>
      <c r="B207" s="12"/>
      <c r="C207" s="12"/>
      <c r="D207" s="12"/>
      <c r="E207" s="12"/>
    </row>
    <row r="208" spans="1:5" ht="15.75" customHeight="1" x14ac:dyDescent="0.3">
      <c r="A208" s="12"/>
      <c r="B208" s="12"/>
      <c r="C208" s="12"/>
      <c r="D208" s="12"/>
      <c r="E208" s="12"/>
    </row>
    <row r="209" spans="1:5" ht="15.75" customHeight="1" x14ac:dyDescent="0.3">
      <c r="A209" s="12"/>
      <c r="B209" s="12"/>
      <c r="C209" s="12"/>
      <c r="D209" s="12"/>
      <c r="E209" s="12"/>
    </row>
    <row r="210" spans="1:5" ht="15.75" customHeight="1" x14ac:dyDescent="0.3">
      <c r="A210" s="12"/>
      <c r="B210" s="12"/>
      <c r="C210" s="12"/>
      <c r="D210" s="12"/>
      <c r="E210" s="12"/>
    </row>
    <row r="211" spans="1:5" ht="15.75" customHeight="1" x14ac:dyDescent="0.3">
      <c r="A211" s="12"/>
      <c r="B211" s="12"/>
      <c r="C211" s="12"/>
      <c r="D211" s="12"/>
      <c r="E211" s="12"/>
    </row>
    <row r="212" spans="1:5" ht="15.75" customHeight="1" x14ac:dyDescent="0.3">
      <c r="A212" s="12"/>
      <c r="B212" s="12"/>
      <c r="C212" s="12"/>
      <c r="D212" s="12"/>
      <c r="E212" s="12"/>
    </row>
    <row r="213" spans="1:5" ht="15.75" customHeight="1" x14ac:dyDescent="0.3">
      <c r="A213" s="12"/>
      <c r="B213" s="12"/>
      <c r="C213" s="12"/>
      <c r="D213" s="12"/>
      <c r="E213" s="12"/>
    </row>
    <row r="214" spans="1:5" ht="15.75" customHeight="1" x14ac:dyDescent="0.3">
      <c r="A214" s="12"/>
      <c r="B214" s="12"/>
      <c r="C214" s="12"/>
      <c r="D214" s="12"/>
      <c r="E214" s="12"/>
    </row>
    <row r="215" spans="1:5" ht="15.75" customHeight="1" x14ac:dyDescent="0.3">
      <c r="A215" s="12"/>
      <c r="B215" s="12"/>
      <c r="C215" s="12"/>
      <c r="D215" s="12"/>
      <c r="E215" s="12"/>
    </row>
    <row r="216" spans="1:5" ht="15.75" customHeight="1" x14ac:dyDescent="0.3">
      <c r="A216" s="12"/>
      <c r="B216" s="12"/>
      <c r="C216" s="12"/>
      <c r="D216" s="12"/>
      <c r="E216" s="12"/>
    </row>
    <row r="217" spans="1:5" ht="15.75" customHeight="1" x14ac:dyDescent="0.3">
      <c r="A217" s="12"/>
      <c r="B217" s="12"/>
      <c r="C217" s="12"/>
      <c r="D217" s="12"/>
      <c r="E217" s="12"/>
    </row>
    <row r="218" spans="1:5" ht="15.75" customHeight="1" x14ac:dyDescent="0.3">
      <c r="A218" s="12"/>
      <c r="B218" s="12"/>
      <c r="C218" s="12"/>
      <c r="D218" s="12"/>
      <c r="E218" s="12"/>
    </row>
    <row r="219" spans="1:5" ht="15.75" customHeight="1" x14ac:dyDescent="0.3">
      <c r="A219" s="12"/>
      <c r="B219" s="12"/>
      <c r="C219" s="12"/>
      <c r="D219" s="12"/>
      <c r="E219" s="12"/>
    </row>
    <row r="220" spans="1:5" ht="15.75" customHeight="1" x14ac:dyDescent="0.3">
      <c r="A220" s="12"/>
      <c r="B220" s="12"/>
      <c r="C220" s="12"/>
      <c r="D220" s="12"/>
      <c r="E220" s="12"/>
    </row>
    <row r="221" spans="1:5" ht="15.75" customHeight="1" x14ac:dyDescent="0.3">
      <c r="A221" s="12"/>
      <c r="B221" s="12"/>
      <c r="C221" s="12"/>
      <c r="D221" s="12"/>
      <c r="E221" s="12"/>
    </row>
    <row r="222" spans="1:5" ht="15.75" customHeight="1" x14ac:dyDescent="0.3">
      <c r="A222" s="12"/>
      <c r="B222" s="12"/>
      <c r="C222" s="12"/>
      <c r="D222" s="12"/>
      <c r="E222" s="12"/>
    </row>
    <row r="223" spans="1:5" ht="15.75" customHeight="1" x14ac:dyDescent="0.3">
      <c r="A223" s="12"/>
      <c r="B223" s="12"/>
      <c r="C223" s="12"/>
      <c r="D223" s="12"/>
      <c r="E223" s="12"/>
    </row>
    <row r="224" spans="1:5" ht="15.75" customHeight="1" x14ac:dyDescent="0.3">
      <c r="A224" s="12"/>
      <c r="B224" s="12"/>
      <c r="C224" s="12"/>
      <c r="D224" s="12"/>
      <c r="E224" s="12"/>
    </row>
    <row r="225" spans="1:5" ht="15.75" customHeight="1" x14ac:dyDescent="0.3">
      <c r="A225" s="12"/>
      <c r="B225" s="12"/>
      <c r="C225" s="12"/>
      <c r="D225" s="12"/>
      <c r="E225" s="12"/>
    </row>
    <row r="226" spans="1:5" ht="15.75" customHeight="1" x14ac:dyDescent="0.3">
      <c r="A226" s="12"/>
      <c r="B226" s="12"/>
      <c r="C226" s="12"/>
      <c r="D226" s="12"/>
      <c r="E226" s="12"/>
    </row>
    <row r="227" spans="1:5" ht="15.75" customHeight="1" x14ac:dyDescent="0.3">
      <c r="A227" s="12"/>
      <c r="B227" s="12"/>
      <c r="C227" s="12"/>
      <c r="D227" s="12"/>
      <c r="E227" s="12"/>
    </row>
    <row r="228" spans="1:5" ht="15.75" customHeight="1" x14ac:dyDescent="0.3">
      <c r="A228" s="12"/>
      <c r="B228" s="12"/>
      <c r="C228" s="12"/>
      <c r="D228" s="12"/>
      <c r="E228" s="12"/>
    </row>
    <row r="229" spans="1:5" ht="15.75" customHeight="1" x14ac:dyDescent="0.3">
      <c r="A229" s="12"/>
      <c r="B229" s="12"/>
      <c r="C229" s="12"/>
      <c r="D229" s="12"/>
      <c r="E229" s="12"/>
    </row>
    <row r="230" spans="1:5" ht="15.75" customHeight="1" x14ac:dyDescent="0.3">
      <c r="A230" s="12"/>
      <c r="B230" s="12"/>
      <c r="C230" s="12"/>
      <c r="D230" s="12"/>
      <c r="E230" s="12"/>
    </row>
    <row r="231" spans="1:5" ht="15.75" customHeight="1" x14ac:dyDescent="0.3">
      <c r="A231" s="12"/>
      <c r="B231" s="12"/>
      <c r="C231" s="12"/>
      <c r="D231" s="12"/>
      <c r="E231" s="12"/>
    </row>
    <row r="232" spans="1:5" ht="15.75" customHeight="1" x14ac:dyDescent="0.3">
      <c r="A232" s="12"/>
      <c r="B232" s="12"/>
      <c r="C232" s="12"/>
      <c r="D232" s="12"/>
      <c r="E232" s="12"/>
    </row>
    <row r="233" spans="1:5" ht="15.75" customHeight="1" x14ac:dyDescent="0.3">
      <c r="A233" s="12"/>
      <c r="B233" s="12"/>
      <c r="C233" s="12"/>
      <c r="D233" s="12"/>
      <c r="E233" s="12"/>
    </row>
    <row r="234" spans="1:5" ht="15.75" customHeight="1" x14ac:dyDescent="0.3">
      <c r="A234" s="12"/>
      <c r="B234" s="12"/>
      <c r="C234" s="12"/>
      <c r="D234" s="12"/>
      <c r="E234" s="12"/>
    </row>
    <row r="235" spans="1:5" ht="15.75" customHeight="1" x14ac:dyDescent="0.3">
      <c r="A235" s="12"/>
      <c r="B235" s="12"/>
      <c r="C235" s="12"/>
      <c r="D235" s="12"/>
      <c r="E235" s="12"/>
    </row>
    <row r="236" spans="1:5" ht="15.75" customHeight="1" x14ac:dyDescent="0.3">
      <c r="A236" s="12"/>
      <c r="B236" s="12"/>
      <c r="C236" s="12"/>
      <c r="D236" s="12"/>
      <c r="E236" s="12"/>
    </row>
    <row r="237" spans="1:5" ht="15.75" customHeight="1" x14ac:dyDescent="0.3">
      <c r="A237" s="12"/>
      <c r="B237" s="12"/>
      <c r="C237" s="12"/>
      <c r="D237" s="12"/>
      <c r="E237" s="12"/>
    </row>
    <row r="238" spans="1:5" ht="15.75" customHeight="1" x14ac:dyDescent="0.3">
      <c r="A238" s="12"/>
      <c r="B238" s="12"/>
      <c r="C238" s="12"/>
      <c r="D238" s="12"/>
      <c r="E238" s="12"/>
    </row>
    <row r="239" spans="1:5" ht="15.75" customHeight="1" x14ac:dyDescent="0.3">
      <c r="A239" s="12"/>
      <c r="B239" s="12"/>
      <c r="C239" s="12"/>
      <c r="D239" s="12"/>
      <c r="E239" s="12"/>
    </row>
    <row r="240" spans="1:5" ht="15.75" customHeight="1" x14ac:dyDescent="0.3">
      <c r="A240" s="12"/>
      <c r="B240" s="12"/>
      <c r="C240" s="12"/>
      <c r="D240" s="12"/>
      <c r="E240" s="12"/>
    </row>
    <row r="241" spans="1:5" ht="15.75" customHeight="1" x14ac:dyDescent="0.3">
      <c r="A241" s="12"/>
      <c r="B241" s="12"/>
      <c r="C241" s="12"/>
      <c r="D241" s="12"/>
      <c r="E241" s="12"/>
    </row>
    <row r="242" spans="1:5" ht="15.75" customHeight="1" x14ac:dyDescent="0.3">
      <c r="A242" s="12"/>
      <c r="B242" s="12"/>
      <c r="C242" s="12"/>
      <c r="D242" s="12"/>
      <c r="E242" s="12"/>
    </row>
    <row r="243" spans="1:5" ht="15.75" customHeight="1" x14ac:dyDescent="0.3">
      <c r="A243" s="12"/>
      <c r="B243" s="12"/>
      <c r="C243" s="12"/>
      <c r="D243" s="12"/>
      <c r="E243" s="12"/>
    </row>
    <row r="244" spans="1:5" ht="15.75" customHeight="1" x14ac:dyDescent="0.3">
      <c r="A244" s="12"/>
      <c r="B244" s="12"/>
      <c r="C244" s="12"/>
      <c r="D244" s="12"/>
      <c r="E244" s="12"/>
    </row>
    <row r="245" spans="1:5" ht="15.75" customHeight="1" x14ac:dyDescent="0.3">
      <c r="A245" s="12"/>
      <c r="B245" s="12"/>
      <c r="C245" s="12"/>
      <c r="D245" s="12"/>
      <c r="E245" s="12"/>
    </row>
    <row r="246" spans="1:5" ht="15.75" customHeight="1" x14ac:dyDescent="0.3">
      <c r="A246" s="12"/>
      <c r="B246" s="12"/>
      <c r="C246" s="12"/>
      <c r="D246" s="12"/>
      <c r="E246" s="12"/>
    </row>
    <row r="247" spans="1:5" ht="15.75" customHeight="1" x14ac:dyDescent="0.3">
      <c r="A247" s="12"/>
      <c r="B247" s="12"/>
      <c r="C247" s="12"/>
      <c r="D247" s="12"/>
      <c r="E247" s="12"/>
    </row>
    <row r="248" spans="1:5" ht="15.75" customHeight="1" x14ac:dyDescent="0.3">
      <c r="A248" s="12"/>
      <c r="B248" s="12"/>
      <c r="C248" s="12"/>
      <c r="D248" s="12"/>
      <c r="E248" s="12"/>
    </row>
    <row r="249" spans="1:5" ht="15.75" customHeight="1" x14ac:dyDescent="0.3">
      <c r="A249" s="12"/>
      <c r="B249" s="12"/>
      <c r="C249" s="12"/>
      <c r="D249" s="12"/>
      <c r="E249" s="12"/>
    </row>
    <row r="250" spans="1:5" ht="15.75" customHeight="1" x14ac:dyDescent="0.3">
      <c r="A250" s="12"/>
      <c r="B250" s="12"/>
      <c r="C250" s="12"/>
      <c r="D250" s="12"/>
      <c r="E250" s="12"/>
    </row>
    <row r="251" spans="1:5" ht="15.75" customHeight="1" x14ac:dyDescent="0.3">
      <c r="A251" s="12"/>
      <c r="B251" s="12"/>
      <c r="C251" s="12"/>
      <c r="D251" s="12"/>
      <c r="E251" s="12"/>
    </row>
    <row r="252" spans="1:5" ht="15.75" customHeight="1" x14ac:dyDescent="0.3">
      <c r="A252" s="12"/>
      <c r="B252" s="12"/>
      <c r="C252" s="12"/>
      <c r="D252" s="12"/>
      <c r="E252" s="12"/>
    </row>
    <row r="253" spans="1:5" ht="15.75" customHeight="1" x14ac:dyDescent="0.3">
      <c r="A253" s="12"/>
      <c r="B253" s="12"/>
      <c r="C253" s="12"/>
      <c r="D253" s="12"/>
      <c r="E253" s="12"/>
    </row>
    <row r="254" spans="1:5" ht="15.75" customHeight="1" x14ac:dyDescent="0.3">
      <c r="A254" s="12"/>
      <c r="B254" s="12"/>
      <c r="C254" s="12"/>
      <c r="D254" s="12"/>
      <c r="E254" s="12"/>
    </row>
    <row r="255" spans="1:5" ht="15.75" customHeight="1" x14ac:dyDescent="0.3">
      <c r="A255" s="12"/>
      <c r="B255" s="12"/>
      <c r="C255" s="12"/>
      <c r="D255" s="12"/>
      <c r="E255" s="12"/>
    </row>
    <row r="256" spans="1:5" ht="15.75" customHeight="1" x14ac:dyDescent="0.3">
      <c r="A256" s="12"/>
      <c r="B256" s="12"/>
      <c r="C256" s="12"/>
      <c r="D256" s="12"/>
      <c r="E256" s="12"/>
    </row>
    <row r="257" spans="1:5" ht="15.75" customHeight="1" x14ac:dyDescent="0.3">
      <c r="A257" s="12"/>
      <c r="B257" s="12"/>
      <c r="C257" s="12"/>
      <c r="D257" s="12"/>
      <c r="E257" s="12"/>
    </row>
    <row r="258" spans="1:5" ht="15.75" customHeight="1" x14ac:dyDescent="0.3">
      <c r="A258" s="12"/>
      <c r="B258" s="12"/>
      <c r="C258" s="12"/>
      <c r="D258" s="12"/>
      <c r="E258" s="12"/>
    </row>
    <row r="259" spans="1:5" ht="15.75" customHeight="1" x14ac:dyDescent="0.3">
      <c r="A259" s="12"/>
      <c r="B259" s="12"/>
      <c r="C259" s="12"/>
      <c r="D259" s="12"/>
      <c r="E259" s="12"/>
    </row>
    <row r="260" spans="1:5" ht="15.75" customHeight="1" x14ac:dyDescent="0.3">
      <c r="A260" s="12"/>
      <c r="B260" s="12"/>
      <c r="C260" s="12"/>
      <c r="D260" s="12"/>
      <c r="E260" s="12"/>
    </row>
    <row r="261" spans="1:5" ht="15.75" customHeight="1" x14ac:dyDescent="0.3">
      <c r="A261" s="12"/>
      <c r="B261" s="12"/>
      <c r="C261" s="12"/>
      <c r="D261" s="12"/>
      <c r="E261" s="12"/>
    </row>
    <row r="262" spans="1:5" ht="15.75" customHeight="1" x14ac:dyDescent="0.3">
      <c r="A262" s="12"/>
      <c r="B262" s="12"/>
      <c r="C262" s="12"/>
      <c r="D262" s="12"/>
      <c r="E262" s="12"/>
    </row>
    <row r="263" spans="1:5" ht="15.75" customHeight="1" x14ac:dyDescent="0.3">
      <c r="A263" s="12"/>
      <c r="B263" s="12"/>
      <c r="C263" s="12"/>
      <c r="D263" s="12"/>
      <c r="E263" s="12"/>
    </row>
    <row r="264" spans="1:5" ht="15.75" customHeight="1" x14ac:dyDescent="0.3">
      <c r="A264" s="12"/>
      <c r="B264" s="12"/>
      <c r="C264" s="12"/>
      <c r="D264" s="12"/>
      <c r="E264" s="12"/>
    </row>
    <row r="265" spans="1:5" ht="15.75" customHeight="1" x14ac:dyDescent="0.3">
      <c r="A265" s="12"/>
      <c r="B265" s="12"/>
      <c r="C265" s="12"/>
      <c r="D265" s="12"/>
      <c r="E265" s="12"/>
    </row>
    <row r="266" spans="1:5" ht="15.75" customHeight="1" x14ac:dyDescent="0.3">
      <c r="A266" s="12"/>
      <c r="B266" s="12"/>
      <c r="C266" s="12"/>
      <c r="D266" s="12"/>
      <c r="E266" s="12"/>
    </row>
    <row r="267" spans="1:5" ht="15.75" customHeight="1" x14ac:dyDescent="0.3">
      <c r="A267" s="12"/>
      <c r="B267" s="12"/>
      <c r="C267" s="12"/>
      <c r="D267" s="12"/>
      <c r="E267" s="12"/>
    </row>
    <row r="268" spans="1:5" ht="15.75" customHeight="1" x14ac:dyDescent="0.3">
      <c r="A268" s="12"/>
      <c r="B268" s="12"/>
      <c r="C268" s="12"/>
      <c r="D268" s="12"/>
      <c r="E268" s="12"/>
    </row>
    <row r="269" spans="1:5" ht="15.75" customHeight="1" x14ac:dyDescent="0.3">
      <c r="A269" s="12"/>
      <c r="B269" s="12"/>
      <c r="C269" s="12"/>
      <c r="D269" s="12"/>
      <c r="E269" s="12"/>
    </row>
    <row r="270" spans="1:5" ht="15.75" customHeight="1" x14ac:dyDescent="0.3">
      <c r="A270" s="12"/>
      <c r="B270" s="12"/>
      <c r="C270" s="12"/>
      <c r="D270" s="12"/>
      <c r="E270" s="12"/>
    </row>
    <row r="271" spans="1:5" ht="15.75" customHeight="1" x14ac:dyDescent="0.3">
      <c r="A271" s="12"/>
      <c r="B271" s="12"/>
      <c r="C271" s="12"/>
      <c r="D271" s="12"/>
      <c r="E271" s="12"/>
    </row>
    <row r="272" spans="1:5" ht="15.75" customHeight="1" x14ac:dyDescent="0.3">
      <c r="A272" s="12"/>
      <c r="B272" s="12"/>
      <c r="C272" s="12"/>
      <c r="D272" s="12"/>
      <c r="E272" s="12"/>
    </row>
    <row r="273" spans="1:5" ht="15.75" customHeight="1" x14ac:dyDescent="0.3">
      <c r="A273" s="12"/>
      <c r="B273" s="12"/>
      <c r="C273" s="12"/>
      <c r="D273" s="12"/>
      <c r="E273" s="12"/>
    </row>
    <row r="274" spans="1:5" ht="15.75" customHeight="1" x14ac:dyDescent="0.3">
      <c r="A274" s="12"/>
      <c r="B274" s="12"/>
      <c r="C274" s="12"/>
      <c r="D274" s="12"/>
      <c r="E274" s="12"/>
    </row>
    <row r="275" spans="1:5" ht="15.75" customHeight="1" x14ac:dyDescent="0.3">
      <c r="A275" s="12"/>
      <c r="B275" s="12"/>
      <c r="C275" s="12"/>
      <c r="D275" s="12"/>
      <c r="E275" s="12"/>
    </row>
    <row r="276" spans="1:5" ht="15.75" customHeight="1" x14ac:dyDescent="0.3">
      <c r="A276" s="12"/>
      <c r="B276" s="12"/>
      <c r="C276" s="12"/>
      <c r="D276" s="12"/>
      <c r="E276" s="12"/>
    </row>
    <row r="277" spans="1:5" ht="15.75" customHeight="1" x14ac:dyDescent="0.3">
      <c r="A277" s="12"/>
      <c r="B277" s="12"/>
      <c r="C277" s="12"/>
      <c r="D277" s="12"/>
      <c r="E277" s="12"/>
    </row>
    <row r="278" spans="1:5" ht="15.75" customHeight="1" x14ac:dyDescent="0.3">
      <c r="A278" s="12"/>
      <c r="B278" s="12"/>
      <c r="C278" s="12"/>
      <c r="D278" s="12"/>
      <c r="E278" s="12"/>
    </row>
    <row r="279" spans="1:5" ht="15.75" customHeight="1" x14ac:dyDescent="0.3">
      <c r="A279" s="12"/>
      <c r="B279" s="12"/>
      <c r="C279" s="12"/>
      <c r="D279" s="12"/>
      <c r="E279" s="12"/>
    </row>
    <row r="280" spans="1:5" ht="15.75" customHeight="1" x14ac:dyDescent="0.3">
      <c r="A280" s="12"/>
      <c r="B280" s="12"/>
      <c r="C280" s="12"/>
      <c r="D280" s="12"/>
      <c r="E280" s="12"/>
    </row>
    <row r="281" spans="1:5" ht="15.75" customHeight="1" x14ac:dyDescent="0.3">
      <c r="A281" s="12"/>
      <c r="B281" s="12"/>
      <c r="C281" s="12"/>
      <c r="D281" s="12"/>
      <c r="E281" s="12"/>
    </row>
    <row r="282" spans="1:5" ht="15.75" customHeight="1" x14ac:dyDescent="0.3">
      <c r="A282" s="12"/>
      <c r="B282" s="12"/>
      <c r="C282" s="12"/>
      <c r="D282" s="12"/>
      <c r="E282" s="12"/>
    </row>
    <row r="283" spans="1:5" ht="15.75" customHeight="1" x14ac:dyDescent="0.3">
      <c r="A283" s="12"/>
      <c r="B283" s="12"/>
      <c r="C283" s="12"/>
      <c r="D283" s="12"/>
      <c r="E283" s="12"/>
    </row>
    <row r="284" spans="1:5" ht="15.75" customHeight="1" x14ac:dyDescent="0.3">
      <c r="A284" s="12"/>
      <c r="B284" s="12"/>
      <c r="C284" s="12"/>
      <c r="D284" s="12"/>
      <c r="E284" s="12"/>
    </row>
    <row r="285" spans="1:5" ht="15.75" customHeight="1" x14ac:dyDescent="0.3">
      <c r="A285" s="12"/>
      <c r="B285" s="12"/>
      <c r="C285" s="12"/>
      <c r="D285" s="12"/>
      <c r="E285" s="12"/>
    </row>
    <row r="286" spans="1:5" ht="15.75" customHeight="1" x14ac:dyDescent="0.3">
      <c r="A286" s="12"/>
      <c r="B286" s="12"/>
      <c r="C286" s="12"/>
      <c r="D286" s="12"/>
      <c r="E286" s="12"/>
    </row>
    <row r="287" spans="1:5" ht="15.75" customHeight="1" x14ac:dyDescent="0.3">
      <c r="A287" s="12"/>
      <c r="B287" s="12"/>
      <c r="C287" s="12"/>
      <c r="D287" s="12"/>
      <c r="E287" s="12"/>
    </row>
    <row r="288" spans="1:5" ht="15.75" customHeight="1" x14ac:dyDescent="0.3">
      <c r="A288" s="12"/>
      <c r="B288" s="12"/>
      <c r="C288" s="12"/>
      <c r="D288" s="12"/>
      <c r="E288" s="12"/>
    </row>
    <row r="289" spans="1:5" ht="15.75" customHeight="1" x14ac:dyDescent="0.3">
      <c r="A289" s="12"/>
      <c r="B289" s="12"/>
      <c r="C289" s="12"/>
      <c r="D289" s="12"/>
      <c r="E289" s="12"/>
    </row>
    <row r="290" spans="1:5" ht="15.75" customHeight="1" x14ac:dyDescent="0.3">
      <c r="A290" s="12"/>
      <c r="B290" s="12"/>
      <c r="C290" s="12"/>
      <c r="D290" s="12"/>
      <c r="E290" s="12"/>
    </row>
    <row r="291" spans="1:5" ht="15.75" customHeight="1" x14ac:dyDescent="0.3">
      <c r="A291" s="12"/>
      <c r="B291" s="12"/>
      <c r="C291" s="12"/>
      <c r="D291" s="12"/>
      <c r="E291" s="12"/>
    </row>
    <row r="292" spans="1:5" ht="15.75" customHeight="1" x14ac:dyDescent="0.3">
      <c r="A292" s="12"/>
      <c r="B292" s="12"/>
      <c r="C292" s="12"/>
      <c r="D292" s="12"/>
      <c r="E292" s="12"/>
    </row>
    <row r="293" spans="1:5" ht="15.75" customHeight="1" x14ac:dyDescent="0.3">
      <c r="A293" s="12"/>
      <c r="B293" s="12"/>
      <c r="C293" s="12"/>
      <c r="D293" s="12"/>
      <c r="E293" s="12"/>
    </row>
    <row r="294" spans="1:5" ht="15.75" customHeight="1" x14ac:dyDescent="0.3">
      <c r="A294" s="12"/>
      <c r="B294" s="12"/>
      <c r="C294" s="12"/>
      <c r="D294" s="12"/>
      <c r="E294" s="12"/>
    </row>
    <row r="295" spans="1:5" ht="15.75" customHeight="1" x14ac:dyDescent="0.3">
      <c r="A295" s="12"/>
      <c r="B295" s="12"/>
      <c r="C295" s="12"/>
      <c r="D295" s="12"/>
      <c r="E295" s="12"/>
    </row>
    <row r="296" spans="1:5" ht="15.75" customHeight="1" x14ac:dyDescent="0.3">
      <c r="A296" s="12"/>
      <c r="B296" s="12"/>
      <c r="C296" s="12"/>
      <c r="D296" s="12"/>
      <c r="E296" s="12"/>
    </row>
    <row r="297" spans="1:5" ht="15.75" customHeight="1" x14ac:dyDescent="0.3">
      <c r="A297" s="12"/>
      <c r="B297" s="12"/>
      <c r="C297" s="12"/>
      <c r="D297" s="12"/>
      <c r="E297" s="12"/>
    </row>
    <row r="298" spans="1:5" ht="15.75" customHeight="1" x14ac:dyDescent="0.3">
      <c r="A298" s="12"/>
      <c r="B298" s="12"/>
      <c r="C298" s="12"/>
      <c r="D298" s="12"/>
      <c r="E298" s="12"/>
    </row>
    <row r="299" spans="1:5" ht="15.75" customHeight="1" x14ac:dyDescent="0.3">
      <c r="A299" s="12"/>
      <c r="B299" s="12"/>
      <c r="C299" s="12"/>
      <c r="D299" s="12"/>
      <c r="E299" s="12"/>
    </row>
    <row r="300" spans="1:5" ht="15.75" customHeight="1" x14ac:dyDescent="0.3">
      <c r="A300" s="12"/>
      <c r="B300" s="12"/>
      <c r="C300" s="12"/>
      <c r="D300" s="12"/>
      <c r="E300" s="12"/>
    </row>
    <row r="301" spans="1:5" ht="15.75" customHeight="1" x14ac:dyDescent="0.3">
      <c r="A301" s="12"/>
      <c r="B301" s="12"/>
      <c r="C301" s="12"/>
      <c r="D301" s="12"/>
      <c r="E301" s="12"/>
    </row>
    <row r="302" spans="1:5" ht="15.75" customHeight="1" x14ac:dyDescent="0.3">
      <c r="A302" s="12"/>
      <c r="B302" s="12"/>
      <c r="C302" s="12"/>
      <c r="D302" s="12"/>
      <c r="E302" s="12"/>
    </row>
    <row r="303" spans="1:5" ht="15.75" customHeight="1" x14ac:dyDescent="0.3">
      <c r="A303" s="12"/>
      <c r="B303" s="12"/>
      <c r="C303" s="12"/>
      <c r="D303" s="12"/>
      <c r="E303" s="12"/>
    </row>
    <row r="304" spans="1:5" ht="15.75" customHeight="1" x14ac:dyDescent="0.3">
      <c r="A304" s="12"/>
      <c r="B304" s="12"/>
      <c r="C304" s="12"/>
      <c r="D304" s="12"/>
      <c r="E304" s="12"/>
    </row>
    <row r="305" spans="1:5" ht="15.75" customHeight="1" x14ac:dyDescent="0.3">
      <c r="A305" s="12"/>
      <c r="B305" s="12"/>
      <c r="C305" s="12"/>
      <c r="D305" s="12"/>
      <c r="E305" s="12"/>
    </row>
    <row r="306" spans="1:5" ht="15.75" customHeight="1" x14ac:dyDescent="0.3">
      <c r="A306" s="12"/>
      <c r="B306" s="12"/>
      <c r="C306" s="12"/>
      <c r="D306" s="12"/>
      <c r="E306" s="12"/>
    </row>
    <row r="307" spans="1:5" ht="15.75" customHeight="1" x14ac:dyDescent="0.3">
      <c r="A307" s="12"/>
      <c r="B307" s="12"/>
      <c r="C307" s="12"/>
      <c r="D307" s="12"/>
      <c r="E307" s="12"/>
    </row>
    <row r="308" spans="1:5" ht="15.75" customHeight="1" x14ac:dyDescent="0.3">
      <c r="A308" s="12"/>
      <c r="B308" s="12"/>
      <c r="C308" s="12"/>
      <c r="D308" s="12"/>
      <c r="E308" s="12"/>
    </row>
    <row r="309" spans="1:5" ht="15.75" customHeight="1" x14ac:dyDescent="0.3">
      <c r="A309" s="12"/>
      <c r="B309" s="12"/>
      <c r="C309" s="12"/>
      <c r="D309" s="12"/>
      <c r="E309" s="12"/>
    </row>
    <row r="310" spans="1:5" ht="15.75" customHeight="1" x14ac:dyDescent="0.3">
      <c r="A310" s="12"/>
      <c r="B310" s="12"/>
      <c r="C310" s="12"/>
      <c r="D310" s="12"/>
      <c r="E310" s="12"/>
    </row>
    <row r="311" spans="1:5" ht="15.75" customHeight="1" x14ac:dyDescent="0.3">
      <c r="A311" s="12"/>
      <c r="B311" s="12"/>
      <c r="C311" s="12"/>
      <c r="D311" s="12"/>
      <c r="E311" s="12"/>
    </row>
    <row r="312" spans="1:5" ht="15.75" customHeight="1" x14ac:dyDescent="0.3">
      <c r="A312" s="12"/>
      <c r="B312" s="12"/>
      <c r="C312" s="12"/>
      <c r="D312" s="12"/>
      <c r="E312" s="12"/>
    </row>
    <row r="313" spans="1:5" ht="15.75" customHeight="1" x14ac:dyDescent="0.3">
      <c r="A313" s="12"/>
      <c r="B313" s="12"/>
      <c r="C313" s="12"/>
      <c r="D313" s="12"/>
      <c r="E313" s="12"/>
    </row>
    <row r="314" spans="1:5" ht="15.75" customHeight="1" x14ac:dyDescent="0.3">
      <c r="A314" s="12"/>
      <c r="B314" s="12"/>
      <c r="C314" s="12"/>
      <c r="D314" s="12"/>
      <c r="E314" s="12"/>
    </row>
    <row r="315" spans="1:5" ht="15.75" customHeight="1" x14ac:dyDescent="0.3">
      <c r="A315" s="12"/>
      <c r="B315" s="12"/>
      <c r="C315" s="12"/>
      <c r="D315" s="12"/>
      <c r="E315" s="12"/>
    </row>
    <row r="316" spans="1:5" ht="15.75" customHeight="1" x14ac:dyDescent="0.3">
      <c r="A316" s="12"/>
      <c r="B316" s="12"/>
      <c r="C316" s="12"/>
      <c r="D316" s="12"/>
      <c r="E316" s="12"/>
    </row>
    <row r="317" spans="1:5" ht="15.75" customHeight="1" x14ac:dyDescent="0.3">
      <c r="A317" s="12"/>
      <c r="B317" s="12"/>
      <c r="C317" s="12"/>
      <c r="D317" s="12"/>
      <c r="E317" s="12"/>
    </row>
    <row r="318" spans="1:5" ht="15.75" customHeight="1" x14ac:dyDescent="0.3">
      <c r="A318" s="12"/>
      <c r="B318" s="12"/>
      <c r="C318" s="12"/>
      <c r="D318" s="12"/>
      <c r="E318" s="12"/>
    </row>
    <row r="319" spans="1:5" ht="15.75" customHeight="1" x14ac:dyDescent="0.3">
      <c r="A319" s="12"/>
      <c r="B319" s="12"/>
      <c r="C319" s="12"/>
      <c r="D319" s="12"/>
      <c r="E319" s="12"/>
    </row>
    <row r="320" spans="1:5" ht="15.75" customHeight="1" x14ac:dyDescent="0.3">
      <c r="A320" s="12"/>
      <c r="B320" s="12"/>
      <c r="C320" s="12"/>
      <c r="D320" s="12"/>
      <c r="E320" s="12"/>
    </row>
    <row r="321" spans="1:5" ht="15.75" customHeight="1" x14ac:dyDescent="0.3">
      <c r="A321" s="12"/>
      <c r="B321" s="12"/>
      <c r="C321" s="12"/>
      <c r="D321" s="12"/>
      <c r="E321" s="12"/>
    </row>
    <row r="322" spans="1:5" ht="15.75" customHeight="1" x14ac:dyDescent="0.3">
      <c r="A322" s="12"/>
      <c r="B322" s="12"/>
      <c r="C322" s="12"/>
      <c r="D322" s="12"/>
      <c r="E322" s="12"/>
    </row>
    <row r="323" spans="1:5" ht="15.75" customHeight="1" x14ac:dyDescent="0.3">
      <c r="A323" s="12"/>
      <c r="B323" s="12"/>
      <c r="C323" s="12"/>
      <c r="D323" s="12"/>
      <c r="E323" s="12"/>
    </row>
    <row r="324" spans="1:5" ht="15.75" customHeight="1" x14ac:dyDescent="0.3">
      <c r="A324" s="12"/>
      <c r="B324" s="12"/>
      <c r="C324" s="12"/>
      <c r="D324" s="12"/>
      <c r="E324" s="12"/>
    </row>
    <row r="325" spans="1:5" ht="15.75" customHeight="1" x14ac:dyDescent="0.3">
      <c r="A325" s="12"/>
      <c r="B325" s="12"/>
      <c r="C325" s="12"/>
      <c r="D325" s="12"/>
      <c r="E325" s="12"/>
    </row>
    <row r="326" spans="1:5" ht="15.75" customHeight="1" x14ac:dyDescent="0.3">
      <c r="A326" s="12"/>
      <c r="B326" s="12"/>
      <c r="C326" s="12"/>
      <c r="D326" s="12"/>
      <c r="E326" s="12"/>
    </row>
    <row r="327" spans="1:5" ht="15.75" customHeight="1" x14ac:dyDescent="0.3">
      <c r="A327" s="12"/>
      <c r="B327" s="12"/>
      <c r="C327" s="12"/>
      <c r="D327" s="12"/>
      <c r="E327" s="12"/>
    </row>
    <row r="328" spans="1:5" ht="15.75" customHeight="1" x14ac:dyDescent="0.3">
      <c r="A328" s="12"/>
      <c r="B328" s="12"/>
      <c r="C328" s="12"/>
      <c r="D328" s="12"/>
      <c r="E328" s="12"/>
    </row>
    <row r="329" spans="1:5" ht="15.75" customHeight="1" x14ac:dyDescent="0.3">
      <c r="A329" s="12"/>
      <c r="B329" s="12"/>
      <c r="C329" s="12"/>
      <c r="D329" s="12"/>
      <c r="E329" s="12"/>
    </row>
    <row r="330" spans="1:5" ht="15.75" customHeight="1" x14ac:dyDescent="0.3">
      <c r="A330" s="12"/>
      <c r="B330" s="12"/>
      <c r="C330" s="12"/>
      <c r="D330" s="12"/>
      <c r="E330" s="12"/>
    </row>
    <row r="331" spans="1:5" ht="15.75" customHeight="1" x14ac:dyDescent="0.3">
      <c r="A331" s="12"/>
      <c r="B331" s="12"/>
      <c r="C331" s="12"/>
      <c r="D331" s="12"/>
      <c r="E331" s="12"/>
    </row>
    <row r="332" spans="1:5" ht="15.75" customHeight="1" x14ac:dyDescent="0.3">
      <c r="A332" s="12"/>
      <c r="B332" s="12"/>
      <c r="C332" s="12"/>
      <c r="D332" s="12"/>
      <c r="E332" s="12"/>
    </row>
    <row r="333" spans="1:5" ht="15.75" customHeight="1" x14ac:dyDescent="0.3">
      <c r="A333" s="12"/>
      <c r="B333" s="12"/>
      <c r="C333" s="12"/>
      <c r="D333" s="12"/>
      <c r="E333" s="12"/>
    </row>
    <row r="334" spans="1:5" ht="15.75" customHeight="1" x14ac:dyDescent="0.3">
      <c r="A334" s="12"/>
      <c r="B334" s="12"/>
      <c r="C334" s="12"/>
      <c r="D334" s="12"/>
      <c r="E334" s="12"/>
    </row>
    <row r="335" spans="1:5" ht="15.75" customHeight="1" x14ac:dyDescent="0.3">
      <c r="A335" s="12"/>
      <c r="B335" s="12"/>
      <c r="C335" s="12"/>
      <c r="D335" s="12"/>
      <c r="E335" s="12"/>
    </row>
    <row r="336" spans="1:5" ht="15.75" customHeight="1" x14ac:dyDescent="0.3">
      <c r="A336" s="12"/>
      <c r="B336" s="12"/>
      <c r="C336" s="12"/>
      <c r="D336" s="12"/>
      <c r="E336" s="12"/>
    </row>
    <row r="337" spans="1:5" ht="15.75" customHeight="1" x14ac:dyDescent="0.3">
      <c r="A337" s="12"/>
      <c r="B337" s="12"/>
      <c r="C337" s="12"/>
      <c r="D337" s="12"/>
      <c r="E337" s="12"/>
    </row>
    <row r="338" spans="1:5" ht="15.75" customHeight="1" x14ac:dyDescent="0.3">
      <c r="A338" s="12"/>
      <c r="B338" s="12"/>
      <c r="C338" s="12"/>
      <c r="D338" s="12"/>
      <c r="E338" s="12"/>
    </row>
    <row r="339" spans="1:5" ht="15.75" customHeight="1" x14ac:dyDescent="0.3">
      <c r="A339" s="12"/>
      <c r="B339" s="12"/>
      <c r="C339" s="12"/>
      <c r="D339" s="12"/>
      <c r="E339" s="12"/>
    </row>
    <row r="340" spans="1:5" ht="15.75" customHeight="1" x14ac:dyDescent="0.3">
      <c r="A340" s="12"/>
      <c r="B340" s="12"/>
      <c r="C340" s="12"/>
      <c r="D340" s="12"/>
      <c r="E340" s="12"/>
    </row>
    <row r="341" spans="1:5" ht="15.75" customHeight="1" x14ac:dyDescent="0.3">
      <c r="A341" s="12"/>
      <c r="B341" s="12"/>
      <c r="C341" s="12"/>
      <c r="D341" s="12"/>
      <c r="E341" s="12"/>
    </row>
    <row r="342" spans="1:5" ht="15.75" customHeight="1" x14ac:dyDescent="0.3">
      <c r="A342" s="12"/>
      <c r="B342" s="12"/>
      <c r="C342" s="12"/>
      <c r="D342" s="12"/>
      <c r="E342" s="12"/>
    </row>
    <row r="343" spans="1:5" ht="15.75" customHeight="1" x14ac:dyDescent="0.3">
      <c r="A343" s="12"/>
      <c r="B343" s="12"/>
      <c r="C343" s="12"/>
      <c r="D343" s="12"/>
      <c r="E343" s="12"/>
    </row>
    <row r="344" spans="1:5" ht="15.75" customHeight="1" x14ac:dyDescent="0.3">
      <c r="A344" s="12"/>
      <c r="B344" s="12"/>
      <c r="C344" s="12"/>
      <c r="D344" s="12"/>
      <c r="E344" s="12"/>
    </row>
    <row r="345" spans="1:5" ht="15.75" customHeight="1" x14ac:dyDescent="0.3">
      <c r="A345" s="12"/>
      <c r="B345" s="12"/>
      <c r="C345" s="12"/>
      <c r="D345" s="12"/>
      <c r="E345" s="12"/>
    </row>
    <row r="346" spans="1:5" ht="15.75" customHeight="1" x14ac:dyDescent="0.3">
      <c r="A346" s="12"/>
      <c r="B346" s="12"/>
      <c r="C346" s="12"/>
      <c r="D346" s="12"/>
      <c r="E346" s="12"/>
    </row>
    <row r="347" spans="1:5" ht="15.75" customHeight="1" x14ac:dyDescent="0.3">
      <c r="A347" s="12"/>
      <c r="B347" s="12"/>
      <c r="C347" s="12"/>
      <c r="D347" s="12"/>
      <c r="E347" s="12"/>
    </row>
    <row r="348" spans="1:5" ht="15.75" customHeight="1" x14ac:dyDescent="0.3">
      <c r="A348" s="12"/>
      <c r="B348" s="12"/>
      <c r="C348" s="12"/>
      <c r="D348" s="12"/>
      <c r="E348" s="12"/>
    </row>
    <row r="349" spans="1:5" ht="15.75" customHeight="1" x14ac:dyDescent="0.3">
      <c r="A349" s="12"/>
      <c r="B349" s="12"/>
      <c r="C349" s="12"/>
      <c r="D349" s="12"/>
      <c r="E349" s="12"/>
    </row>
    <row r="350" spans="1:5" ht="15.75" customHeight="1" x14ac:dyDescent="0.3">
      <c r="A350" s="12"/>
      <c r="B350" s="12"/>
      <c r="C350" s="12"/>
      <c r="D350" s="12"/>
      <c r="E350" s="12"/>
    </row>
    <row r="351" spans="1:5" ht="15.75" customHeight="1" x14ac:dyDescent="0.3">
      <c r="A351" s="12"/>
      <c r="B351" s="12"/>
      <c r="C351" s="12"/>
      <c r="D351" s="12"/>
      <c r="E351" s="12"/>
    </row>
    <row r="352" spans="1:5" ht="15.75" customHeight="1" x14ac:dyDescent="0.3">
      <c r="A352" s="12"/>
      <c r="B352" s="12"/>
      <c r="C352" s="12"/>
      <c r="D352" s="12"/>
      <c r="E352" s="12"/>
    </row>
    <row r="353" spans="1:5" ht="15.75" customHeight="1" x14ac:dyDescent="0.3">
      <c r="A353" s="12"/>
      <c r="B353" s="12"/>
      <c r="C353" s="12"/>
      <c r="D353" s="12"/>
      <c r="E353" s="12"/>
    </row>
    <row r="354" spans="1:5" ht="15.75" customHeight="1" x14ac:dyDescent="0.3">
      <c r="A354" s="12"/>
      <c r="B354" s="12"/>
      <c r="C354" s="12"/>
      <c r="D354" s="12"/>
      <c r="E354" s="12"/>
    </row>
    <row r="355" spans="1:5" ht="15.75" customHeight="1" x14ac:dyDescent="0.3">
      <c r="A355" s="12"/>
      <c r="B355" s="12"/>
      <c r="C355" s="12"/>
      <c r="D355" s="12"/>
      <c r="E355" s="12"/>
    </row>
    <row r="356" spans="1:5" ht="15.75" customHeight="1" x14ac:dyDescent="0.3">
      <c r="A356" s="12"/>
      <c r="B356" s="12"/>
      <c r="C356" s="12"/>
      <c r="D356" s="12"/>
      <c r="E356" s="12"/>
    </row>
    <row r="357" spans="1:5" ht="15.75" customHeight="1" x14ac:dyDescent="0.3">
      <c r="A357" s="12"/>
      <c r="B357" s="12"/>
      <c r="C357" s="12"/>
      <c r="D357" s="12"/>
      <c r="E357" s="12"/>
    </row>
    <row r="358" spans="1:5" ht="15.75" customHeight="1" x14ac:dyDescent="0.3">
      <c r="A358" s="12"/>
      <c r="B358" s="12"/>
      <c r="C358" s="12"/>
      <c r="D358" s="12"/>
      <c r="E358" s="12"/>
    </row>
    <row r="359" spans="1:5" ht="15.75" customHeight="1" x14ac:dyDescent="0.3">
      <c r="A359" s="12"/>
      <c r="B359" s="12"/>
      <c r="C359" s="12"/>
      <c r="D359" s="12"/>
      <c r="E359" s="12"/>
    </row>
    <row r="360" spans="1:5" ht="15.75" customHeight="1" x14ac:dyDescent="0.3">
      <c r="A360" s="12"/>
      <c r="B360" s="12"/>
      <c r="C360" s="12"/>
      <c r="D360" s="12"/>
      <c r="E360" s="12"/>
    </row>
    <row r="361" spans="1:5" ht="15.75" customHeight="1" x14ac:dyDescent="0.3">
      <c r="A361" s="12"/>
      <c r="B361" s="12"/>
      <c r="C361" s="12"/>
      <c r="D361" s="12"/>
      <c r="E361" s="12"/>
    </row>
    <row r="362" spans="1:5" ht="15.75" customHeight="1" x14ac:dyDescent="0.3">
      <c r="A362" s="12"/>
      <c r="B362" s="12"/>
      <c r="C362" s="12"/>
      <c r="D362" s="12"/>
      <c r="E362" s="12"/>
    </row>
    <row r="363" spans="1:5" ht="15.75" customHeight="1" x14ac:dyDescent="0.3">
      <c r="A363" s="12"/>
      <c r="B363" s="12"/>
      <c r="C363" s="12"/>
      <c r="D363" s="12"/>
      <c r="E363" s="12"/>
    </row>
    <row r="364" spans="1:5" ht="15.75" customHeight="1" x14ac:dyDescent="0.3">
      <c r="A364" s="12"/>
      <c r="B364" s="12"/>
      <c r="C364" s="12"/>
      <c r="D364" s="12"/>
      <c r="E364" s="12"/>
    </row>
    <row r="365" spans="1:5" ht="15.75" customHeight="1" x14ac:dyDescent="0.3">
      <c r="A365" s="12"/>
      <c r="B365" s="12"/>
      <c r="C365" s="12"/>
      <c r="D365" s="12"/>
      <c r="E365" s="12"/>
    </row>
    <row r="366" spans="1:5" ht="15.75" customHeight="1" x14ac:dyDescent="0.3">
      <c r="A366" s="12"/>
      <c r="B366" s="12"/>
      <c r="C366" s="12"/>
      <c r="D366" s="12"/>
      <c r="E366" s="12"/>
    </row>
    <row r="367" spans="1:5" ht="15.75" customHeight="1" x14ac:dyDescent="0.3">
      <c r="A367" s="12"/>
      <c r="B367" s="12"/>
      <c r="C367" s="12"/>
      <c r="D367" s="12"/>
      <c r="E367" s="12"/>
    </row>
    <row r="368" spans="1:5" ht="15.75" customHeight="1" x14ac:dyDescent="0.3">
      <c r="A368" s="12"/>
      <c r="B368" s="12"/>
      <c r="C368" s="12"/>
      <c r="D368" s="12"/>
      <c r="E368" s="12"/>
    </row>
    <row r="369" spans="1:5" ht="15.75" customHeight="1" x14ac:dyDescent="0.3">
      <c r="A369" s="12"/>
      <c r="B369" s="12"/>
      <c r="C369" s="12"/>
      <c r="D369" s="12"/>
      <c r="E369" s="12"/>
    </row>
    <row r="370" spans="1:5" ht="15.75" customHeight="1" x14ac:dyDescent="0.3">
      <c r="A370" s="12"/>
      <c r="B370" s="12"/>
      <c r="C370" s="12"/>
      <c r="D370" s="12"/>
      <c r="E370" s="12"/>
    </row>
    <row r="371" spans="1:5" ht="15.75" customHeight="1" x14ac:dyDescent="0.3">
      <c r="A371" s="12"/>
      <c r="B371" s="12"/>
      <c r="C371" s="12"/>
      <c r="D371" s="12"/>
      <c r="E371" s="12"/>
    </row>
    <row r="372" spans="1:5" ht="15.75" customHeight="1" x14ac:dyDescent="0.3">
      <c r="A372" s="12"/>
      <c r="B372" s="12"/>
      <c r="C372" s="12"/>
      <c r="D372" s="12"/>
      <c r="E372" s="12"/>
    </row>
    <row r="373" spans="1:5" ht="15.75" customHeight="1" x14ac:dyDescent="0.3">
      <c r="A373" s="12"/>
      <c r="B373" s="12"/>
      <c r="C373" s="12"/>
      <c r="D373" s="12"/>
      <c r="E373" s="12"/>
    </row>
    <row r="374" spans="1:5" ht="15.75" customHeight="1" x14ac:dyDescent="0.3">
      <c r="A374" s="12"/>
      <c r="B374" s="12"/>
      <c r="C374" s="12"/>
      <c r="D374" s="12"/>
      <c r="E374" s="12"/>
    </row>
    <row r="375" spans="1:5" ht="15.75" customHeight="1" x14ac:dyDescent="0.3">
      <c r="A375" s="12"/>
      <c r="B375" s="12"/>
      <c r="C375" s="12"/>
      <c r="D375" s="12"/>
      <c r="E375" s="12"/>
    </row>
    <row r="376" spans="1:5" ht="15.75" customHeight="1" x14ac:dyDescent="0.3">
      <c r="A376" s="12"/>
      <c r="B376" s="12"/>
      <c r="C376" s="12"/>
      <c r="D376" s="12"/>
      <c r="E376" s="12"/>
    </row>
    <row r="377" spans="1:5" ht="15.75" customHeight="1" x14ac:dyDescent="0.3">
      <c r="A377" s="12"/>
      <c r="B377" s="12"/>
      <c r="C377" s="12"/>
      <c r="D377" s="12"/>
      <c r="E377" s="12"/>
    </row>
    <row r="378" spans="1:5" ht="15.75" customHeight="1" x14ac:dyDescent="0.3">
      <c r="A378" s="12"/>
      <c r="B378" s="12"/>
      <c r="C378" s="12"/>
      <c r="D378" s="12"/>
      <c r="E378" s="12"/>
    </row>
    <row r="379" spans="1:5" ht="15.75" customHeight="1" x14ac:dyDescent="0.3">
      <c r="A379" s="12"/>
      <c r="B379" s="12"/>
      <c r="C379" s="12"/>
      <c r="D379" s="12"/>
      <c r="E379" s="12"/>
    </row>
    <row r="380" spans="1:5" ht="15.75" customHeight="1" x14ac:dyDescent="0.3">
      <c r="A380" s="12"/>
      <c r="B380" s="12"/>
      <c r="C380" s="12"/>
      <c r="D380" s="12"/>
      <c r="E380" s="12"/>
    </row>
    <row r="381" spans="1:5" ht="15.75" customHeight="1" x14ac:dyDescent="0.3">
      <c r="A381" s="12"/>
      <c r="B381" s="12"/>
      <c r="C381" s="12"/>
      <c r="D381" s="12"/>
      <c r="E381" s="12"/>
    </row>
    <row r="382" spans="1:5" ht="15.75" customHeight="1" x14ac:dyDescent="0.3">
      <c r="A382" s="12"/>
      <c r="B382" s="12"/>
      <c r="C382" s="12"/>
      <c r="D382" s="12"/>
      <c r="E382" s="12"/>
    </row>
    <row r="383" spans="1:5" ht="15.75" customHeight="1" x14ac:dyDescent="0.3">
      <c r="A383" s="12"/>
      <c r="B383" s="12"/>
      <c r="C383" s="12"/>
      <c r="D383" s="12"/>
      <c r="E383" s="12"/>
    </row>
    <row r="384" spans="1:5" ht="15.75" customHeight="1" x14ac:dyDescent="0.3">
      <c r="A384" s="12"/>
      <c r="B384" s="12"/>
      <c r="C384" s="12"/>
      <c r="D384" s="12"/>
      <c r="E384" s="12"/>
    </row>
    <row r="385" spans="1:5" ht="15.75" customHeight="1" x14ac:dyDescent="0.3">
      <c r="A385" s="12"/>
      <c r="B385" s="12"/>
      <c r="C385" s="12"/>
      <c r="D385" s="12"/>
      <c r="E385" s="12"/>
    </row>
    <row r="386" spans="1:5" ht="15.75" customHeight="1" x14ac:dyDescent="0.3">
      <c r="A386" s="12"/>
      <c r="B386" s="12"/>
      <c r="C386" s="12"/>
      <c r="D386" s="12"/>
      <c r="E386" s="12"/>
    </row>
    <row r="387" spans="1:5" ht="15.75" customHeight="1" x14ac:dyDescent="0.3">
      <c r="A387" s="12"/>
      <c r="B387" s="12"/>
      <c r="C387" s="12"/>
      <c r="D387" s="12"/>
      <c r="E387" s="12"/>
    </row>
    <row r="388" spans="1:5" ht="15.75" customHeight="1" x14ac:dyDescent="0.3">
      <c r="A388" s="12"/>
      <c r="B388" s="12"/>
      <c r="C388" s="12"/>
      <c r="D388" s="12"/>
      <c r="E388" s="12"/>
    </row>
    <row r="389" spans="1:5" ht="15.75" customHeight="1" x14ac:dyDescent="0.3">
      <c r="A389" s="12"/>
      <c r="B389" s="12"/>
      <c r="C389" s="12"/>
      <c r="D389" s="12"/>
      <c r="E389" s="12"/>
    </row>
    <row r="390" spans="1:5" ht="15.75" customHeight="1" x14ac:dyDescent="0.3">
      <c r="A390" s="12"/>
      <c r="B390" s="12"/>
      <c r="C390" s="12"/>
      <c r="D390" s="12"/>
      <c r="E390" s="12"/>
    </row>
    <row r="391" spans="1:5" ht="15.75" customHeight="1" x14ac:dyDescent="0.3">
      <c r="A391" s="12"/>
      <c r="B391" s="12"/>
      <c r="C391" s="12"/>
      <c r="D391" s="12"/>
      <c r="E391" s="12"/>
    </row>
    <row r="392" spans="1:5" ht="15.75" customHeight="1" x14ac:dyDescent="0.3">
      <c r="A392" s="12"/>
      <c r="B392" s="12"/>
      <c r="C392" s="12"/>
      <c r="D392" s="12"/>
      <c r="E392" s="12"/>
    </row>
    <row r="393" spans="1:5" ht="15.75" customHeight="1" x14ac:dyDescent="0.3">
      <c r="A393" s="12"/>
      <c r="B393" s="12"/>
      <c r="C393" s="12"/>
      <c r="D393" s="12"/>
      <c r="E393" s="12"/>
    </row>
    <row r="394" spans="1:5" ht="15.75" customHeight="1" x14ac:dyDescent="0.3">
      <c r="A394" s="12"/>
      <c r="B394" s="12"/>
      <c r="C394" s="12"/>
      <c r="D394" s="12"/>
      <c r="E394" s="12"/>
    </row>
    <row r="395" spans="1:5" ht="15.75" customHeight="1" x14ac:dyDescent="0.3">
      <c r="A395" s="12"/>
      <c r="B395" s="12"/>
      <c r="C395" s="12"/>
      <c r="D395" s="12"/>
      <c r="E395" s="12"/>
    </row>
    <row r="396" spans="1:5" ht="15.75" customHeight="1" x14ac:dyDescent="0.3">
      <c r="A396" s="12"/>
      <c r="B396" s="12"/>
      <c r="C396" s="12"/>
      <c r="D396" s="12"/>
      <c r="E396" s="12"/>
    </row>
    <row r="397" spans="1:5" ht="15.75" customHeight="1" x14ac:dyDescent="0.3">
      <c r="A397" s="12"/>
      <c r="B397" s="12"/>
      <c r="C397" s="12"/>
      <c r="D397" s="12"/>
      <c r="E397" s="12"/>
    </row>
    <row r="398" spans="1:5" ht="15.75" customHeight="1" x14ac:dyDescent="0.3">
      <c r="A398" s="12"/>
      <c r="B398" s="12"/>
      <c r="C398" s="12"/>
      <c r="D398" s="12"/>
      <c r="E398" s="12"/>
    </row>
    <row r="399" spans="1:5" ht="15.75" customHeight="1" x14ac:dyDescent="0.3">
      <c r="A399" s="12"/>
      <c r="B399" s="12"/>
      <c r="C399" s="12"/>
      <c r="D399" s="12"/>
      <c r="E399" s="12"/>
    </row>
    <row r="400" spans="1:5" ht="15.75" customHeight="1" x14ac:dyDescent="0.3">
      <c r="A400" s="12"/>
      <c r="B400" s="12"/>
      <c r="C400" s="12"/>
      <c r="D400" s="12"/>
      <c r="E400" s="12"/>
    </row>
    <row r="401" spans="1:5" ht="15.75" customHeight="1" x14ac:dyDescent="0.3">
      <c r="A401" s="12"/>
      <c r="B401" s="12"/>
      <c r="C401" s="12"/>
      <c r="D401" s="12"/>
      <c r="E401" s="12"/>
    </row>
    <row r="402" spans="1:5" ht="15.75" customHeight="1" x14ac:dyDescent="0.3">
      <c r="A402" s="12"/>
      <c r="B402" s="12"/>
      <c r="C402" s="12"/>
      <c r="D402" s="12"/>
      <c r="E402" s="12"/>
    </row>
    <row r="403" spans="1:5" ht="15.75" customHeight="1" x14ac:dyDescent="0.3">
      <c r="A403" s="12"/>
      <c r="B403" s="12"/>
      <c r="C403" s="12"/>
      <c r="D403" s="12"/>
      <c r="E403" s="12"/>
    </row>
    <row r="404" spans="1:5" ht="15.75" customHeight="1" x14ac:dyDescent="0.3">
      <c r="A404" s="12"/>
      <c r="B404" s="12"/>
      <c r="C404" s="12"/>
      <c r="D404" s="12"/>
      <c r="E404" s="12"/>
    </row>
    <row r="405" spans="1:5" ht="15.75" customHeight="1" x14ac:dyDescent="0.3">
      <c r="A405" s="12"/>
      <c r="B405" s="12"/>
      <c r="C405" s="12"/>
      <c r="D405" s="12"/>
      <c r="E405" s="12"/>
    </row>
    <row r="406" spans="1:5" ht="15.75" customHeight="1" x14ac:dyDescent="0.3">
      <c r="A406" s="12"/>
      <c r="B406" s="12"/>
      <c r="C406" s="12"/>
      <c r="D406" s="12"/>
      <c r="E406" s="12"/>
    </row>
    <row r="407" spans="1:5" ht="15.75" customHeight="1" x14ac:dyDescent="0.3">
      <c r="A407" s="12"/>
      <c r="B407" s="12"/>
      <c r="C407" s="12"/>
      <c r="D407" s="12"/>
      <c r="E407" s="12"/>
    </row>
    <row r="408" spans="1:5" ht="15.75" customHeight="1" x14ac:dyDescent="0.3">
      <c r="A408" s="12"/>
      <c r="B408" s="12"/>
      <c r="C408" s="12"/>
      <c r="D408" s="12"/>
      <c r="E408" s="12"/>
    </row>
    <row r="409" spans="1:5" ht="15.75" customHeight="1" x14ac:dyDescent="0.3">
      <c r="A409" s="12"/>
      <c r="B409" s="12"/>
      <c r="C409" s="12"/>
      <c r="D409" s="12"/>
      <c r="E409" s="12"/>
    </row>
    <row r="410" spans="1:5" ht="15.75" customHeight="1" x14ac:dyDescent="0.3">
      <c r="A410" s="12"/>
      <c r="B410" s="12"/>
      <c r="C410" s="12"/>
      <c r="D410" s="12"/>
      <c r="E410" s="12"/>
    </row>
    <row r="411" spans="1:5" ht="15.75" customHeight="1" x14ac:dyDescent="0.3">
      <c r="A411" s="12"/>
      <c r="B411" s="12"/>
      <c r="C411" s="12"/>
      <c r="D411" s="12"/>
      <c r="E411" s="12"/>
    </row>
    <row r="412" spans="1:5" ht="15.75" customHeight="1" x14ac:dyDescent="0.3">
      <c r="A412" s="12"/>
      <c r="B412" s="12"/>
      <c r="C412" s="12"/>
      <c r="D412" s="12"/>
      <c r="E412" s="12"/>
    </row>
    <row r="413" spans="1:5" ht="15.75" customHeight="1" x14ac:dyDescent="0.3">
      <c r="A413" s="12"/>
      <c r="B413" s="12"/>
      <c r="C413" s="12"/>
      <c r="D413" s="12"/>
      <c r="E413" s="12"/>
    </row>
    <row r="414" spans="1:5" ht="15.75" customHeight="1" x14ac:dyDescent="0.3">
      <c r="A414" s="12"/>
      <c r="B414" s="12"/>
      <c r="C414" s="12"/>
      <c r="D414" s="12"/>
      <c r="E414" s="12"/>
    </row>
    <row r="415" spans="1:5" ht="15.75" customHeight="1" x14ac:dyDescent="0.3">
      <c r="A415" s="12"/>
      <c r="B415" s="12"/>
      <c r="C415" s="12"/>
      <c r="D415" s="12"/>
      <c r="E415" s="12"/>
    </row>
    <row r="416" spans="1:5" ht="15.75" customHeight="1" x14ac:dyDescent="0.3">
      <c r="A416" s="12"/>
      <c r="B416" s="12"/>
      <c r="C416" s="12"/>
      <c r="D416" s="12"/>
      <c r="E416" s="12"/>
    </row>
    <row r="417" spans="1:5" ht="15.75" customHeight="1" x14ac:dyDescent="0.3">
      <c r="A417" s="12"/>
      <c r="B417" s="12"/>
      <c r="C417" s="12"/>
      <c r="D417" s="12"/>
      <c r="E417" s="12"/>
    </row>
    <row r="418" spans="1:5" ht="15.75" customHeight="1" x14ac:dyDescent="0.3">
      <c r="A418" s="12"/>
      <c r="B418" s="12"/>
      <c r="C418" s="12"/>
      <c r="D418" s="12"/>
      <c r="E418" s="12"/>
    </row>
    <row r="419" spans="1:5" ht="15.75" customHeight="1" x14ac:dyDescent="0.3">
      <c r="A419" s="12"/>
      <c r="B419" s="12"/>
      <c r="C419" s="12"/>
      <c r="D419" s="12"/>
      <c r="E419" s="12"/>
    </row>
    <row r="420" spans="1:5" ht="15.75" customHeight="1" x14ac:dyDescent="0.3">
      <c r="A420" s="12"/>
      <c r="B420" s="12"/>
      <c r="C420" s="12"/>
      <c r="D420" s="12"/>
      <c r="E420" s="12"/>
    </row>
    <row r="421" spans="1:5" ht="15.75" customHeight="1" x14ac:dyDescent="0.3">
      <c r="A421" s="12"/>
      <c r="B421" s="12"/>
      <c r="C421" s="12"/>
      <c r="D421" s="12"/>
      <c r="E421" s="12"/>
    </row>
    <row r="422" spans="1:5" ht="15.75" customHeight="1" x14ac:dyDescent="0.3">
      <c r="A422" s="12"/>
      <c r="B422" s="12"/>
      <c r="C422" s="12"/>
      <c r="D422" s="12"/>
      <c r="E422" s="12"/>
    </row>
    <row r="423" spans="1:5" ht="15.75" customHeight="1" x14ac:dyDescent="0.3">
      <c r="A423" s="12"/>
      <c r="B423" s="12"/>
      <c r="C423" s="12"/>
      <c r="D423" s="12"/>
      <c r="E423" s="12"/>
    </row>
    <row r="424" spans="1:5" ht="15.75" customHeight="1" x14ac:dyDescent="0.3">
      <c r="A424" s="12"/>
      <c r="B424" s="12"/>
      <c r="C424" s="12"/>
      <c r="D424" s="12"/>
      <c r="E424" s="12"/>
    </row>
    <row r="425" spans="1:5" ht="15.75" customHeight="1" x14ac:dyDescent="0.3">
      <c r="A425" s="12"/>
      <c r="B425" s="12"/>
      <c r="C425" s="12"/>
      <c r="D425" s="12"/>
      <c r="E425" s="12"/>
    </row>
    <row r="426" spans="1:5" ht="15.75" customHeight="1" x14ac:dyDescent="0.3">
      <c r="A426" s="12"/>
      <c r="B426" s="12"/>
      <c r="C426" s="12"/>
      <c r="D426" s="12"/>
      <c r="E426" s="12"/>
    </row>
    <row r="427" spans="1:5" ht="15.75" customHeight="1" x14ac:dyDescent="0.3">
      <c r="A427" s="12"/>
      <c r="B427" s="12"/>
      <c r="C427" s="12"/>
      <c r="D427" s="12"/>
      <c r="E427" s="12"/>
    </row>
    <row r="428" spans="1:5" ht="15.75" customHeight="1" x14ac:dyDescent="0.3">
      <c r="A428" s="12"/>
      <c r="B428" s="12"/>
      <c r="C428" s="12"/>
      <c r="D428" s="12"/>
      <c r="E428" s="12"/>
    </row>
    <row r="429" spans="1:5" ht="15.75" customHeight="1" x14ac:dyDescent="0.3">
      <c r="A429" s="12"/>
      <c r="B429" s="12"/>
      <c r="C429" s="12"/>
      <c r="D429" s="12"/>
      <c r="E429" s="12"/>
    </row>
    <row r="430" spans="1:5" ht="15.75" customHeight="1" x14ac:dyDescent="0.3">
      <c r="A430" s="12"/>
      <c r="B430" s="12"/>
      <c r="C430" s="12"/>
      <c r="D430" s="12"/>
      <c r="E430" s="12"/>
    </row>
    <row r="431" spans="1:5" ht="15.75" customHeight="1" x14ac:dyDescent="0.3">
      <c r="A431" s="12"/>
      <c r="B431" s="12"/>
      <c r="C431" s="12"/>
      <c r="D431" s="12"/>
      <c r="E431" s="12"/>
    </row>
    <row r="432" spans="1:5" ht="15.75" customHeight="1" x14ac:dyDescent="0.3">
      <c r="A432" s="12"/>
      <c r="B432" s="12"/>
      <c r="C432" s="12"/>
      <c r="D432" s="12"/>
      <c r="E432" s="12"/>
    </row>
    <row r="433" spans="1:5" ht="15.75" customHeight="1" x14ac:dyDescent="0.3">
      <c r="A433" s="12"/>
      <c r="B433" s="12"/>
      <c r="C433" s="12"/>
      <c r="D433" s="12"/>
      <c r="E433" s="12"/>
    </row>
    <row r="434" spans="1:5" ht="15.75" customHeight="1" x14ac:dyDescent="0.3">
      <c r="A434" s="12"/>
      <c r="B434" s="12"/>
      <c r="C434" s="12"/>
      <c r="D434" s="12"/>
      <c r="E434" s="12"/>
    </row>
    <row r="435" spans="1:5" ht="15.75" customHeight="1" x14ac:dyDescent="0.3">
      <c r="A435" s="12"/>
      <c r="B435" s="12"/>
      <c r="C435" s="12"/>
      <c r="D435" s="12"/>
      <c r="E435" s="12"/>
    </row>
    <row r="436" spans="1:5" ht="15.75" customHeight="1" x14ac:dyDescent="0.3">
      <c r="A436" s="12"/>
      <c r="B436" s="12"/>
      <c r="C436" s="12"/>
      <c r="D436" s="12"/>
      <c r="E436" s="12"/>
    </row>
    <row r="437" spans="1:5" ht="15.75" customHeight="1" x14ac:dyDescent="0.3">
      <c r="A437" s="12"/>
      <c r="B437" s="12"/>
      <c r="C437" s="12"/>
      <c r="D437" s="12"/>
      <c r="E437" s="12"/>
    </row>
    <row r="438" spans="1:5" ht="15.75" customHeight="1" x14ac:dyDescent="0.3">
      <c r="A438" s="12"/>
      <c r="B438" s="12"/>
      <c r="C438" s="12"/>
      <c r="D438" s="12"/>
      <c r="E438" s="12"/>
    </row>
    <row r="439" spans="1:5" ht="15.75" customHeight="1" x14ac:dyDescent="0.3">
      <c r="A439" s="12"/>
      <c r="B439" s="12"/>
      <c r="C439" s="12"/>
      <c r="D439" s="12"/>
      <c r="E439" s="12"/>
    </row>
    <row r="440" spans="1:5" ht="15.75" customHeight="1" x14ac:dyDescent="0.3">
      <c r="A440" s="12"/>
      <c r="B440" s="12"/>
      <c r="C440" s="12"/>
      <c r="D440" s="12"/>
      <c r="E440" s="12"/>
    </row>
    <row r="441" spans="1:5" ht="15.75" customHeight="1" x14ac:dyDescent="0.3">
      <c r="A441" s="12"/>
      <c r="B441" s="12"/>
      <c r="C441" s="12"/>
      <c r="D441" s="12"/>
      <c r="E441" s="12"/>
    </row>
    <row r="442" spans="1:5" ht="15.75" customHeight="1" x14ac:dyDescent="0.3">
      <c r="A442" s="12"/>
      <c r="B442" s="12"/>
      <c r="C442" s="12"/>
      <c r="D442" s="12"/>
      <c r="E442" s="12"/>
    </row>
    <row r="443" spans="1:5" ht="15.75" customHeight="1" x14ac:dyDescent="0.3">
      <c r="A443" s="12"/>
      <c r="B443" s="12"/>
      <c r="C443" s="12"/>
      <c r="D443" s="12"/>
      <c r="E443" s="12"/>
    </row>
    <row r="444" spans="1:5" ht="15.75" customHeight="1" x14ac:dyDescent="0.3">
      <c r="A444" s="12"/>
      <c r="B444" s="12"/>
      <c r="C444" s="12"/>
      <c r="D444" s="12"/>
      <c r="E444" s="12"/>
    </row>
    <row r="445" spans="1:5" ht="15.75" customHeight="1" x14ac:dyDescent="0.3">
      <c r="A445" s="12"/>
      <c r="B445" s="12"/>
      <c r="C445" s="12"/>
      <c r="D445" s="12"/>
      <c r="E445" s="12"/>
    </row>
    <row r="446" spans="1:5" ht="15.75" customHeight="1" x14ac:dyDescent="0.3">
      <c r="A446" s="12"/>
      <c r="B446" s="12"/>
      <c r="C446" s="12"/>
      <c r="D446" s="12"/>
      <c r="E446" s="12"/>
    </row>
    <row r="447" spans="1:5" ht="15.75" customHeight="1" x14ac:dyDescent="0.3">
      <c r="A447" s="12"/>
      <c r="B447" s="12"/>
      <c r="C447" s="12"/>
      <c r="D447" s="12"/>
      <c r="E447" s="12"/>
    </row>
    <row r="448" spans="1:5" ht="15.75" customHeight="1" x14ac:dyDescent="0.3">
      <c r="A448" s="12"/>
      <c r="B448" s="12"/>
      <c r="C448" s="12"/>
      <c r="D448" s="12"/>
      <c r="E448" s="12"/>
    </row>
    <row r="449" spans="1:5" ht="15.75" customHeight="1" x14ac:dyDescent="0.3">
      <c r="A449" s="12"/>
      <c r="B449" s="12"/>
      <c r="C449" s="12"/>
      <c r="D449" s="12"/>
      <c r="E449" s="12"/>
    </row>
    <row r="450" spans="1:5" ht="15.75" customHeight="1" x14ac:dyDescent="0.3">
      <c r="A450" s="12"/>
      <c r="B450" s="12"/>
      <c r="C450" s="12"/>
      <c r="D450" s="12"/>
      <c r="E450" s="12"/>
    </row>
    <row r="451" spans="1:5" ht="15.75" customHeight="1" x14ac:dyDescent="0.3">
      <c r="A451" s="12"/>
      <c r="B451" s="12"/>
      <c r="C451" s="12"/>
      <c r="D451" s="12"/>
      <c r="E451" s="12"/>
    </row>
    <row r="452" spans="1:5" ht="15.75" customHeight="1" x14ac:dyDescent="0.3">
      <c r="A452" s="12"/>
      <c r="B452" s="12"/>
      <c r="C452" s="12"/>
      <c r="D452" s="12"/>
      <c r="E452" s="12"/>
    </row>
    <row r="453" spans="1:5" ht="15.75" customHeight="1" x14ac:dyDescent="0.3">
      <c r="A453" s="12"/>
      <c r="B453" s="12"/>
      <c r="C453" s="12"/>
      <c r="D453" s="12"/>
      <c r="E453" s="12"/>
    </row>
    <row r="454" spans="1:5" ht="15.75" customHeight="1" x14ac:dyDescent="0.3">
      <c r="A454" s="12"/>
      <c r="B454" s="12"/>
      <c r="C454" s="12"/>
      <c r="D454" s="12"/>
      <c r="E454" s="12"/>
    </row>
    <row r="455" spans="1:5" ht="15.75" customHeight="1" x14ac:dyDescent="0.3">
      <c r="A455" s="12"/>
      <c r="B455" s="12"/>
      <c r="C455" s="12"/>
      <c r="D455" s="12"/>
      <c r="E455" s="12"/>
    </row>
    <row r="456" spans="1:5" ht="15.75" customHeight="1" x14ac:dyDescent="0.3">
      <c r="A456" s="12"/>
      <c r="B456" s="12"/>
      <c r="C456" s="12"/>
      <c r="D456" s="12"/>
      <c r="E456" s="12"/>
    </row>
    <row r="457" spans="1:5" ht="15.75" customHeight="1" x14ac:dyDescent="0.3">
      <c r="A457" s="12"/>
      <c r="B457" s="12"/>
      <c r="C457" s="12"/>
      <c r="D457" s="12"/>
      <c r="E457" s="12"/>
    </row>
    <row r="458" spans="1:5" ht="15.75" customHeight="1" x14ac:dyDescent="0.3">
      <c r="A458" s="12"/>
      <c r="B458" s="12"/>
      <c r="C458" s="12"/>
      <c r="D458" s="12"/>
      <c r="E458" s="12"/>
    </row>
    <row r="459" spans="1:5" ht="15.75" customHeight="1" x14ac:dyDescent="0.3">
      <c r="A459" s="12"/>
      <c r="B459" s="12"/>
      <c r="C459" s="12"/>
      <c r="D459" s="12"/>
      <c r="E459" s="12"/>
    </row>
    <row r="460" spans="1:5" ht="15.75" customHeight="1" x14ac:dyDescent="0.3">
      <c r="A460" s="12"/>
      <c r="B460" s="12"/>
      <c r="C460" s="12"/>
      <c r="D460" s="12"/>
      <c r="E460" s="12"/>
    </row>
    <row r="461" spans="1:5" ht="15.75" customHeight="1" x14ac:dyDescent="0.3">
      <c r="A461" s="12"/>
      <c r="B461" s="12"/>
      <c r="C461" s="12"/>
      <c r="D461" s="12"/>
      <c r="E461" s="12"/>
    </row>
    <row r="462" spans="1:5" ht="15.75" customHeight="1" x14ac:dyDescent="0.3">
      <c r="A462" s="12"/>
      <c r="B462" s="12"/>
      <c r="C462" s="12"/>
      <c r="D462" s="12"/>
      <c r="E462" s="12"/>
    </row>
    <row r="463" spans="1:5" ht="15.75" customHeight="1" x14ac:dyDescent="0.3">
      <c r="A463" s="12"/>
      <c r="B463" s="12"/>
      <c r="C463" s="12"/>
      <c r="D463" s="12"/>
      <c r="E463" s="12"/>
    </row>
    <row r="464" spans="1:5" ht="15.75" customHeight="1" x14ac:dyDescent="0.3">
      <c r="A464" s="12"/>
      <c r="B464" s="12"/>
      <c r="C464" s="12"/>
      <c r="D464" s="12"/>
      <c r="E464" s="12"/>
    </row>
    <row r="465" spans="1:5" ht="15.75" customHeight="1" x14ac:dyDescent="0.3">
      <c r="A465" s="12"/>
      <c r="B465" s="12"/>
      <c r="C465" s="12"/>
      <c r="D465" s="12"/>
      <c r="E465" s="12"/>
    </row>
    <row r="466" spans="1:5" ht="15.75" customHeight="1" x14ac:dyDescent="0.3">
      <c r="A466" s="12"/>
      <c r="B466" s="12"/>
      <c r="C466" s="12"/>
      <c r="D466" s="12"/>
      <c r="E466" s="12"/>
    </row>
    <row r="467" spans="1:5" ht="15.75" customHeight="1" x14ac:dyDescent="0.3">
      <c r="A467" s="12"/>
      <c r="B467" s="12"/>
      <c r="C467" s="12"/>
      <c r="D467" s="12"/>
      <c r="E467" s="12"/>
    </row>
    <row r="468" spans="1:5" ht="15.75" customHeight="1" x14ac:dyDescent="0.3">
      <c r="A468" s="12"/>
      <c r="B468" s="12"/>
      <c r="C468" s="12"/>
      <c r="D468" s="12"/>
      <c r="E468" s="12"/>
    </row>
    <row r="469" spans="1:5" ht="15.75" customHeight="1" x14ac:dyDescent="0.3">
      <c r="A469" s="12"/>
      <c r="B469" s="12"/>
      <c r="C469" s="12"/>
      <c r="D469" s="12"/>
      <c r="E469" s="12"/>
    </row>
    <row r="470" spans="1:5" ht="15.75" customHeight="1" x14ac:dyDescent="0.3">
      <c r="A470" s="12"/>
      <c r="B470" s="12"/>
      <c r="C470" s="12"/>
      <c r="D470" s="12"/>
      <c r="E470" s="12"/>
    </row>
    <row r="471" spans="1:5" ht="15.75" customHeight="1" x14ac:dyDescent="0.3">
      <c r="A471" s="12"/>
      <c r="B471" s="12"/>
      <c r="C471" s="12"/>
      <c r="D471" s="12"/>
      <c r="E471" s="12"/>
    </row>
    <row r="472" spans="1:5" ht="15.75" customHeight="1" x14ac:dyDescent="0.3">
      <c r="A472" s="12"/>
      <c r="B472" s="12"/>
      <c r="C472" s="12"/>
      <c r="D472" s="12"/>
      <c r="E472" s="12"/>
    </row>
    <row r="473" spans="1:5" ht="15.75" customHeight="1" x14ac:dyDescent="0.3">
      <c r="A473" s="12"/>
      <c r="B473" s="12"/>
      <c r="C473" s="12"/>
      <c r="D473" s="12"/>
      <c r="E473" s="12"/>
    </row>
    <row r="474" spans="1:5" ht="15.75" customHeight="1" x14ac:dyDescent="0.3">
      <c r="A474" s="12"/>
      <c r="B474" s="12"/>
      <c r="C474" s="12"/>
      <c r="D474" s="12"/>
      <c r="E474" s="12"/>
    </row>
    <row r="475" spans="1:5" ht="15.75" customHeight="1" x14ac:dyDescent="0.3">
      <c r="A475" s="12"/>
      <c r="B475" s="12"/>
      <c r="C475" s="12"/>
      <c r="D475" s="12"/>
      <c r="E475" s="12"/>
    </row>
    <row r="476" spans="1:5" ht="15.75" customHeight="1" x14ac:dyDescent="0.3">
      <c r="A476" s="12"/>
      <c r="B476" s="12"/>
      <c r="C476" s="12"/>
      <c r="D476" s="12"/>
      <c r="E476" s="12"/>
    </row>
    <row r="477" spans="1:5" ht="15.75" customHeight="1" x14ac:dyDescent="0.3">
      <c r="A477" s="12"/>
      <c r="B477" s="12"/>
      <c r="C477" s="12"/>
      <c r="D477" s="12"/>
      <c r="E477" s="12"/>
    </row>
    <row r="478" spans="1:5" ht="15.75" customHeight="1" x14ac:dyDescent="0.3">
      <c r="A478" s="12"/>
      <c r="B478" s="12"/>
      <c r="C478" s="12"/>
      <c r="D478" s="12"/>
      <c r="E478" s="12"/>
    </row>
    <row r="479" spans="1:5" ht="15.75" customHeight="1" x14ac:dyDescent="0.3">
      <c r="A479" s="12"/>
      <c r="B479" s="12"/>
      <c r="C479" s="12"/>
      <c r="D479" s="12"/>
      <c r="E479" s="12"/>
    </row>
    <row r="480" spans="1:5" ht="15.75" customHeight="1" x14ac:dyDescent="0.3">
      <c r="A480" s="12"/>
      <c r="B480" s="12"/>
      <c r="C480" s="12"/>
      <c r="D480" s="12"/>
      <c r="E480" s="12"/>
    </row>
    <row r="481" spans="1:5" ht="15.75" customHeight="1" x14ac:dyDescent="0.3">
      <c r="A481" s="12"/>
      <c r="B481" s="12"/>
      <c r="C481" s="12"/>
      <c r="D481" s="12"/>
      <c r="E481" s="12"/>
    </row>
    <row r="482" spans="1:5" ht="15.75" customHeight="1" x14ac:dyDescent="0.3">
      <c r="A482" s="12"/>
      <c r="B482" s="12"/>
      <c r="C482" s="12"/>
      <c r="D482" s="12"/>
      <c r="E482" s="12"/>
    </row>
    <row r="483" spans="1:5" ht="15.75" customHeight="1" x14ac:dyDescent="0.3">
      <c r="A483" s="12"/>
      <c r="B483" s="12"/>
      <c r="C483" s="12"/>
      <c r="D483" s="12"/>
      <c r="E483" s="12"/>
    </row>
    <row r="484" spans="1:5" ht="15.75" customHeight="1" x14ac:dyDescent="0.3">
      <c r="A484" s="12"/>
      <c r="B484" s="12"/>
      <c r="C484" s="12"/>
      <c r="D484" s="12"/>
      <c r="E484" s="12"/>
    </row>
    <row r="485" spans="1:5" ht="15.75" customHeight="1" x14ac:dyDescent="0.3">
      <c r="A485" s="12"/>
      <c r="B485" s="12"/>
      <c r="C485" s="12"/>
      <c r="D485" s="12"/>
      <c r="E485" s="12"/>
    </row>
    <row r="486" spans="1:5" ht="15.75" customHeight="1" x14ac:dyDescent="0.3">
      <c r="A486" s="12"/>
      <c r="B486" s="12"/>
      <c r="C486" s="12"/>
      <c r="D486" s="12"/>
      <c r="E486" s="12"/>
    </row>
    <row r="487" spans="1:5" ht="15.75" customHeight="1" x14ac:dyDescent="0.3">
      <c r="A487" s="12"/>
      <c r="B487" s="12"/>
      <c r="C487" s="12"/>
      <c r="D487" s="12"/>
      <c r="E487" s="12"/>
    </row>
    <row r="488" spans="1:5" ht="15.75" customHeight="1" x14ac:dyDescent="0.3">
      <c r="A488" s="12"/>
      <c r="B488" s="12"/>
      <c r="C488" s="12"/>
      <c r="D488" s="12"/>
      <c r="E488" s="12"/>
    </row>
    <row r="489" spans="1:5" ht="15.75" customHeight="1" x14ac:dyDescent="0.3">
      <c r="A489" s="12"/>
      <c r="B489" s="12"/>
      <c r="C489" s="12"/>
      <c r="D489" s="12"/>
      <c r="E489" s="12"/>
    </row>
    <row r="490" spans="1:5" ht="15.75" customHeight="1" x14ac:dyDescent="0.3">
      <c r="A490" s="12"/>
      <c r="B490" s="12"/>
      <c r="C490" s="12"/>
      <c r="D490" s="12"/>
      <c r="E490" s="12"/>
    </row>
    <row r="491" spans="1:5" ht="15.75" customHeight="1" x14ac:dyDescent="0.3">
      <c r="A491" s="12"/>
      <c r="B491" s="12"/>
      <c r="C491" s="12"/>
      <c r="D491" s="12"/>
      <c r="E491" s="12"/>
    </row>
    <row r="492" spans="1:5" ht="15.75" customHeight="1" x14ac:dyDescent="0.3">
      <c r="A492" s="12"/>
      <c r="B492" s="12"/>
      <c r="C492" s="12"/>
      <c r="D492" s="12"/>
      <c r="E492" s="12"/>
    </row>
    <row r="493" spans="1:5" ht="15.75" customHeight="1" x14ac:dyDescent="0.3">
      <c r="A493" s="12"/>
      <c r="B493" s="12"/>
      <c r="C493" s="12"/>
      <c r="D493" s="12"/>
      <c r="E493" s="12"/>
    </row>
    <row r="494" spans="1:5" ht="15.75" customHeight="1" x14ac:dyDescent="0.3">
      <c r="A494" s="12"/>
      <c r="B494" s="12"/>
      <c r="C494" s="12"/>
      <c r="D494" s="12"/>
      <c r="E494" s="12"/>
    </row>
    <row r="495" spans="1:5" ht="15.75" customHeight="1" x14ac:dyDescent="0.3">
      <c r="A495" s="12"/>
      <c r="B495" s="12"/>
      <c r="C495" s="12"/>
      <c r="D495" s="12"/>
      <c r="E495" s="12"/>
    </row>
    <row r="496" spans="1:5" ht="15.75" customHeight="1" x14ac:dyDescent="0.3">
      <c r="A496" s="12"/>
      <c r="B496" s="12"/>
      <c r="C496" s="12"/>
      <c r="D496" s="12"/>
      <c r="E496" s="12"/>
    </row>
    <row r="497" spans="1:5" ht="15.75" customHeight="1" x14ac:dyDescent="0.3">
      <c r="A497" s="12"/>
      <c r="B497" s="12"/>
      <c r="C497" s="12"/>
      <c r="D497" s="12"/>
      <c r="E497" s="12"/>
    </row>
    <row r="498" spans="1:5" ht="15.75" customHeight="1" x14ac:dyDescent="0.3">
      <c r="A498" s="12"/>
      <c r="B498" s="12"/>
      <c r="C498" s="12"/>
      <c r="D498" s="12"/>
      <c r="E498" s="12"/>
    </row>
    <row r="499" spans="1:5" ht="15.75" customHeight="1" x14ac:dyDescent="0.3">
      <c r="A499" s="12"/>
      <c r="B499" s="12"/>
      <c r="C499" s="12"/>
      <c r="D499" s="12"/>
      <c r="E499" s="12"/>
    </row>
    <row r="500" spans="1:5" ht="15.75" customHeight="1" x14ac:dyDescent="0.3">
      <c r="A500" s="12"/>
      <c r="B500" s="12"/>
      <c r="C500" s="12"/>
      <c r="D500" s="12"/>
      <c r="E500" s="12"/>
    </row>
    <row r="501" spans="1:5" ht="15.75" customHeight="1" x14ac:dyDescent="0.3">
      <c r="A501" s="12"/>
      <c r="B501" s="12"/>
      <c r="C501" s="12"/>
      <c r="D501" s="12"/>
      <c r="E501" s="12"/>
    </row>
    <row r="502" spans="1:5" ht="15.75" customHeight="1" x14ac:dyDescent="0.3">
      <c r="A502" s="12"/>
      <c r="B502" s="12"/>
      <c r="C502" s="12"/>
      <c r="D502" s="12"/>
      <c r="E502" s="12"/>
    </row>
    <row r="503" spans="1:5" ht="15.75" customHeight="1" x14ac:dyDescent="0.3">
      <c r="A503" s="12"/>
      <c r="B503" s="12"/>
      <c r="C503" s="12"/>
      <c r="D503" s="12"/>
      <c r="E503" s="12"/>
    </row>
    <row r="504" spans="1:5" ht="15.75" customHeight="1" x14ac:dyDescent="0.3">
      <c r="A504" s="12"/>
      <c r="B504" s="12"/>
      <c r="C504" s="12"/>
      <c r="D504" s="12"/>
      <c r="E504" s="12"/>
    </row>
    <row r="505" spans="1:5" ht="15.75" customHeight="1" x14ac:dyDescent="0.3">
      <c r="A505" s="12"/>
      <c r="B505" s="12"/>
      <c r="C505" s="12"/>
      <c r="D505" s="12"/>
      <c r="E505" s="12"/>
    </row>
    <row r="506" spans="1:5" ht="15.75" customHeight="1" x14ac:dyDescent="0.3">
      <c r="A506" s="12"/>
      <c r="B506" s="12"/>
      <c r="C506" s="12"/>
      <c r="D506" s="12"/>
      <c r="E506" s="12"/>
    </row>
    <row r="507" spans="1:5" ht="15.75" customHeight="1" x14ac:dyDescent="0.3">
      <c r="A507" s="12"/>
      <c r="B507" s="12"/>
      <c r="C507" s="12"/>
      <c r="D507" s="12"/>
      <c r="E507" s="12"/>
    </row>
    <row r="508" spans="1:5" ht="15.75" customHeight="1" x14ac:dyDescent="0.3">
      <c r="A508" s="12"/>
      <c r="B508" s="12"/>
      <c r="C508" s="12"/>
      <c r="D508" s="12"/>
      <c r="E508" s="12"/>
    </row>
    <row r="509" spans="1:5" ht="15.75" customHeight="1" x14ac:dyDescent="0.3">
      <c r="A509" s="12"/>
      <c r="B509" s="12"/>
      <c r="C509" s="12"/>
      <c r="D509" s="12"/>
      <c r="E509" s="12"/>
    </row>
    <row r="510" spans="1:5" ht="15.75" customHeight="1" x14ac:dyDescent="0.3">
      <c r="A510" s="12"/>
      <c r="B510" s="12"/>
      <c r="C510" s="12"/>
      <c r="D510" s="12"/>
      <c r="E510" s="12"/>
    </row>
    <row r="511" spans="1:5" ht="15.75" customHeight="1" x14ac:dyDescent="0.3">
      <c r="A511" s="12"/>
      <c r="B511" s="12"/>
      <c r="C511" s="12"/>
      <c r="D511" s="12"/>
      <c r="E511" s="12"/>
    </row>
    <row r="512" spans="1:5" ht="15.75" customHeight="1" x14ac:dyDescent="0.3">
      <c r="A512" s="12"/>
      <c r="B512" s="12"/>
      <c r="C512" s="12"/>
      <c r="D512" s="12"/>
      <c r="E512" s="12"/>
    </row>
    <row r="513" spans="1:5" ht="15.75" customHeight="1" x14ac:dyDescent="0.3">
      <c r="A513" s="12"/>
      <c r="B513" s="12"/>
      <c r="C513" s="12"/>
      <c r="D513" s="12"/>
      <c r="E513" s="12"/>
    </row>
    <row r="514" spans="1:5" ht="15.75" customHeight="1" x14ac:dyDescent="0.3">
      <c r="A514" s="12"/>
      <c r="B514" s="12"/>
      <c r="C514" s="12"/>
      <c r="D514" s="12"/>
      <c r="E514" s="12"/>
    </row>
    <row r="515" spans="1:5" ht="15.75" customHeight="1" x14ac:dyDescent="0.3">
      <c r="A515" s="12"/>
      <c r="B515" s="12"/>
      <c r="C515" s="12"/>
      <c r="D515" s="12"/>
      <c r="E515" s="12"/>
    </row>
    <row r="516" spans="1:5" ht="15.75" customHeight="1" x14ac:dyDescent="0.3">
      <c r="A516" s="12"/>
      <c r="B516" s="12"/>
      <c r="C516" s="12"/>
      <c r="D516" s="12"/>
      <c r="E516" s="12"/>
    </row>
    <row r="517" spans="1:5" ht="15.75" customHeight="1" x14ac:dyDescent="0.3">
      <c r="A517" s="12"/>
      <c r="B517" s="12"/>
      <c r="C517" s="12"/>
      <c r="D517" s="12"/>
      <c r="E517" s="12"/>
    </row>
    <row r="518" spans="1:5" ht="15.75" customHeight="1" x14ac:dyDescent="0.3">
      <c r="A518" s="12"/>
      <c r="B518" s="12"/>
      <c r="C518" s="12"/>
      <c r="D518" s="12"/>
      <c r="E518" s="12"/>
    </row>
    <row r="519" spans="1:5" ht="15.75" customHeight="1" x14ac:dyDescent="0.3">
      <c r="A519" s="12"/>
      <c r="B519" s="12"/>
      <c r="C519" s="12"/>
      <c r="D519" s="12"/>
      <c r="E519" s="12"/>
    </row>
    <row r="520" spans="1:5" ht="15.75" customHeight="1" x14ac:dyDescent="0.3">
      <c r="A520" s="12"/>
      <c r="B520" s="12"/>
      <c r="C520" s="12"/>
      <c r="D520" s="12"/>
      <c r="E520" s="12"/>
    </row>
    <row r="521" spans="1:5" ht="15.75" customHeight="1" x14ac:dyDescent="0.3">
      <c r="A521" s="12"/>
      <c r="B521" s="12"/>
      <c r="C521" s="12"/>
      <c r="D521" s="12"/>
      <c r="E521" s="12"/>
    </row>
    <row r="522" spans="1:5" ht="15.75" customHeight="1" x14ac:dyDescent="0.3">
      <c r="A522" s="12"/>
      <c r="B522" s="12"/>
      <c r="C522" s="12"/>
      <c r="D522" s="12"/>
      <c r="E522" s="12"/>
    </row>
    <row r="523" spans="1:5" ht="15.75" customHeight="1" x14ac:dyDescent="0.3">
      <c r="A523" s="12"/>
      <c r="B523" s="12"/>
      <c r="C523" s="12"/>
      <c r="D523" s="12"/>
      <c r="E523" s="12"/>
    </row>
    <row r="524" spans="1:5" ht="15.75" customHeight="1" x14ac:dyDescent="0.3">
      <c r="A524" s="12"/>
      <c r="B524" s="12"/>
      <c r="C524" s="12"/>
      <c r="D524" s="12"/>
      <c r="E524" s="12"/>
    </row>
    <row r="525" spans="1:5" ht="15.75" customHeight="1" x14ac:dyDescent="0.3">
      <c r="A525" s="12"/>
      <c r="B525" s="12"/>
      <c r="C525" s="12"/>
      <c r="D525" s="12"/>
      <c r="E525" s="12"/>
    </row>
    <row r="526" spans="1:5" ht="15.75" customHeight="1" x14ac:dyDescent="0.3">
      <c r="A526" s="12"/>
      <c r="B526" s="12"/>
      <c r="C526" s="12"/>
      <c r="D526" s="12"/>
      <c r="E526" s="12"/>
    </row>
    <row r="527" spans="1:5" ht="15.75" customHeight="1" x14ac:dyDescent="0.3">
      <c r="A527" s="12"/>
      <c r="B527" s="12"/>
      <c r="C527" s="12"/>
      <c r="D527" s="12"/>
      <c r="E527" s="12"/>
    </row>
    <row r="528" spans="1:5" ht="15.75" customHeight="1" x14ac:dyDescent="0.3">
      <c r="A528" s="12"/>
      <c r="B528" s="12"/>
      <c r="C528" s="12"/>
      <c r="D528" s="12"/>
      <c r="E528" s="12"/>
    </row>
    <row r="529" spans="1:5" ht="15.75" customHeight="1" x14ac:dyDescent="0.3">
      <c r="A529" s="12"/>
      <c r="B529" s="12"/>
      <c r="C529" s="12"/>
      <c r="D529" s="12"/>
      <c r="E529" s="12"/>
    </row>
    <row r="530" spans="1:5" ht="15.75" customHeight="1" x14ac:dyDescent="0.3">
      <c r="A530" s="12"/>
      <c r="B530" s="12"/>
      <c r="C530" s="12"/>
      <c r="D530" s="12"/>
      <c r="E530" s="12"/>
    </row>
    <row r="531" spans="1:5" ht="15.75" customHeight="1" x14ac:dyDescent="0.3">
      <c r="A531" s="12"/>
      <c r="B531" s="12"/>
      <c r="C531" s="12"/>
      <c r="D531" s="12"/>
      <c r="E531" s="12"/>
    </row>
    <row r="532" spans="1:5" ht="15.75" customHeight="1" x14ac:dyDescent="0.3">
      <c r="A532" s="12"/>
      <c r="B532" s="12"/>
      <c r="C532" s="12"/>
      <c r="D532" s="12"/>
      <c r="E532" s="12"/>
    </row>
    <row r="533" spans="1:5" ht="15.75" customHeight="1" x14ac:dyDescent="0.3">
      <c r="A533" s="12"/>
      <c r="B533" s="12"/>
      <c r="C533" s="12"/>
      <c r="D533" s="12"/>
      <c r="E533" s="12"/>
    </row>
    <row r="534" spans="1:5" ht="15.75" customHeight="1" x14ac:dyDescent="0.3">
      <c r="A534" s="12"/>
      <c r="B534" s="12"/>
      <c r="C534" s="12"/>
      <c r="D534" s="12"/>
      <c r="E534" s="12"/>
    </row>
    <row r="535" spans="1:5" ht="15.75" customHeight="1" x14ac:dyDescent="0.3">
      <c r="A535" s="12"/>
      <c r="B535" s="12"/>
      <c r="C535" s="12"/>
      <c r="D535" s="12"/>
      <c r="E535" s="12"/>
    </row>
    <row r="536" spans="1:5" ht="15.75" customHeight="1" x14ac:dyDescent="0.3">
      <c r="A536" s="12"/>
      <c r="B536" s="12"/>
      <c r="C536" s="12"/>
      <c r="D536" s="12"/>
      <c r="E536" s="12"/>
    </row>
    <row r="537" spans="1:5" ht="15.75" customHeight="1" x14ac:dyDescent="0.3">
      <c r="A537" s="12"/>
      <c r="B537" s="12"/>
      <c r="C537" s="12"/>
      <c r="D537" s="12"/>
      <c r="E537" s="12"/>
    </row>
    <row r="538" spans="1:5" ht="15.75" customHeight="1" x14ac:dyDescent="0.3">
      <c r="A538" s="12"/>
      <c r="B538" s="12"/>
      <c r="C538" s="12"/>
      <c r="D538" s="12"/>
      <c r="E538" s="12"/>
    </row>
    <row r="539" spans="1:5" ht="15.75" customHeight="1" x14ac:dyDescent="0.3">
      <c r="A539" s="12"/>
      <c r="B539" s="12"/>
      <c r="C539" s="12"/>
      <c r="D539" s="12"/>
      <c r="E539" s="12"/>
    </row>
    <row r="540" spans="1:5" ht="15.75" customHeight="1" x14ac:dyDescent="0.3">
      <c r="A540" s="12"/>
      <c r="B540" s="12"/>
      <c r="C540" s="12"/>
      <c r="D540" s="12"/>
      <c r="E540" s="12"/>
    </row>
    <row r="541" spans="1:5" ht="15.75" customHeight="1" x14ac:dyDescent="0.3">
      <c r="A541" s="12"/>
      <c r="B541" s="12"/>
      <c r="C541" s="12"/>
      <c r="D541" s="12"/>
      <c r="E541" s="12"/>
    </row>
    <row r="542" spans="1:5" ht="15.75" customHeight="1" x14ac:dyDescent="0.3">
      <c r="A542" s="12"/>
      <c r="B542" s="12"/>
      <c r="C542" s="12"/>
      <c r="D542" s="12"/>
      <c r="E542" s="12"/>
    </row>
    <row r="543" spans="1:5" ht="15.75" customHeight="1" x14ac:dyDescent="0.3">
      <c r="A543" s="12"/>
      <c r="B543" s="12"/>
      <c r="C543" s="12"/>
      <c r="D543" s="12"/>
      <c r="E543" s="12"/>
    </row>
    <row r="544" spans="1:5" ht="15.75" customHeight="1" x14ac:dyDescent="0.3">
      <c r="A544" s="12"/>
      <c r="B544" s="12"/>
      <c r="C544" s="12"/>
      <c r="D544" s="12"/>
      <c r="E544" s="12"/>
    </row>
    <row r="545" spans="1:5" ht="15.75" customHeight="1" x14ac:dyDescent="0.3">
      <c r="A545" s="12"/>
      <c r="B545" s="12"/>
      <c r="C545" s="12"/>
      <c r="D545" s="12"/>
      <c r="E545" s="12"/>
    </row>
    <row r="546" spans="1:5" ht="15.75" customHeight="1" x14ac:dyDescent="0.3">
      <c r="A546" s="12"/>
      <c r="B546" s="12"/>
      <c r="C546" s="12"/>
      <c r="D546" s="12"/>
      <c r="E546" s="12"/>
    </row>
    <row r="547" spans="1:5" ht="15.75" customHeight="1" x14ac:dyDescent="0.3">
      <c r="A547" s="12"/>
      <c r="B547" s="12"/>
      <c r="C547" s="12"/>
      <c r="D547" s="12"/>
      <c r="E547" s="12"/>
    </row>
    <row r="548" spans="1:5" ht="15.75" customHeight="1" x14ac:dyDescent="0.3">
      <c r="A548" s="12"/>
      <c r="B548" s="12"/>
      <c r="C548" s="12"/>
      <c r="D548" s="12"/>
      <c r="E548" s="12"/>
    </row>
    <row r="549" spans="1:5" ht="15.75" customHeight="1" x14ac:dyDescent="0.3">
      <c r="A549" s="12"/>
      <c r="B549" s="12"/>
      <c r="C549" s="12"/>
      <c r="D549" s="12"/>
      <c r="E549" s="12"/>
    </row>
    <row r="550" spans="1:5" ht="15.75" customHeight="1" x14ac:dyDescent="0.3">
      <c r="A550" s="12"/>
      <c r="B550" s="12"/>
      <c r="C550" s="12"/>
      <c r="D550" s="12"/>
      <c r="E550" s="12"/>
    </row>
    <row r="551" spans="1:5" ht="15.75" customHeight="1" x14ac:dyDescent="0.3">
      <c r="A551" s="12"/>
      <c r="B551" s="12"/>
      <c r="C551" s="12"/>
      <c r="D551" s="12"/>
      <c r="E551" s="12"/>
    </row>
    <row r="552" spans="1:5" ht="15.75" customHeight="1" x14ac:dyDescent="0.3">
      <c r="A552" s="12"/>
      <c r="B552" s="12"/>
      <c r="C552" s="12"/>
      <c r="D552" s="12"/>
      <c r="E552" s="12"/>
    </row>
    <row r="553" spans="1:5" ht="15.75" customHeight="1" x14ac:dyDescent="0.3">
      <c r="A553" s="12"/>
      <c r="B553" s="12"/>
      <c r="C553" s="12"/>
      <c r="D553" s="12"/>
      <c r="E553" s="12"/>
    </row>
    <row r="554" spans="1:5" ht="15.75" customHeight="1" x14ac:dyDescent="0.3">
      <c r="A554" s="12"/>
      <c r="B554" s="12"/>
      <c r="C554" s="12"/>
      <c r="D554" s="12"/>
      <c r="E554" s="12"/>
    </row>
    <row r="555" spans="1:5" ht="15.75" customHeight="1" x14ac:dyDescent="0.3">
      <c r="A555" s="12"/>
      <c r="B555" s="12"/>
      <c r="C555" s="12"/>
      <c r="D555" s="12"/>
      <c r="E555" s="12"/>
    </row>
    <row r="556" spans="1:5" ht="15.75" customHeight="1" x14ac:dyDescent="0.3">
      <c r="A556" s="12"/>
      <c r="B556" s="12"/>
      <c r="C556" s="12"/>
      <c r="D556" s="12"/>
      <c r="E556" s="12"/>
    </row>
    <row r="557" spans="1:5" ht="15.75" customHeight="1" x14ac:dyDescent="0.3">
      <c r="A557" s="12"/>
      <c r="B557" s="12"/>
      <c r="C557" s="12"/>
      <c r="D557" s="12"/>
      <c r="E557" s="12"/>
    </row>
    <row r="558" spans="1:5" ht="15.75" customHeight="1" x14ac:dyDescent="0.3">
      <c r="A558" s="12"/>
      <c r="B558" s="12"/>
      <c r="C558" s="12"/>
      <c r="D558" s="12"/>
      <c r="E558" s="12"/>
    </row>
    <row r="559" spans="1:5" ht="15.75" customHeight="1" x14ac:dyDescent="0.3">
      <c r="A559" s="12"/>
      <c r="B559" s="12"/>
      <c r="C559" s="12"/>
      <c r="D559" s="12"/>
      <c r="E559" s="12"/>
    </row>
    <row r="560" spans="1:5" ht="15.75" customHeight="1" x14ac:dyDescent="0.3">
      <c r="A560" s="12"/>
      <c r="B560" s="12"/>
      <c r="C560" s="12"/>
      <c r="D560" s="12"/>
      <c r="E560" s="12"/>
    </row>
    <row r="561" spans="1:5" ht="15.75" customHeight="1" x14ac:dyDescent="0.3">
      <c r="A561" s="12"/>
      <c r="B561" s="12"/>
      <c r="C561" s="12"/>
      <c r="D561" s="12"/>
      <c r="E561" s="12"/>
    </row>
    <row r="562" spans="1:5" ht="15.75" customHeight="1" x14ac:dyDescent="0.3">
      <c r="A562" s="12"/>
      <c r="B562" s="12"/>
      <c r="C562" s="12"/>
      <c r="D562" s="12"/>
      <c r="E562" s="12"/>
    </row>
    <row r="563" spans="1:5" ht="15.75" customHeight="1" x14ac:dyDescent="0.3">
      <c r="A563" s="12"/>
      <c r="B563" s="12"/>
      <c r="C563" s="12"/>
      <c r="D563" s="12"/>
      <c r="E563" s="12"/>
    </row>
    <row r="564" spans="1:5" ht="15.75" customHeight="1" x14ac:dyDescent="0.3">
      <c r="A564" s="12"/>
      <c r="B564" s="12"/>
      <c r="C564" s="12"/>
      <c r="D564" s="12"/>
      <c r="E564" s="12"/>
    </row>
    <row r="565" spans="1:5" ht="15.75" customHeight="1" x14ac:dyDescent="0.3">
      <c r="A565" s="12"/>
      <c r="B565" s="12"/>
      <c r="C565" s="12"/>
      <c r="D565" s="12"/>
      <c r="E565" s="12"/>
    </row>
    <row r="566" spans="1:5" ht="15.75" customHeight="1" x14ac:dyDescent="0.3">
      <c r="A566" s="12"/>
      <c r="B566" s="12"/>
      <c r="C566" s="12"/>
      <c r="D566" s="12"/>
      <c r="E566" s="12"/>
    </row>
    <row r="567" spans="1:5" ht="15.75" customHeight="1" x14ac:dyDescent="0.3">
      <c r="A567" s="12"/>
      <c r="B567" s="12"/>
      <c r="C567" s="12"/>
      <c r="D567" s="12"/>
      <c r="E567" s="12"/>
    </row>
    <row r="568" spans="1:5" ht="15.75" customHeight="1" x14ac:dyDescent="0.3">
      <c r="A568" s="12"/>
      <c r="B568" s="12"/>
      <c r="C568" s="12"/>
      <c r="D568" s="12"/>
      <c r="E568" s="12"/>
    </row>
    <row r="569" spans="1:5" ht="15.75" customHeight="1" x14ac:dyDescent="0.3">
      <c r="A569" s="12"/>
      <c r="B569" s="12"/>
      <c r="C569" s="12"/>
      <c r="D569" s="12"/>
      <c r="E569" s="12"/>
    </row>
    <row r="570" spans="1:5" ht="15.75" customHeight="1" x14ac:dyDescent="0.3">
      <c r="A570" s="12"/>
      <c r="B570" s="12"/>
      <c r="C570" s="12"/>
      <c r="D570" s="12"/>
      <c r="E570" s="12"/>
    </row>
    <row r="571" spans="1:5" ht="15.75" customHeight="1" x14ac:dyDescent="0.3">
      <c r="A571" s="12"/>
      <c r="B571" s="12"/>
      <c r="C571" s="12"/>
      <c r="D571" s="12"/>
      <c r="E571" s="12"/>
    </row>
    <row r="572" spans="1:5" ht="15.75" customHeight="1" x14ac:dyDescent="0.3">
      <c r="A572" s="12"/>
      <c r="B572" s="12"/>
      <c r="C572" s="12"/>
      <c r="D572" s="12"/>
      <c r="E572" s="12"/>
    </row>
    <row r="573" spans="1:5" ht="15.75" customHeight="1" x14ac:dyDescent="0.3">
      <c r="A573" s="12"/>
      <c r="B573" s="12"/>
      <c r="C573" s="12"/>
      <c r="D573" s="12"/>
      <c r="E573" s="12"/>
    </row>
    <row r="574" spans="1:5" ht="15.75" customHeight="1" x14ac:dyDescent="0.3">
      <c r="A574" s="12"/>
      <c r="B574" s="12"/>
      <c r="C574" s="12"/>
      <c r="D574" s="12"/>
      <c r="E574" s="12"/>
    </row>
    <row r="575" spans="1:5" ht="15.75" customHeight="1" x14ac:dyDescent="0.3">
      <c r="A575" s="12"/>
      <c r="B575" s="12"/>
      <c r="C575" s="12"/>
      <c r="D575" s="12"/>
      <c r="E575" s="12"/>
    </row>
    <row r="576" spans="1:5" ht="15.75" customHeight="1" x14ac:dyDescent="0.3">
      <c r="A576" s="12"/>
      <c r="B576" s="12"/>
      <c r="C576" s="12"/>
      <c r="D576" s="12"/>
      <c r="E576" s="12"/>
    </row>
    <row r="577" spans="1:5" ht="15.75" customHeight="1" x14ac:dyDescent="0.3">
      <c r="A577" s="12"/>
      <c r="B577" s="12"/>
      <c r="C577" s="12"/>
      <c r="D577" s="12"/>
      <c r="E577" s="12"/>
    </row>
    <row r="578" spans="1:5" ht="15.75" customHeight="1" x14ac:dyDescent="0.3">
      <c r="A578" s="12"/>
      <c r="B578" s="12"/>
      <c r="C578" s="12"/>
      <c r="D578" s="12"/>
      <c r="E578" s="12"/>
    </row>
    <row r="579" spans="1:5" ht="15.75" customHeight="1" x14ac:dyDescent="0.3">
      <c r="A579" s="12"/>
      <c r="B579" s="12"/>
      <c r="C579" s="12"/>
      <c r="D579" s="12"/>
      <c r="E579" s="12"/>
    </row>
    <row r="580" spans="1:5" ht="15.75" customHeight="1" x14ac:dyDescent="0.3">
      <c r="A580" s="12"/>
      <c r="B580" s="12"/>
      <c r="C580" s="12"/>
      <c r="D580" s="12"/>
      <c r="E580" s="12"/>
    </row>
    <row r="581" spans="1:5" ht="15.75" customHeight="1" x14ac:dyDescent="0.3">
      <c r="A581" s="12"/>
      <c r="B581" s="12"/>
      <c r="C581" s="12"/>
      <c r="D581" s="12"/>
      <c r="E581" s="12"/>
    </row>
    <row r="582" spans="1:5" ht="15.75" customHeight="1" x14ac:dyDescent="0.3">
      <c r="A582" s="12"/>
      <c r="B582" s="12"/>
      <c r="C582" s="12"/>
      <c r="D582" s="12"/>
      <c r="E582" s="12"/>
    </row>
    <row r="583" spans="1:5" ht="15.75" customHeight="1" x14ac:dyDescent="0.3">
      <c r="A583" s="12"/>
      <c r="B583" s="12"/>
      <c r="C583" s="12"/>
      <c r="D583" s="12"/>
      <c r="E583" s="12"/>
    </row>
    <row r="584" spans="1:5" ht="15.75" customHeight="1" x14ac:dyDescent="0.3">
      <c r="A584" s="12"/>
      <c r="B584" s="12"/>
      <c r="C584" s="12"/>
      <c r="D584" s="12"/>
      <c r="E584" s="12"/>
    </row>
    <row r="585" spans="1:5" ht="15.75" customHeight="1" x14ac:dyDescent="0.3">
      <c r="A585" s="12"/>
      <c r="B585" s="12"/>
      <c r="C585" s="12"/>
      <c r="D585" s="12"/>
      <c r="E585" s="12"/>
    </row>
    <row r="586" spans="1:5" ht="15.75" customHeight="1" x14ac:dyDescent="0.3">
      <c r="A586" s="12"/>
      <c r="B586" s="12"/>
      <c r="C586" s="12"/>
      <c r="D586" s="12"/>
      <c r="E586" s="12"/>
    </row>
    <row r="587" spans="1:5" ht="15.75" customHeight="1" x14ac:dyDescent="0.3">
      <c r="A587" s="12"/>
      <c r="B587" s="12"/>
      <c r="C587" s="12"/>
      <c r="D587" s="12"/>
      <c r="E587" s="12"/>
    </row>
    <row r="588" spans="1:5" ht="15.75" customHeight="1" x14ac:dyDescent="0.3">
      <c r="A588" s="12"/>
      <c r="B588" s="12"/>
      <c r="C588" s="12"/>
      <c r="D588" s="12"/>
      <c r="E588" s="12"/>
    </row>
    <row r="589" spans="1:5" ht="15.75" customHeight="1" x14ac:dyDescent="0.3">
      <c r="A589" s="12"/>
      <c r="B589" s="12"/>
      <c r="C589" s="12"/>
      <c r="D589" s="12"/>
      <c r="E589" s="12"/>
    </row>
    <row r="590" spans="1:5" ht="15.75" customHeight="1" x14ac:dyDescent="0.3">
      <c r="A590" s="12"/>
      <c r="B590" s="12"/>
      <c r="C590" s="12"/>
      <c r="D590" s="12"/>
      <c r="E590" s="12"/>
    </row>
    <row r="591" spans="1:5" ht="15.75" customHeight="1" x14ac:dyDescent="0.3">
      <c r="A591" s="12"/>
      <c r="B591" s="12"/>
      <c r="C591" s="12"/>
      <c r="D591" s="12"/>
      <c r="E591" s="12"/>
    </row>
    <row r="592" spans="1:5" ht="15.75" customHeight="1" x14ac:dyDescent="0.3">
      <c r="A592" s="12"/>
      <c r="B592" s="12"/>
      <c r="C592" s="12"/>
      <c r="D592" s="12"/>
      <c r="E592" s="12"/>
    </row>
    <row r="593" spans="1:5" ht="15.75" customHeight="1" x14ac:dyDescent="0.3">
      <c r="A593" s="12"/>
      <c r="B593" s="12"/>
      <c r="C593" s="12"/>
      <c r="D593" s="12"/>
      <c r="E593" s="12"/>
    </row>
    <row r="594" spans="1:5" ht="15.75" customHeight="1" x14ac:dyDescent="0.3">
      <c r="A594" s="12"/>
      <c r="B594" s="12"/>
      <c r="C594" s="12"/>
      <c r="D594" s="12"/>
      <c r="E594" s="12"/>
    </row>
    <row r="595" spans="1:5" ht="15.75" customHeight="1" x14ac:dyDescent="0.3">
      <c r="A595" s="12"/>
      <c r="B595" s="12"/>
      <c r="C595" s="12"/>
      <c r="D595" s="12"/>
      <c r="E595" s="12"/>
    </row>
    <row r="596" spans="1:5" ht="15.75" customHeight="1" x14ac:dyDescent="0.3">
      <c r="A596" s="12"/>
      <c r="B596" s="12"/>
      <c r="C596" s="12"/>
      <c r="D596" s="12"/>
      <c r="E596" s="12"/>
    </row>
    <row r="597" spans="1:5" ht="15.75" customHeight="1" x14ac:dyDescent="0.3">
      <c r="A597" s="12"/>
      <c r="B597" s="12"/>
      <c r="C597" s="12"/>
      <c r="D597" s="12"/>
      <c r="E597" s="12"/>
    </row>
    <row r="598" spans="1:5" ht="15.75" customHeight="1" x14ac:dyDescent="0.3">
      <c r="A598" s="12"/>
      <c r="B598" s="12"/>
      <c r="C598" s="12"/>
      <c r="D598" s="12"/>
      <c r="E598" s="12"/>
    </row>
    <row r="599" spans="1:5" ht="15.75" customHeight="1" x14ac:dyDescent="0.3">
      <c r="A599" s="12"/>
      <c r="B599" s="12"/>
      <c r="C599" s="12"/>
      <c r="D599" s="12"/>
      <c r="E599" s="12"/>
    </row>
    <row r="600" spans="1:5" ht="15.75" customHeight="1" x14ac:dyDescent="0.3">
      <c r="A600" s="12"/>
      <c r="B600" s="12"/>
      <c r="C600" s="12"/>
      <c r="D600" s="12"/>
      <c r="E600" s="12"/>
    </row>
    <row r="601" spans="1:5" ht="15.75" customHeight="1" x14ac:dyDescent="0.3">
      <c r="A601" s="12"/>
      <c r="B601" s="12"/>
      <c r="C601" s="12"/>
      <c r="D601" s="12"/>
      <c r="E601" s="12"/>
    </row>
    <row r="602" spans="1:5" ht="15.75" customHeight="1" x14ac:dyDescent="0.3">
      <c r="A602" s="12"/>
      <c r="B602" s="12"/>
      <c r="C602" s="12"/>
      <c r="D602" s="12"/>
      <c r="E602" s="12"/>
    </row>
    <row r="603" spans="1:5" ht="15.75" customHeight="1" x14ac:dyDescent="0.3">
      <c r="A603" s="12"/>
      <c r="B603" s="12"/>
      <c r="C603" s="12"/>
      <c r="D603" s="12"/>
      <c r="E603" s="12"/>
    </row>
    <row r="604" spans="1:5" ht="15.75" customHeight="1" x14ac:dyDescent="0.3">
      <c r="A604" s="12"/>
      <c r="B604" s="12"/>
      <c r="C604" s="12"/>
      <c r="D604" s="12"/>
      <c r="E604" s="12"/>
    </row>
    <row r="605" spans="1:5" ht="15.75" customHeight="1" x14ac:dyDescent="0.3">
      <c r="A605" s="12"/>
      <c r="B605" s="12"/>
      <c r="C605" s="12"/>
      <c r="D605" s="12"/>
      <c r="E605" s="12"/>
    </row>
    <row r="606" spans="1:5" ht="15.75" customHeight="1" x14ac:dyDescent="0.3">
      <c r="A606" s="12"/>
      <c r="B606" s="12"/>
      <c r="C606" s="12"/>
      <c r="D606" s="12"/>
      <c r="E606" s="12"/>
    </row>
    <row r="607" spans="1:5" ht="15.75" customHeight="1" x14ac:dyDescent="0.3">
      <c r="A607" s="12"/>
      <c r="B607" s="12"/>
      <c r="C607" s="12"/>
      <c r="D607" s="12"/>
      <c r="E607" s="12"/>
    </row>
    <row r="608" spans="1:5" ht="15.75" customHeight="1" x14ac:dyDescent="0.3">
      <c r="A608" s="12"/>
      <c r="B608" s="12"/>
      <c r="C608" s="12"/>
      <c r="D608" s="12"/>
      <c r="E608" s="12"/>
    </row>
    <row r="609" spans="1:5" ht="15.75" customHeight="1" x14ac:dyDescent="0.3">
      <c r="A609" s="12"/>
      <c r="B609" s="12"/>
      <c r="C609" s="12"/>
      <c r="D609" s="12"/>
      <c r="E609" s="12"/>
    </row>
    <row r="610" spans="1:5" ht="15.75" customHeight="1" x14ac:dyDescent="0.3">
      <c r="A610" s="12"/>
      <c r="B610" s="12"/>
      <c r="C610" s="12"/>
      <c r="D610" s="12"/>
      <c r="E610" s="12"/>
    </row>
    <row r="611" spans="1:5" ht="15.75" customHeight="1" x14ac:dyDescent="0.3">
      <c r="A611" s="12"/>
      <c r="B611" s="12"/>
      <c r="C611" s="12"/>
      <c r="D611" s="12"/>
      <c r="E611" s="12"/>
    </row>
    <row r="612" spans="1:5" ht="15.75" customHeight="1" x14ac:dyDescent="0.3">
      <c r="A612" s="12"/>
      <c r="B612" s="12"/>
      <c r="C612" s="12"/>
      <c r="D612" s="12"/>
      <c r="E612" s="12"/>
    </row>
    <row r="613" spans="1:5" ht="15.75" customHeight="1" x14ac:dyDescent="0.3">
      <c r="A613" s="12"/>
      <c r="B613" s="12"/>
      <c r="C613" s="12"/>
      <c r="D613" s="12"/>
      <c r="E613" s="12"/>
    </row>
    <row r="614" spans="1:5" ht="15.75" customHeight="1" x14ac:dyDescent="0.3">
      <c r="A614" s="12"/>
      <c r="B614" s="12"/>
      <c r="C614" s="12"/>
      <c r="D614" s="12"/>
      <c r="E614" s="12"/>
    </row>
    <row r="615" spans="1:5" ht="15.75" customHeight="1" x14ac:dyDescent="0.3">
      <c r="A615" s="12"/>
      <c r="B615" s="12"/>
      <c r="C615" s="12"/>
      <c r="D615" s="12"/>
      <c r="E615" s="12"/>
    </row>
    <row r="616" spans="1:5" ht="15.75" customHeight="1" x14ac:dyDescent="0.3">
      <c r="A616" s="12"/>
      <c r="B616" s="12"/>
      <c r="C616" s="12"/>
      <c r="D616" s="12"/>
      <c r="E616" s="12"/>
    </row>
    <row r="617" spans="1:5" ht="15.75" customHeight="1" x14ac:dyDescent="0.3">
      <c r="A617" s="12"/>
      <c r="B617" s="12"/>
      <c r="C617" s="12"/>
      <c r="D617" s="12"/>
      <c r="E617" s="12"/>
    </row>
    <row r="618" spans="1:5" ht="15.75" customHeight="1" x14ac:dyDescent="0.3">
      <c r="A618" s="12"/>
      <c r="B618" s="12"/>
      <c r="C618" s="12"/>
      <c r="D618" s="12"/>
      <c r="E618" s="12"/>
    </row>
    <row r="619" spans="1:5" ht="15.75" customHeight="1" x14ac:dyDescent="0.3">
      <c r="A619" s="12"/>
      <c r="B619" s="12"/>
      <c r="C619" s="12"/>
      <c r="D619" s="12"/>
      <c r="E619" s="12"/>
    </row>
    <row r="620" spans="1:5" ht="15.75" customHeight="1" x14ac:dyDescent="0.3">
      <c r="A620" s="12"/>
      <c r="B620" s="12"/>
      <c r="C620" s="12"/>
      <c r="D620" s="12"/>
      <c r="E620" s="12"/>
    </row>
    <row r="621" spans="1:5" ht="15.75" customHeight="1" x14ac:dyDescent="0.3">
      <c r="A621" s="12"/>
      <c r="B621" s="12"/>
      <c r="C621" s="12"/>
      <c r="D621" s="12"/>
      <c r="E621" s="12"/>
    </row>
    <row r="622" spans="1:5" ht="15.75" customHeight="1" x14ac:dyDescent="0.3">
      <c r="A622" s="12"/>
      <c r="B622" s="12"/>
      <c r="C622" s="12"/>
      <c r="D622" s="12"/>
      <c r="E622" s="12"/>
    </row>
    <row r="623" spans="1:5" ht="15.75" customHeight="1" x14ac:dyDescent="0.3">
      <c r="A623" s="12"/>
      <c r="B623" s="12"/>
      <c r="C623" s="12"/>
      <c r="D623" s="12"/>
      <c r="E623" s="12"/>
    </row>
    <row r="624" spans="1:5" ht="15.75" customHeight="1" x14ac:dyDescent="0.3">
      <c r="A624" s="12"/>
      <c r="B624" s="12"/>
      <c r="C624" s="12"/>
      <c r="D624" s="12"/>
      <c r="E624" s="12"/>
    </row>
    <row r="625" spans="1:5" ht="15.75" customHeight="1" x14ac:dyDescent="0.3">
      <c r="A625" s="12"/>
      <c r="B625" s="12"/>
      <c r="C625" s="12"/>
      <c r="D625" s="12"/>
      <c r="E625" s="12"/>
    </row>
    <row r="626" spans="1:5" ht="15.75" customHeight="1" x14ac:dyDescent="0.3">
      <c r="A626" s="12"/>
      <c r="B626" s="12"/>
      <c r="C626" s="12"/>
      <c r="D626" s="12"/>
      <c r="E626" s="12"/>
    </row>
    <row r="627" spans="1:5" ht="15.75" customHeight="1" x14ac:dyDescent="0.3">
      <c r="A627" s="12"/>
      <c r="B627" s="12"/>
      <c r="C627" s="12"/>
      <c r="D627" s="12"/>
      <c r="E627" s="12"/>
    </row>
    <row r="628" spans="1:5" ht="15.75" customHeight="1" x14ac:dyDescent="0.3">
      <c r="A628" s="12"/>
      <c r="B628" s="12"/>
      <c r="C628" s="12"/>
      <c r="D628" s="12"/>
      <c r="E628" s="12"/>
    </row>
    <row r="629" spans="1:5" ht="15.75" customHeight="1" x14ac:dyDescent="0.3">
      <c r="A629" s="12"/>
      <c r="B629" s="12"/>
      <c r="C629" s="12"/>
      <c r="D629" s="12"/>
      <c r="E629" s="12"/>
    </row>
    <row r="630" spans="1:5" ht="15.75" customHeight="1" x14ac:dyDescent="0.3">
      <c r="A630" s="12"/>
      <c r="B630" s="12"/>
      <c r="C630" s="12"/>
      <c r="D630" s="12"/>
      <c r="E630" s="12"/>
    </row>
    <row r="631" spans="1:5" ht="15.75" customHeight="1" x14ac:dyDescent="0.3">
      <c r="A631" s="12"/>
      <c r="B631" s="12"/>
      <c r="C631" s="12"/>
      <c r="D631" s="12"/>
      <c r="E631" s="12"/>
    </row>
    <row r="632" spans="1:5" ht="15.75" customHeight="1" x14ac:dyDescent="0.3">
      <c r="A632" s="12"/>
      <c r="B632" s="12"/>
      <c r="C632" s="12"/>
      <c r="D632" s="12"/>
      <c r="E632" s="12"/>
    </row>
    <row r="633" spans="1:5" ht="15.75" customHeight="1" x14ac:dyDescent="0.3">
      <c r="A633" s="12"/>
      <c r="B633" s="12"/>
      <c r="C633" s="12"/>
      <c r="D633" s="12"/>
      <c r="E633" s="12"/>
    </row>
    <row r="634" spans="1:5" ht="15.75" customHeight="1" x14ac:dyDescent="0.3">
      <c r="A634" s="12"/>
      <c r="B634" s="12"/>
      <c r="C634" s="12"/>
      <c r="D634" s="12"/>
      <c r="E634" s="12"/>
    </row>
    <row r="635" spans="1:5" ht="15.75" customHeight="1" x14ac:dyDescent="0.3">
      <c r="A635" s="12"/>
      <c r="B635" s="12"/>
      <c r="C635" s="12"/>
      <c r="D635" s="12"/>
      <c r="E635" s="12"/>
    </row>
    <row r="636" spans="1:5" ht="15.75" customHeight="1" x14ac:dyDescent="0.3">
      <c r="A636" s="12"/>
      <c r="B636" s="12"/>
      <c r="C636" s="12"/>
      <c r="D636" s="12"/>
      <c r="E636" s="12"/>
    </row>
    <row r="637" spans="1:5" ht="15.75" customHeight="1" x14ac:dyDescent="0.3">
      <c r="A637" s="12"/>
      <c r="B637" s="12"/>
      <c r="C637" s="12"/>
      <c r="D637" s="12"/>
      <c r="E637" s="12"/>
    </row>
    <row r="638" spans="1:5" ht="15.75" customHeight="1" x14ac:dyDescent="0.3">
      <c r="A638" s="12"/>
      <c r="B638" s="12"/>
      <c r="C638" s="12"/>
      <c r="D638" s="12"/>
      <c r="E638" s="12"/>
    </row>
    <row r="639" spans="1:5" ht="15.75" customHeight="1" x14ac:dyDescent="0.3">
      <c r="A639" s="12"/>
      <c r="B639" s="12"/>
      <c r="C639" s="12"/>
      <c r="D639" s="12"/>
      <c r="E639" s="12"/>
    </row>
    <row r="640" spans="1:5" ht="15.75" customHeight="1" x14ac:dyDescent="0.3">
      <c r="A640" s="12"/>
      <c r="B640" s="12"/>
      <c r="C640" s="12"/>
      <c r="D640" s="12"/>
      <c r="E640" s="12"/>
    </row>
    <row r="641" spans="1:5" ht="15.75" customHeight="1" x14ac:dyDescent="0.3">
      <c r="A641" s="12"/>
      <c r="B641" s="12"/>
      <c r="C641" s="12"/>
      <c r="D641" s="12"/>
      <c r="E641" s="12"/>
    </row>
    <row r="642" spans="1:5" ht="15.75" customHeight="1" x14ac:dyDescent="0.3">
      <c r="A642" s="12"/>
      <c r="B642" s="12"/>
      <c r="C642" s="12"/>
      <c r="D642" s="12"/>
      <c r="E642" s="12"/>
    </row>
    <row r="643" spans="1:5" ht="15.75" customHeight="1" x14ac:dyDescent="0.3">
      <c r="A643" s="12"/>
      <c r="B643" s="12"/>
      <c r="C643" s="12"/>
      <c r="D643" s="12"/>
      <c r="E643" s="12"/>
    </row>
    <row r="644" spans="1:5" ht="15.75" customHeight="1" x14ac:dyDescent="0.3">
      <c r="A644" s="12"/>
      <c r="B644" s="12"/>
      <c r="C644" s="12"/>
      <c r="D644" s="12"/>
      <c r="E644" s="12"/>
    </row>
    <row r="645" spans="1:5" ht="15.75" customHeight="1" x14ac:dyDescent="0.3">
      <c r="A645" s="12"/>
      <c r="B645" s="12"/>
      <c r="C645" s="12"/>
      <c r="D645" s="12"/>
      <c r="E645" s="12"/>
    </row>
    <row r="646" spans="1:5" ht="15.75" customHeight="1" x14ac:dyDescent="0.3">
      <c r="A646" s="12"/>
      <c r="B646" s="12"/>
      <c r="C646" s="12"/>
      <c r="D646" s="12"/>
      <c r="E646" s="12"/>
    </row>
    <row r="647" spans="1:5" ht="15.75" customHeight="1" x14ac:dyDescent="0.3">
      <c r="A647" s="12"/>
      <c r="B647" s="12"/>
      <c r="C647" s="12"/>
      <c r="D647" s="12"/>
      <c r="E647" s="12"/>
    </row>
    <row r="648" spans="1:5" ht="15.75" customHeight="1" x14ac:dyDescent="0.3">
      <c r="A648" s="12"/>
      <c r="B648" s="12"/>
      <c r="C648" s="12"/>
      <c r="D648" s="12"/>
      <c r="E648" s="12"/>
    </row>
    <row r="649" spans="1:5" ht="15.75" customHeight="1" x14ac:dyDescent="0.3">
      <c r="A649" s="12"/>
      <c r="B649" s="12"/>
      <c r="C649" s="12"/>
      <c r="D649" s="12"/>
      <c r="E649" s="12"/>
    </row>
    <row r="650" spans="1:5" ht="15.75" customHeight="1" x14ac:dyDescent="0.3">
      <c r="A650" s="12"/>
      <c r="B650" s="12"/>
      <c r="C650" s="12"/>
      <c r="D650" s="12"/>
      <c r="E650" s="12"/>
    </row>
    <row r="651" spans="1:5" ht="15.75" customHeight="1" x14ac:dyDescent="0.3">
      <c r="A651" s="12"/>
      <c r="B651" s="12"/>
      <c r="C651" s="12"/>
      <c r="D651" s="12"/>
      <c r="E651" s="12"/>
    </row>
    <row r="652" spans="1:5" ht="15.75" customHeight="1" x14ac:dyDescent="0.3">
      <c r="A652" s="12"/>
      <c r="B652" s="12"/>
      <c r="C652" s="12"/>
      <c r="D652" s="12"/>
      <c r="E652" s="12"/>
    </row>
    <row r="653" spans="1:5" ht="15.75" customHeight="1" x14ac:dyDescent="0.3">
      <c r="A653" s="12"/>
      <c r="B653" s="12"/>
      <c r="C653" s="12"/>
      <c r="D653" s="12"/>
      <c r="E653" s="12"/>
    </row>
    <row r="654" spans="1:5" ht="15.75" customHeight="1" x14ac:dyDescent="0.3">
      <c r="A654" s="12"/>
      <c r="B654" s="12"/>
      <c r="C654" s="12"/>
      <c r="D654" s="12"/>
      <c r="E654" s="12"/>
    </row>
    <row r="655" spans="1:5" ht="15.75" customHeight="1" x14ac:dyDescent="0.3">
      <c r="A655" s="12"/>
      <c r="B655" s="12"/>
      <c r="C655" s="12"/>
      <c r="D655" s="12"/>
      <c r="E655" s="12"/>
    </row>
    <row r="656" spans="1:5" ht="15.75" customHeight="1" x14ac:dyDescent="0.3">
      <c r="A656" s="12"/>
      <c r="B656" s="12"/>
      <c r="C656" s="12"/>
      <c r="D656" s="12"/>
      <c r="E656" s="12"/>
    </row>
    <row r="657" spans="1:5" ht="15.75" customHeight="1" x14ac:dyDescent="0.3">
      <c r="A657" s="12"/>
      <c r="B657" s="12"/>
      <c r="C657" s="12"/>
      <c r="D657" s="12"/>
      <c r="E657" s="12"/>
    </row>
    <row r="658" spans="1:5" ht="15.75" customHeight="1" x14ac:dyDescent="0.3">
      <c r="A658" s="12"/>
      <c r="B658" s="12"/>
      <c r="C658" s="12"/>
      <c r="D658" s="12"/>
      <c r="E658" s="12"/>
    </row>
    <row r="659" spans="1:5" ht="15.75" customHeight="1" x14ac:dyDescent="0.3">
      <c r="A659" s="12"/>
      <c r="B659" s="12"/>
      <c r="C659" s="12"/>
      <c r="D659" s="12"/>
      <c r="E659" s="12"/>
    </row>
    <row r="660" spans="1:5" ht="15.75" customHeight="1" x14ac:dyDescent="0.3">
      <c r="A660" s="12"/>
      <c r="B660" s="12"/>
      <c r="C660" s="12"/>
      <c r="D660" s="12"/>
      <c r="E660" s="12"/>
    </row>
    <row r="661" spans="1:5" ht="15.75" customHeight="1" x14ac:dyDescent="0.3">
      <c r="A661" s="12"/>
      <c r="B661" s="12"/>
      <c r="C661" s="12"/>
      <c r="D661" s="12"/>
      <c r="E661" s="12"/>
    </row>
    <row r="662" spans="1:5" ht="15.75" customHeight="1" x14ac:dyDescent="0.3">
      <c r="A662" s="12"/>
      <c r="B662" s="12"/>
      <c r="C662" s="12"/>
      <c r="D662" s="12"/>
      <c r="E662" s="12"/>
    </row>
    <row r="663" spans="1:5" ht="15.75" customHeight="1" x14ac:dyDescent="0.3">
      <c r="A663" s="12"/>
      <c r="B663" s="12"/>
      <c r="C663" s="12"/>
      <c r="D663" s="12"/>
      <c r="E663" s="12"/>
    </row>
    <row r="664" spans="1:5" ht="15.75" customHeight="1" x14ac:dyDescent="0.3">
      <c r="A664" s="12"/>
      <c r="B664" s="12"/>
      <c r="C664" s="12"/>
      <c r="D664" s="12"/>
      <c r="E664" s="12"/>
    </row>
    <row r="665" spans="1:5" ht="15.75" customHeight="1" x14ac:dyDescent="0.3">
      <c r="A665" s="12"/>
      <c r="B665" s="12"/>
      <c r="C665" s="12"/>
      <c r="D665" s="12"/>
      <c r="E665" s="12"/>
    </row>
    <row r="666" spans="1:5" ht="15.75" customHeight="1" x14ac:dyDescent="0.3">
      <c r="A666" s="12"/>
      <c r="B666" s="12"/>
      <c r="C666" s="12"/>
      <c r="D666" s="12"/>
      <c r="E666" s="12"/>
    </row>
    <row r="667" spans="1:5" ht="15.75" customHeight="1" x14ac:dyDescent="0.3">
      <c r="A667" s="12"/>
      <c r="B667" s="12"/>
      <c r="C667" s="12"/>
      <c r="D667" s="12"/>
      <c r="E667" s="12"/>
    </row>
    <row r="668" spans="1:5" ht="15.75" customHeight="1" x14ac:dyDescent="0.3">
      <c r="A668" s="12"/>
      <c r="B668" s="12"/>
      <c r="C668" s="12"/>
      <c r="D668" s="12"/>
      <c r="E668" s="12"/>
    </row>
    <row r="669" spans="1:5" ht="15.75" customHeight="1" x14ac:dyDescent="0.3">
      <c r="A669" s="12"/>
      <c r="B669" s="12"/>
      <c r="C669" s="12"/>
      <c r="D669" s="12"/>
      <c r="E669" s="12"/>
    </row>
    <row r="670" spans="1:5" ht="15.75" customHeight="1" x14ac:dyDescent="0.3">
      <c r="A670" s="12"/>
      <c r="B670" s="12"/>
      <c r="C670" s="12"/>
      <c r="D670" s="12"/>
      <c r="E670" s="12"/>
    </row>
    <row r="671" spans="1:5" ht="15.75" customHeight="1" x14ac:dyDescent="0.3">
      <c r="A671" s="12"/>
      <c r="B671" s="12"/>
      <c r="C671" s="12"/>
      <c r="D671" s="12"/>
      <c r="E671" s="12"/>
    </row>
    <row r="672" spans="1:5" ht="15.75" customHeight="1" x14ac:dyDescent="0.3">
      <c r="A672" s="12"/>
      <c r="B672" s="12"/>
      <c r="C672" s="12"/>
      <c r="D672" s="12"/>
      <c r="E672" s="12"/>
    </row>
    <row r="673" spans="1:5" ht="15.75" customHeight="1" x14ac:dyDescent="0.3">
      <c r="A673" s="12"/>
      <c r="B673" s="12"/>
      <c r="C673" s="12"/>
      <c r="D673" s="12"/>
      <c r="E673" s="12"/>
    </row>
    <row r="674" spans="1:5" ht="15.75" customHeight="1" x14ac:dyDescent="0.3">
      <c r="A674" s="12"/>
      <c r="B674" s="12"/>
      <c r="C674" s="12"/>
      <c r="D674" s="12"/>
      <c r="E674" s="12"/>
    </row>
    <row r="675" spans="1:5" ht="15.75" customHeight="1" x14ac:dyDescent="0.3">
      <c r="A675" s="12"/>
      <c r="B675" s="12"/>
      <c r="C675" s="12"/>
      <c r="D675" s="12"/>
      <c r="E675" s="12"/>
    </row>
    <row r="676" spans="1:5" ht="15.75" customHeight="1" x14ac:dyDescent="0.3">
      <c r="A676" s="12"/>
      <c r="B676" s="12"/>
      <c r="C676" s="12"/>
      <c r="D676" s="12"/>
      <c r="E676" s="12"/>
    </row>
    <row r="677" spans="1:5" ht="15.75" customHeight="1" x14ac:dyDescent="0.3">
      <c r="A677" s="12"/>
      <c r="B677" s="12"/>
      <c r="C677" s="12"/>
      <c r="D677" s="12"/>
      <c r="E677" s="12"/>
    </row>
    <row r="678" spans="1:5" ht="15.75" customHeight="1" x14ac:dyDescent="0.3">
      <c r="A678" s="12"/>
      <c r="B678" s="12"/>
      <c r="C678" s="12"/>
      <c r="D678" s="12"/>
      <c r="E678" s="12"/>
    </row>
    <row r="679" spans="1:5" ht="15.75" customHeight="1" x14ac:dyDescent="0.3">
      <c r="A679" s="12"/>
      <c r="B679" s="12"/>
      <c r="C679" s="12"/>
      <c r="D679" s="12"/>
      <c r="E679" s="12"/>
    </row>
    <row r="680" spans="1:5" ht="15.75" customHeight="1" x14ac:dyDescent="0.3">
      <c r="A680" s="12"/>
      <c r="B680" s="12"/>
      <c r="C680" s="12"/>
      <c r="D680" s="12"/>
      <c r="E680" s="12"/>
    </row>
    <row r="681" spans="1:5" ht="15.75" customHeight="1" x14ac:dyDescent="0.3">
      <c r="A681" s="12"/>
      <c r="B681" s="12"/>
      <c r="C681" s="12"/>
      <c r="D681" s="12"/>
      <c r="E681" s="12"/>
    </row>
    <row r="682" spans="1:5" ht="15.75" customHeight="1" x14ac:dyDescent="0.3">
      <c r="A682" s="12"/>
      <c r="B682" s="12"/>
      <c r="C682" s="12"/>
      <c r="D682" s="12"/>
      <c r="E682" s="12"/>
    </row>
    <row r="683" spans="1:5" ht="15.75" customHeight="1" x14ac:dyDescent="0.3">
      <c r="A683" s="12"/>
      <c r="B683" s="12"/>
      <c r="C683" s="12"/>
      <c r="D683" s="12"/>
      <c r="E683" s="12"/>
    </row>
    <row r="684" spans="1:5" ht="15.75" customHeight="1" x14ac:dyDescent="0.3">
      <c r="A684" s="12"/>
      <c r="B684" s="12"/>
      <c r="C684" s="12"/>
      <c r="D684" s="12"/>
      <c r="E684" s="12"/>
    </row>
    <row r="685" spans="1:5" ht="15.75" customHeight="1" x14ac:dyDescent="0.3">
      <c r="A685" s="12"/>
      <c r="B685" s="12"/>
      <c r="C685" s="12"/>
      <c r="D685" s="12"/>
      <c r="E685" s="12"/>
    </row>
    <row r="686" spans="1:5" ht="15.75" customHeight="1" x14ac:dyDescent="0.3">
      <c r="A686" s="12"/>
      <c r="B686" s="12"/>
      <c r="C686" s="12"/>
      <c r="D686" s="12"/>
      <c r="E686" s="12"/>
    </row>
    <row r="687" spans="1:5" ht="15.75" customHeight="1" x14ac:dyDescent="0.3">
      <c r="A687" s="12"/>
      <c r="B687" s="12"/>
      <c r="C687" s="12"/>
      <c r="D687" s="12"/>
      <c r="E687" s="12"/>
    </row>
    <row r="688" spans="1:5" ht="15.75" customHeight="1" x14ac:dyDescent="0.3">
      <c r="A688" s="12"/>
      <c r="B688" s="12"/>
      <c r="C688" s="12"/>
      <c r="D688" s="12"/>
      <c r="E688" s="12"/>
    </row>
    <row r="689" spans="1:5" ht="15.75" customHeight="1" x14ac:dyDescent="0.3">
      <c r="A689" s="12"/>
      <c r="B689" s="12"/>
      <c r="C689" s="12"/>
      <c r="D689" s="12"/>
      <c r="E689" s="12"/>
    </row>
    <row r="690" spans="1:5" ht="15.75" customHeight="1" x14ac:dyDescent="0.3">
      <c r="A690" s="12"/>
      <c r="B690" s="12"/>
      <c r="C690" s="12"/>
      <c r="D690" s="12"/>
      <c r="E690" s="12"/>
    </row>
    <row r="691" spans="1:5" ht="15.75" customHeight="1" x14ac:dyDescent="0.3">
      <c r="A691" s="12"/>
      <c r="B691" s="12"/>
      <c r="C691" s="12"/>
      <c r="D691" s="12"/>
      <c r="E691" s="12"/>
    </row>
    <row r="692" spans="1:5" ht="15.75" customHeight="1" x14ac:dyDescent="0.3">
      <c r="A692" s="12"/>
      <c r="B692" s="12"/>
      <c r="C692" s="12"/>
      <c r="D692" s="12"/>
      <c r="E692" s="12"/>
    </row>
    <row r="693" spans="1:5" ht="15.75" customHeight="1" x14ac:dyDescent="0.3">
      <c r="A693" s="12"/>
      <c r="B693" s="12"/>
      <c r="C693" s="12"/>
      <c r="D693" s="12"/>
      <c r="E693" s="12"/>
    </row>
    <row r="694" spans="1:5" ht="15.75" customHeight="1" x14ac:dyDescent="0.3">
      <c r="A694" s="12"/>
      <c r="B694" s="12"/>
      <c r="C694" s="12"/>
      <c r="D694" s="12"/>
      <c r="E694" s="12"/>
    </row>
    <row r="695" spans="1:5" ht="15.75" customHeight="1" x14ac:dyDescent="0.3">
      <c r="A695" s="12"/>
      <c r="B695" s="12"/>
      <c r="C695" s="12"/>
      <c r="D695" s="12"/>
      <c r="E695" s="12"/>
    </row>
    <row r="696" spans="1:5" ht="15.75" customHeight="1" x14ac:dyDescent="0.3">
      <c r="A696" s="12"/>
      <c r="B696" s="12"/>
      <c r="C696" s="12"/>
      <c r="D696" s="12"/>
      <c r="E696" s="12"/>
    </row>
    <row r="697" spans="1:5" ht="15.75" customHeight="1" x14ac:dyDescent="0.3">
      <c r="A697" s="12"/>
      <c r="B697" s="12"/>
      <c r="C697" s="12"/>
      <c r="D697" s="12"/>
      <c r="E697" s="12"/>
    </row>
    <row r="698" spans="1:5" ht="15.75" customHeight="1" x14ac:dyDescent="0.3">
      <c r="A698" s="12"/>
      <c r="B698" s="12"/>
      <c r="C698" s="12"/>
      <c r="D698" s="12"/>
      <c r="E698" s="12"/>
    </row>
    <row r="699" spans="1:5" ht="15.75" customHeight="1" x14ac:dyDescent="0.3">
      <c r="A699" s="12"/>
      <c r="B699" s="12"/>
      <c r="C699" s="12"/>
      <c r="D699" s="12"/>
      <c r="E699" s="12"/>
    </row>
    <row r="700" spans="1:5" ht="15.75" customHeight="1" x14ac:dyDescent="0.3">
      <c r="A700" s="12"/>
      <c r="B700" s="12"/>
      <c r="C700" s="12"/>
      <c r="D700" s="12"/>
      <c r="E700" s="12"/>
    </row>
    <row r="701" spans="1:5" ht="15.75" customHeight="1" x14ac:dyDescent="0.3">
      <c r="A701" s="12"/>
      <c r="B701" s="12"/>
      <c r="C701" s="12"/>
      <c r="D701" s="12"/>
      <c r="E701" s="12"/>
    </row>
    <row r="702" spans="1:5" ht="15.75" customHeight="1" x14ac:dyDescent="0.3">
      <c r="A702" s="12"/>
      <c r="B702" s="12"/>
      <c r="C702" s="12"/>
      <c r="D702" s="12"/>
      <c r="E702" s="12"/>
    </row>
    <row r="703" spans="1:5" ht="15.75" customHeight="1" x14ac:dyDescent="0.3">
      <c r="A703" s="12"/>
      <c r="B703" s="12"/>
      <c r="C703" s="12"/>
      <c r="D703" s="12"/>
      <c r="E703" s="12"/>
    </row>
    <row r="704" spans="1:5" ht="15.75" customHeight="1" x14ac:dyDescent="0.3">
      <c r="A704" s="12"/>
      <c r="B704" s="12"/>
      <c r="C704" s="12"/>
      <c r="D704" s="12"/>
      <c r="E704" s="12"/>
    </row>
    <row r="705" spans="1:5" ht="15.75" customHeight="1" x14ac:dyDescent="0.3">
      <c r="A705" s="12"/>
      <c r="B705" s="12"/>
      <c r="C705" s="12"/>
      <c r="D705" s="12"/>
      <c r="E705" s="12"/>
    </row>
    <row r="706" spans="1:5" ht="15.75" customHeight="1" x14ac:dyDescent="0.3">
      <c r="A706" s="12"/>
      <c r="B706" s="12"/>
      <c r="C706" s="12"/>
      <c r="D706" s="12"/>
      <c r="E706" s="12"/>
    </row>
    <row r="707" spans="1:5" ht="15.75" customHeight="1" x14ac:dyDescent="0.3">
      <c r="A707" s="12"/>
      <c r="B707" s="12"/>
      <c r="C707" s="12"/>
      <c r="D707" s="12"/>
      <c r="E707" s="12"/>
    </row>
    <row r="708" spans="1:5" ht="15.75" customHeight="1" x14ac:dyDescent="0.3">
      <c r="A708" s="12"/>
      <c r="B708" s="12"/>
      <c r="C708" s="12"/>
      <c r="D708" s="12"/>
      <c r="E708" s="12"/>
    </row>
    <row r="709" spans="1:5" ht="15.75" customHeight="1" x14ac:dyDescent="0.3">
      <c r="A709" s="12"/>
      <c r="B709" s="12"/>
      <c r="C709" s="12"/>
      <c r="D709" s="12"/>
      <c r="E709" s="12"/>
    </row>
    <row r="710" spans="1:5" ht="15.75" customHeight="1" x14ac:dyDescent="0.3">
      <c r="A710" s="12"/>
      <c r="B710" s="12"/>
      <c r="C710" s="12"/>
      <c r="D710" s="12"/>
      <c r="E710" s="12"/>
    </row>
    <row r="711" spans="1:5" ht="15.75" customHeight="1" x14ac:dyDescent="0.3">
      <c r="A711" s="12"/>
      <c r="B711" s="12"/>
      <c r="C711" s="12"/>
      <c r="D711" s="12"/>
      <c r="E711" s="12"/>
    </row>
    <row r="712" spans="1:5" ht="15.75" customHeight="1" x14ac:dyDescent="0.3">
      <c r="A712" s="12"/>
      <c r="B712" s="12"/>
      <c r="C712" s="12"/>
      <c r="D712" s="12"/>
      <c r="E712" s="12"/>
    </row>
    <row r="713" spans="1:5" ht="15.75" customHeight="1" x14ac:dyDescent="0.3">
      <c r="A713" s="12"/>
      <c r="B713" s="12"/>
      <c r="C713" s="12"/>
      <c r="D713" s="12"/>
      <c r="E713" s="12"/>
    </row>
    <row r="714" spans="1:5" ht="15.75" customHeight="1" x14ac:dyDescent="0.3">
      <c r="A714" s="12"/>
      <c r="B714" s="12"/>
      <c r="C714" s="12"/>
      <c r="D714" s="12"/>
      <c r="E714" s="12"/>
    </row>
    <row r="715" spans="1:5" ht="15.75" customHeight="1" x14ac:dyDescent="0.3">
      <c r="A715" s="12"/>
      <c r="B715" s="12"/>
      <c r="C715" s="12"/>
      <c r="D715" s="12"/>
      <c r="E715" s="12"/>
    </row>
    <row r="716" spans="1:5" ht="15.75" customHeight="1" x14ac:dyDescent="0.3">
      <c r="A716" s="12"/>
      <c r="B716" s="12"/>
      <c r="C716" s="12"/>
      <c r="D716" s="12"/>
      <c r="E716" s="12"/>
    </row>
    <row r="717" spans="1:5" ht="15.75" customHeight="1" x14ac:dyDescent="0.3">
      <c r="A717" s="12"/>
      <c r="B717" s="12"/>
      <c r="C717" s="12"/>
      <c r="D717" s="12"/>
      <c r="E717" s="12"/>
    </row>
    <row r="718" spans="1:5" ht="15.75" customHeight="1" x14ac:dyDescent="0.3">
      <c r="A718" s="12"/>
      <c r="B718" s="12"/>
      <c r="C718" s="12"/>
      <c r="D718" s="12"/>
      <c r="E718" s="12"/>
    </row>
    <row r="719" spans="1:5" ht="15.75" customHeight="1" x14ac:dyDescent="0.3">
      <c r="A719" s="12"/>
      <c r="B719" s="12"/>
      <c r="C719" s="12"/>
      <c r="D719" s="12"/>
      <c r="E719" s="12"/>
    </row>
    <row r="720" spans="1:5" ht="15.75" customHeight="1" x14ac:dyDescent="0.3">
      <c r="A720" s="12"/>
      <c r="B720" s="12"/>
      <c r="C720" s="12"/>
      <c r="D720" s="12"/>
      <c r="E720" s="12"/>
    </row>
    <row r="721" spans="1:5" ht="15.75" customHeight="1" x14ac:dyDescent="0.3">
      <c r="A721" s="12"/>
      <c r="B721" s="12"/>
      <c r="C721" s="12"/>
      <c r="D721" s="12"/>
      <c r="E721" s="12"/>
    </row>
    <row r="722" spans="1:5" ht="15.75" customHeight="1" x14ac:dyDescent="0.3">
      <c r="A722" s="12"/>
      <c r="B722" s="12"/>
      <c r="C722" s="12"/>
      <c r="D722" s="12"/>
      <c r="E722" s="12"/>
    </row>
    <row r="723" spans="1:5" ht="15.75" customHeight="1" x14ac:dyDescent="0.3">
      <c r="A723" s="12"/>
      <c r="B723" s="12"/>
      <c r="C723" s="12"/>
      <c r="D723" s="12"/>
      <c r="E723" s="12"/>
    </row>
    <row r="724" spans="1:5" ht="15.75" customHeight="1" x14ac:dyDescent="0.3">
      <c r="A724" s="12"/>
      <c r="B724" s="12"/>
      <c r="C724" s="12"/>
      <c r="D724" s="12"/>
      <c r="E724" s="12"/>
    </row>
    <row r="725" spans="1:5" ht="15.75" customHeight="1" x14ac:dyDescent="0.3">
      <c r="A725" s="12"/>
      <c r="B725" s="12"/>
      <c r="C725" s="12"/>
      <c r="D725" s="12"/>
      <c r="E725" s="12"/>
    </row>
    <row r="726" spans="1:5" ht="15.75" customHeight="1" x14ac:dyDescent="0.3">
      <c r="A726" s="12"/>
      <c r="B726" s="12"/>
      <c r="C726" s="12"/>
      <c r="D726" s="12"/>
      <c r="E726" s="12"/>
    </row>
    <row r="727" spans="1:5" ht="15.75" customHeight="1" x14ac:dyDescent="0.3">
      <c r="A727" s="12"/>
      <c r="B727" s="12"/>
      <c r="C727" s="12"/>
      <c r="D727" s="12"/>
      <c r="E727" s="12"/>
    </row>
    <row r="728" spans="1:5" ht="15.75" customHeight="1" x14ac:dyDescent="0.3">
      <c r="A728" s="12"/>
      <c r="B728" s="12"/>
      <c r="C728" s="12"/>
      <c r="D728" s="12"/>
      <c r="E728" s="12"/>
    </row>
    <row r="729" spans="1:5" ht="15.75" customHeight="1" x14ac:dyDescent="0.3">
      <c r="A729" s="12"/>
      <c r="B729" s="12"/>
      <c r="C729" s="12"/>
      <c r="D729" s="12"/>
      <c r="E729" s="12"/>
    </row>
    <row r="730" spans="1:5" ht="15.75" customHeight="1" x14ac:dyDescent="0.3">
      <c r="A730" s="12"/>
      <c r="B730" s="12"/>
      <c r="C730" s="12"/>
      <c r="D730" s="12"/>
      <c r="E730" s="12"/>
    </row>
    <row r="731" spans="1:5" ht="15.75" customHeight="1" x14ac:dyDescent="0.3">
      <c r="A731" s="12"/>
      <c r="B731" s="12"/>
      <c r="C731" s="12"/>
      <c r="D731" s="12"/>
      <c r="E731" s="12"/>
    </row>
    <row r="732" spans="1:5" ht="15.75" customHeight="1" x14ac:dyDescent="0.3">
      <c r="A732" s="12"/>
      <c r="B732" s="12"/>
      <c r="C732" s="12"/>
      <c r="D732" s="12"/>
      <c r="E732" s="12"/>
    </row>
    <row r="733" spans="1:5" ht="15.75" customHeight="1" x14ac:dyDescent="0.3">
      <c r="A733" s="12"/>
      <c r="B733" s="12"/>
      <c r="C733" s="12"/>
      <c r="D733" s="12"/>
      <c r="E733" s="12"/>
    </row>
    <row r="734" spans="1:5" ht="15.75" customHeight="1" x14ac:dyDescent="0.3">
      <c r="A734" s="12"/>
      <c r="B734" s="12"/>
      <c r="C734" s="12"/>
      <c r="D734" s="12"/>
      <c r="E734" s="12"/>
    </row>
    <row r="735" spans="1:5" ht="15.75" customHeight="1" x14ac:dyDescent="0.3">
      <c r="A735" s="12"/>
      <c r="B735" s="12"/>
      <c r="C735" s="12"/>
      <c r="D735" s="12"/>
      <c r="E735" s="12"/>
    </row>
    <row r="736" spans="1:5" ht="15.75" customHeight="1" x14ac:dyDescent="0.3">
      <c r="A736" s="12"/>
      <c r="B736" s="12"/>
      <c r="C736" s="12"/>
      <c r="D736" s="12"/>
      <c r="E736" s="12"/>
    </row>
    <row r="737" spans="1:5" ht="15.75" customHeight="1" x14ac:dyDescent="0.3">
      <c r="A737" s="12"/>
      <c r="B737" s="12"/>
      <c r="C737" s="12"/>
      <c r="D737" s="12"/>
      <c r="E737" s="12"/>
    </row>
    <row r="738" spans="1:5" ht="15.75" customHeight="1" x14ac:dyDescent="0.3">
      <c r="A738" s="12"/>
      <c r="B738" s="12"/>
      <c r="C738" s="12"/>
      <c r="D738" s="12"/>
      <c r="E738" s="12"/>
    </row>
    <row r="739" spans="1:5" ht="15.75" customHeight="1" x14ac:dyDescent="0.3">
      <c r="A739" s="12"/>
      <c r="B739" s="12"/>
      <c r="C739" s="12"/>
      <c r="D739" s="12"/>
      <c r="E739" s="12"/>
    </row>
    <row r="740" spans="1:5" ht="15.75" customHeight="1" x14ac:dyDescent="0.3">
      <c r="A740" s="12"/>
      <c r="B740" s="12"/>
      <c r="C740" s="12"/>
      <c r="D740" s="12"/>
      <c r="E740" s="12"/>
    </row>
    <row r="741" spans="1:5" ht="15.75" customHeight="1" x14ac:dyDescent="0.3">
      <c r="A741" s="12"/>
      <c r="B741" s="12"/>
      <c r="C741" s="12"/>
      <c r="D741" s="12"/>
      <c r="E741" s="12"/>
    </row>
    <row r="742" spans="1:5" ht="15.75" customHeight="1" x14ac:dyDescent="0.3">
      <c r="A742" s="12"/>
      <c r="B742" s="12"/>
      <c r="C742" s="12"/>
      <c r="D742" s="12"/>
      <c r="E742" s="12"/>
    </row>
    <row r="743" spans="1:5" ht="15.75" customHeight="1" x14ac:dyDescent="0.3">
      <c r="A743" s="12"/>
      <c r="B743" s="12"/>
      <c r="C743" s="12"/>
      <c r="D743" s="12"/>
      <c r="E743" s="12"/>
    </row>
    <row r="744" spans="1:5" ht="15.75" customHeight="1" x14ac:dyDescent="0.3">
      <c r="A744" s="12"/>
      <c r="B744" s="12"/>
      <c r="C744" s="12"/>
      <c r="D744" s="12"/>
      <c r="E744" s="12"/>
    </row>
    <row r="745" spans="1:5" ht="15.75" customHeight="1" x14ac:dyDescent="0.3">
      <c r="A745" s="12"/>
      <c r="B745" s="12"/>
      <c r="C745" s="12"/>
      <c r="D745" s="12"/>
      <c r="E745" s="12"/>
    </row>
    <row r="746" spans="1:5" ht="15.75" customHeight="1" x14ac:dyDescent="0.3">
      <c r="A746" s="12"/>
      <c r="B746" s="12"/>
      <c r="C746" s="12"/>
      <c r="D746" s="12"/>
      <c r="E746" s="12"/>
    </row>
    <row r="747" spans="1:5" ht="15.75" customHeight="1" x14ac:dyDescent="0.3">
      <c r="A747" s="12"/>
      <c r="B747" s="12"/>
      <c r="C747" s="12"/>
      <c r="D747" s="12"/>
      <c r="E747" s="12"/>
    </row>
    <row r="748" spans="1:5" ht="15.75" customHeight="1" x14ac:dyDescent="0.3">
      <c r="A748" s="12"/>
      <c r="B748" s="12"/>
      <c r="C748" s="12"/>
      <c r="D748" s="12"/>
      <c r="E748" s="12"/>
    </row>
    <row r="749" spans="1:5" ht="15.75" customHeight="1" x14ac:dyDescent="0.3">
      <c r="A749" s="12"/>
      <c r="B749" s="12"/>
      <c r="C749" s="12"/>
      <c r="D749" s="12"/>
      <c r="E749" s="12"/>
    </row>
    <row r="750" spans="1:5" ht="15.75" customHeight="1" x14ac:dyDescent="0.3">
      <c r="A750" s="12"/>
      <c r="B750" s="12"/>
      <c r="C750" s="12"/>
      <c r="D750" s="12"/>
      <c r="E750" s="12"/>
    </row>
    <row r="751" spans="1:5" ht="15.75" customHeight="1" x14ac:dyDescent="0.3">
      <c r="A751" s="12"/>
      <c r="B751" s="12"/>
      <c r="C751" s="12"/>
      <c r="D751" s="12"/>
      <c r="E751" s="12"/>
    </row>
    <row r="752" spans="1:5" ht="15.75" customHeight="1" x14ac:dyDescent="0.3">
      <c r="A752" s="12"/>
      <c r="B752" s="12"/>
      <c r="C752" s="12"/>
      <c r="D752" s="12"/>
      <c r="E752" s="12"/>
    </row>
    <row r="753" spans="1:5" ht="15.75" customHeight="1" x14ac:dyDescent="0.3">
      <c r="A753" s="12"/>
      <c r="B753" s="12"/>
      <c r="C753" s="12"/>
      <c r="D753" s="12"/>
      <c r="E753" s="12"/>
    </row>
    <row r="754" spans="1:5" ht="15.75" customHeight="1" x14ac:dyDescent="0.3">
      <c r="A754" s="12"/>
      <c r="B754" s="12"/>
      <c r="C754" s="12"/>
      <c r="D754" s="12"/>
      <c r="E754" s="12"/>
    </row>
    <row r="755" spans="1:5" ht="15.75" customHeight="1" x14ac:dyDescent="0.3">
      <c r="A755" s="12"/>
      <c r="B755" s="12"/>
      <c r="C755" s="12"/>
      <c r="D755" s="12"/>
      <c r="E755" s="12"/>
    </row>
    <row r="756" spans="1:5" ht="15.75" customHeight="1" x14ac:dyDescent="0.3">
      <c r="A756" s="12"/>
      <c r="B756" s="12"/>
      <c r="C756" s="12"/>
      <c r="D756" s="12"/>
      <c r="E756" s="12"/>
    </row>
    <row r="757" spans="1:5" ht="15.75" customHeight="1" x14ac:dyDescent="0.3">
      <c r="A757" s="12"/>
      <c r="B757" s="12"/>
      <c r="C757" s="12"/>
      <c r="D757" s="12"/>
      <c r="E757" s="12"/>
    </row>
    <row r="758" spans="1:5" ht="15.75" customHeight="1" x14ac:dyDescent="0.3">
      <c r="A758" s="12"/>
      <c r="B758" s="12"/>
      <c r="C758" s="12"/>
      <c r="D758" s="12"/>
      <c r="E758" s="12"/>
    </row>
    <row r="759" spans="1:5" ht="15.75" customHeight="1" x14ac:dyDescent="0.3">
      <c r="A759" s="12"/>
      <c r="B759" s="12"/>
      <c r="C759" s="12"/>
      <c r="D759" s="12"/>
      <c r="E759" s="12"/>
    </row>
    <row r="760" spans="1:5" ht="15.75" customHeight="1" x14ac:dyDescent="0.3">
      <c r="A760" s="12"/>
      <c r="B760" s="12"/>
      <c r="C760" s="12"/>
      <c r="D760" s="12"/>
      <c r="E760" s="12"/>
    </row>
    <row r="761" spans="1:5" ht="15.75" customHeight="1" x14ac:dyDescent="0.3">
      <c r="A761" s="12"/>
      <c r="B761" s="12"/>
      <c r="C761" s="12"/>
      <c r="D761" s="12"/>
      <c r="E761" s="12"/>
    </row>
    <row r="762" spans="1:5" ht="15.75" customHeight="1" x14ac:dyDescent="0.3">
      <c r="A762" s="12"/>
      <c r="B762" s="12"/>
      <c r="C762" s="12"/>
      <c r="D762" s="12"/>
      <c r="E762" s="12"/>
    </row>
    <row r="763" spans="1:5" ht="15.75" customHeight="1" x14ac:dyDescent="0.3">
      <c r="A763" s="12"/>
      <c r="B763" s="12"/>
      <c r="C763" s="12"/>
      <c r="D763" s="12"/>
      <c r="E763" s="12"/>
    </row>
    <row r="764" spans="1:5" ht="15.75" customHeight="1" x14ac:dyDescent="0.3">
      <c r="A764" s="12"/>
      <c r="B764" s="12"/>
      <c r="C764" s="12"/>
      <c r="D764" s="12"/>
      <c r="E764" s="12"/>
    </row>
    <row r="765" spans="1:5" ht="15.75" customHeight="1" x14ac:dyDescent="0.3">
      <c r="A765" s="12"/>
      <c r="B765" s="12"/>
      <c r="C765" s="12"/>
      <c r="D765" s="12"/>
      <c r="E765" s="12"/>
    </row>
    <row r="766" spans="1:5" ht="15.75" customHeight="1" x14ac:dyDescent="0.3">
      <c r="A766" s="12"/>
      <c r="B766" s="12"/>
      <c r="C766" s="12"/>
      <c r="D766" s="12"/>
      <c r="E766" s="12"/>
    </row>
    <row r="767" spans="1:5" ht="15.75" customHeight="1" x14ac:dyDescent="0.3">
      <c r="A767" s="12"/>
      <c r="B767" s="12"/>
      <c r="C767" s="12"/>
      <c r="D767" s="12"/>
      <c r="E767" s="12"/>
    </row>
    <row r="768" spans="1:5" ht="15.75" customHeight="1" x14ac:dyDescent="0.3">
      <c r="A768" s="12"/>
      <c r="B768" s="12"/>
      <c r="C768" s="12"/>
      <c r="D768" s="12"/>
      <c r="E768" s="12"/>
    </row>
    <row r="769" spans="1:5" ht="15.75" customHeight="1" x14ac:dyDescent="0.3">
      <c r="A769" s="12"/>
      <c r="B769" s="12"/>
      <c r="C769" s="12"/>
      <c r="D769" s="12"/>
      <c r="E769" s="12"/>
    </row>
    <row r="770" spans="1:5" ht="15.75" customHeight="1" x14ac:dyDescent="0.3">
      <c r="A770" s="12"/>
      <c r="B770" s="12"/>
      <c r="C770" s="12"/>
      <c r="D770" s="12"/>
      <c r="E770" s="12"/>
    </row>
    <row r="771" spans="1:5" ht="15.75" customHeight="1" x14ac:dyDescent="0.3">
      <c r="A771" s="12"/>
      <c r="B771" s="12"/>
      <c r="C771" s="12"/>
      <c r="D771" s="12"/>
      <c r="E771" s="12"/>
    </row>
    <row r="772" spans="1:5" ht="15.75" customHeight="1" x14ac:dyDescent="0.3">
      <c r="A772" s="12"/>
      <c r="B772" s="12"/>
      <c r="C772" s="12"/>
      <c r="D772" s="12"/>
      <c r="E772" s="12"/>
    </row>
    <row r="773" spans="1:5" ht="15.75" customHeight="1" x14ac:dyDescent="0.3">
      <c r="A773" s="12"/>
      <c r="B773" s="12"/>
      <c r="C773" s="12"/>
      <c r="D773" s="12"/>
      <c r="E773" s="12"/>
    </row>
    <row r="774" spans="1:5" ht="15.75" customHeight="1" x14ac:dyDescent="0.3">
      <c r="A774" s="12"/>
      <c r="B774" s="12"/>
      <c r="C774" s="12"/>
      <c r="D774" s="12"/>
      <c r="E774" s="12"/>
    </row>
    <row r="775" spans="1:5" ht="15.75" customHeight="1" x14ac:dyDescent="0.3">
      <c r="A775" s="12"/>
      <c r="B775" s="12"/>
      <c r="C775" s="12"/>
      <c r="D775" s="12"/>
      <c r="E775" s="12"/>
    </row>
    <row r="776" spans="1:5" ht="15.75" customHeight="1" x14ac:dyDescent="0.3">
      <c r="A776" s="12"/>
      <c r="B776" s="12"/>
      <c r="C776" s="12"/>
      <c r="D776" s="12"/>
      <c r="E776" s="12"/>
    </row>
    <row r="777" spans="1:5" ht="15.75" customHeight="1" x14ac:dyDescent="0.3">
      <c r="A777" s="12"/>
      <c r="B777" s="12"/>
      <c r="C777" s="12"/>
      <c r="D777" s="12"/>
      <c r="E777" s="12"/>
    </row>
    <row r="778" spans="1:5" ht="15.75" customHeight="1" x14ac:dyDescent="0.3">
      <c r="A778" s="12"/>
      <c r="B778" s="12"/>
      <c r="C778" s="12"/>
      <c r="D778" s="12"/>
      <c r="E778" s="12"/>
    </row>
    <row r="779" spans="1:5" ht="15.75" customHeight="1" x14ac:dyDescent="0.3">
      <c r="A779" s="12"/>
      <c r="B779" s="12"/>
      <c r="C779" s="12"/>
      <c r="D779" s="12"/>
      <c r="E779" s="12"/>
    </row>
    <row r="780" spans="1:5" ht="15.75" customHeight="1" x14ac:dyDescent="0.3">
      <c r="A780" s="12"/>
      <c r="B780" s="12"/>
      <c r="C780" s="12"/>
      <c r="D780" s="12"/>
      <c r="E780" s="12"/>
    </row>
    <row r="781" spans="1:5" ht="15.75" customHeight="1" x14ac:dyDescent="0.3">
      <c r="A781" s="12"/>
      <c r="B781" s="12"/>
      <c r="C781" s="12"/>
      <c r="D781" s="12"/>
      <c r="E781" s="12"/>
    </row>
    <row r="782" spans="1:5" ht="15.75" customHeight="1" x14ac:dyDescent="0.3">
      <c r="A782" s="12"/>
      <c r="B782" s="12"/>
      <c r="C782" s="12"/>
      <c r="D782" s="12"/>
      <c r="E782" s="12"/>
    </row>
    <row r="783" spans="1:5" ht="15.75" customHeight="1" x14ac:dyDescent="0.3">
      <c r="A783" s="12"/>
      <c r="B783" s="12"/>
      <c r="C783" s="12"/>
      <c r="D783" s="12"/>
      <c r="E783" s="12"/>
    </row>
    <row r="784" spans="1:5" ht="15.75" customHeight="1" x14ac:dyDescent="0.3">
      <c r="A784" s="12"/>
      <c r="B784" s="12"/>
      <c r="C784" s="12"/>
      <c r="D784" s="12"/>
      <c r="E784" s="12"/>
    </row>
    <row r="785" spans="1:5" ht="15.75" customHeight="1" x14ac:dyDescent="0.3">
      <c r="A785" s="12"/>
      <c r="B785" s="12"/>
      <c r="C785" s="12"/>
      <c r="D785" s="12"/>
      <c r="E785" s="12"/>
    </row>
    <row r="786" spans="1:5" ht="15.75" customHeight="1" x14ac:dyDescent="0.3">
      <c r="A786" s="12"/>
      <c r="B786" s="12"/>
      <c r="C786" s="12"/>
      <c r="D786" s="12"/>
      <c r="E786" s="12"/>
    </row>
    <row r="787" spans="1:5" ht="15.75" customHeight="1" x14ac:dyDescent="0.3">
      <c r="A787" s="12"/>
      <c r="B787" s="12"/>
      <c r="C787" s="12"/>
      <c r="D787" s="12"/>
      <c r="E787" s="12"/>
    </row>
    <row r="788" spans="1:5" ht="15.75" customHeight="1" x14ac:dyDescent="0.3">
      <c r="A788" s="12"/>
      <c r="B788" s="12"/>
      <c r="C788" s="12"/>
      <c r="D788" s="12"/>
      <c r="E788" s="12"/>
    </row>
    <row r="789" spans="1:5" ht="15.75" customHeight="1" x14ac:dyDescent="0.3">
      <c r="A789" s="12"/>
      <c r="B789" s="12"/>
      <c r="C789" s="12"/>
      <c r="D789" s="12"/>
      <c r="E789" s="12"/>
    </row>
    <row r="790" spans="1:5" ht="15.75" customHeight="1" x14ac:dyDescent="0.3">
      <c r="A790" s="12"/>
      <c r="B790" s="12"/>
      <c r="C790" s="12"/>
      <c r="D790" s="12"/>
      <c r="E790" s="12"/>
    </row>
    <row r="791" spans="1:5" ht="15.75" customHeight="1" x14ac:dyDescent="0.3">
      <c r="A791" s="12"/>
      <c r="B791" s="12"/>
      <c r="C791" s="12"/>
      <c r="D791" s="12"/>
      <c r="E791" s="12"/>
    </row>
    <row r="792" spans="1:5" ht="15.75" customHeight="1" x14ac:dyDescent="0.3">
      <c r="A792" s="12"/>
      <c r="B792" s="12"/>
      <c r="C792" s="12"/>
      <c r="D792" s="12"/>
      <c r="E792" s="12"/>
    </row>
    <row r="793" spans="1:5" ht="15.75" customHeight="1" x14ac:dyDescent="0.3">
      <c r="A793" s="12"/>
      <c r="B793" s="12"/>
      <c r="C793" s="12"/>
      <c r="D793" s="12"/>
      <c r="E793" s="12"/>
    </row>
    <row r="794" spans="1:5" ht="15.75" customHeight="1" x14ac:dyDescent="0.3">
      <c r="A794" s="12"/>
      <c r="B794" s="12"/>
      <c r="C794" s="12"/>
      <c r="D794" s="12"/>
      <c r="E794" s="12"/>
    </row>
    <row r="795" spans="1:5" ht="15.75" customHeight="1" x14ac:dyDescent="0.3">
      <c r="A795" s="12"/>
      <c r="B795" s="12"/>
      <c r="C795" s="12"/>
      <c r="D795" s="12"/>
      <c r="E795" s="12"/>
    </row>
    <row r="796" spans="1:5" ht="15.75" customHeight="1" x14ac:dyDescent="0.3">
      <c r="A796" s="12"/>
      <c r="B796" s="12"/>
      <c r="C796" s="12"/>
      <c r="D796" s="12"/>
      <c r="E796" s="12"/>
    </row>
    <row r="797" spans="1:5" ht="15.75" customHeight="1" x14ac:dyDescent="0.3">
      <c r="A797" s="12"/>
      <c r="B797" s="12"/>
      <c r="C797" s="12"/>
      <c r="D797" s="12"/>
      <c r="E797" s="12"/>
    </row>
    <row r="798" spans="1:5" ht="15.75" customHeight="1" x14ac:dyDescent="0.3">
      <c r="A798" s="12"/>
      <c r="B798" s="12"/>
      <c r="C798" s="12"/>
      <c r="D798" s="12"/>
      <c r="E798" s="12"/>
    </row>
    <row r="799" spans="1:5" ht="15.75" customHeight="1" x14ac:dyDescent="0.3">
      <c r="A799" s="12"/>
      <c r="B799" s="12"/>
      <c r="C799" s="12"/>
      <c r="D799" s="12"/>
      <c r="E799" s="12"/>
    </row>
    <row r="800" spans="1:5" ht="15.75" customHeight="1" x14ac:dyDescent="0.3">
      <c r="A800" s="12"/>
      <c r="B800" s="12"/>
      <c r="C800" s="12"/>
      <c r="D800" s="12"/>
      <c r="E800" s="12"/>
    </row>
    <row r="801" spans="1:5" ht="15.75" customHeight="1" x14ac:dyDescent="0.3">
      <c r="A801" s="12"/>
      <c r="B801" s="12"/>
      <c r="C801" s="12"/>
      <c r="D801" s="12"/>
      <c r="E801" s="12"/>
    </row>
    <row r="802" spans="1:5" ht="15.75" customHeight="1" x14ac:dyDescent="0.3">
      <c r="A802" s="12"/>
      <c r="B802" s="12"/>
      <c r="C802" s="12"/>
      <c r="D802" s="12"/>
      <c r="E802" s="12"/>
    </row>
    <row r="803" spans="1:5" ht="15.75" customHeight="1" x14ac:dyDescent="0.3">
      <c r="A803" s="12"/>
      <c r="B803" s="12"/>
      <c r="C803" s="12"/>
      <c r="D803" s="12"/>
      <c r="E803" s="12"/>
    </row>
    <row r="804" spans="1:5" ht="15.75" customHeight="1" x14ac:dyDescent="0.3">
      <c r="A804" s="12"/>
      <c r="B804" s="12"/>
      <c r="C804" s="12"/>
      <c r="D804" s="12"/>
      <c r="E804" s="12"/>
    </row>
    <row r="805" spans="1:5" ht="15.75" customHeight="1" x14ac:dyDescent="0.3">
      <c r="A805" s="12"/>
      <c r="B805" s="12"/>
      <c r="C805" s="12"/>
      <c r="D805" s="12"/>
      <c r="E805" s="12"/>
    </row>
    <row r="806" spans="1:5" ht="15.75" customHeight="1" x14ac:dyDescent="0.3">
      <c r="A806" s="12"/>
      <c r="B806" s="12"/>
      <c r="C806" s="12"/>
      <c r="D806" s="12"/>
      <c r="E806" s="12"/>
    </row>
    <row r="807" spans="1:5" ht="15.75" customHeight="1" x14ac:dyDescent="0.3">
      <c r="A807" s="12"/>
      <c r="B807" s="12"/>
      <c r="C807" s="12"/>
      <c r="D807" s="12"/>
      <c r="E807" s="12"/>
    </row>
    <row r="808" spans="1:5" ht="15.75" customHeight="1" x14ac:dyDescent="0.3">
      <c r="A808" s="12"/>
      <c r="B808" s="12"/>
      <c r="C808" s="12"/>
      <c r="D808" s="12"/>
      <c r="E808" s="12"/>
    </row>
    <row r="809" spans="1:5" ht="15.75" customHeight="1" x14ac:dyDescent="0.3">
      <c r="A809" s="12"/>
      <c r="B809" s="12"/>
      <c r="C809" s="12"/>
      <c r="D809" s="12"/>
      <c r="E809" s="12"/>
    </row>
    <row r="810" spans="1:5" ht="15.75" customHeight="1" x14ac:dyDescent="0.3">
      <c r="A810" s="12"/>
      <c r="B810" s="12"/>
      <c r="C810" s="12"/>
      <c r="D810" s="12"/>
      <c r="E810" s="12"/>
    </row>
    <row r="811" spans="1:5" ht="15.75" customHeight="1" x14ac:dyDescent="0.3">
      <c r="A811" s="12"/>
      <c r="B811" s="12"/>
      <c r="C811" s="12"/>
      <c r="D811" s="12"/>
      <c r="E811" s="12"/>
    </row>
    <row r="812" spans="1:5" ht="15.75" customHeight="1" x14ac:dyDescent="0.3">
      <c r="A812" s="12"/>
      <c r="B812" s="12"/>
      <c r="C812" s="12"/>
      <c r="D812" s="12"/>
      <c r="E812" s="12"/>
    </row>
    <row r="813" spans="1:5" ht="15.75" customHeight="1" x14ac:dyDescent="0.3">
      <c r="A813" s="12"/>
      <c r="B813" s="12"/>
      <c r="C813" s="12"/>
      <c r="D813" s="12"/>
      <c r="E813" s="12"/>
    </row>
    <row r="814" spans="1:5" ht="15.75" customHeight="1" x14ac:dyDescent="0.3">
      <c r="A814" s="12"/>
      <c r="B814" s="12"/>
      <c r="C814" s="12"/>
      <c r="D814" s="12"/>
      <c r="E814" s="12"/>
    </row>
    <row r="815" spans="1:5" ht="15.75" customHeight="1" x14ac:dyDescent="0.3">
      <c r="A815" s="12"/>
      <c r="B815" s="12"/>
      <c r="C815" s="12"/>
      <c r="D815" s="12"/>
      <c r="E815" s="12"/>
    </row>
    <row r="816" spans="1:5" ht="15.75" customHeight="1" x14ac:dyDescent="0.3">
      <c r="A816" s="12"/>
      <c r="B816" s="12"/>
      <c r="C816" s="12"/>
      <c r="D816" s="12"/>
      <c r="E816" s="12"/>
    </row>
    <row r="817" spans="1:5" ht="15.75" customHeight="1" x14ac:dyDescent="0.3">
      <c r="A817" s="12"/>
      <c r="B817" s="12"/>
      <c r="C817" s="12"/>
      <c r="D817" s="12"/>
      <c r="E817" s="12"/>
    </row>
    <row r="818" spans="1:5" ht="15.75" customHeight="1" x14ac:dyDescent="0.3">
      <c r="A818" s="12"/>
      <c r="B818" s="12"/>
      <c r="C818" s="12"/>
      <c r="D818" s="12"/>
      <c r="E818" s="12"/>
    </row>
    <row r="819" spans="1:5" ht="15.75" customHeight="1" x14ac:dyDescent="0.3">
      <c r="A819" s="12"/>
      <c r="B819" s="12"/>
      <c r="C819" s="12"/>
      <c r="D819" s="12"/>
      <c r="E819" s="12"/>
    </row>
    <row r="820" spans="1:5" ht="15.75" customHeight="1" x14ac:dyDescent="0.3">
      <c r="A820" s="12"/>
      <c r="B820" s="12"/>
      <c r="C820" s="12"/>
      <c r="D820" s="12"/>
      <c r="E820" s="12"/>
    </row>
    <row r="821" spans="1:5" ht="15.75" customHeight="1" x14ac:dyDescent="0.3">
      <c r="A821" s="12"/>
      <c r="B821" s="12"/>
      <c r="C821" s="12"/>
      <c r="D821" s="12"/>
      <c r="E821" s="12"/>
    </row>
    <row r="822" spans="1:5" ht="15.75" customHeight="1" x14ac:dyDescent="0.3">
      <c r="A822" s="12"/>
      <c r="B822" s="12"/>
      <c r="C822" s="12"/>
      <c r="D822" s="12"/>
      <c r="E822" s="12"/>
    </row>
    <row r="823" spans="1:5" ht="15.75" customHeight="1" x14ac:dyDescent="0.3">
      <c r="A823" s="12"/>
      <c r="B823" s="12"/>
      <c r="C823" s="12"/>
      <c r="D823" s="12"/>
      <c r="E823" s="12"/>
    </row>
    <row r="824" spans="1:5" ht="15.75" customHeight="1" x14ac:dyDescent="0.3">
      <c r="A824" s="12"/>
      <c r="B824" s="12"/>
      <c r="C824" s="12"/>
      <c r="D824" s="12"/>
      <c r="E824" s="12"/>
    </row>
    <row r="825" spans="1:5" ht="15.75" customHeight="1" x14ac:dyDescent="0.3">
      <c r="A825" s="12"/>
      <c r="B825" s="12"/>
      <c r="C825" s="12"/>
      <c r="D825" s="12"/>
      <c r="E825" s="12"/>
    </row>
    <row r="826" spans="1:5" ht="15.75" customHeight="1" x14ac:dyDescent="0.3">
      <c r="A826" s="12"/>
      <c r="B826" s="12"/>
      <c r="C826" s="12"/>
      <c r="D826" s="12"/>
      <c r="E826" s="12"/>
    </row>
    <row r="827" spans="1:5" ht="15.75" customHeight="1" x14ac:dyDescent="0.3">
      <c r="A827" s="12"/>
      <c r="B827" s="12"/>
      <c r="C827" s="12"/>
      <c r="D827" s="12"/>
      <c r="E827" s="12"/>
    </row>
    <row r="828" spans="1:5" ht="15.75" customHeight="1" x14ac:dyDescent="0.3">
      <c r="A828" s="12"/>
      <c r="B828" s="12"/>
      <c r="C828" s="12"/>
      <c r="D828" s="12"/>
      <c r="E828" s="12"/>
    </row>
    <row r="829" spans="1:5" ht="15.75" customHeight="1" x14ac:dyDescent="0.3">
      <c r="A829" s="12"/>
      <c r="B829" s="12"/>
      <c r="C829" s="12"/>
      <c r="D829" s="12"/>
      <c r="E829" s="12"/>
    </row>
    <row r="830" spans="1:5" ht="15.75" customHeight="1" x14ac:dyDescent="0.3">
      <c r="A830" s="12"/>
      <c r="B830" s="12"/>
      <c r="C830" s="12"/>
      <c r="D830" s="12"/>
      <c r="E830" s="12"/>
    </row>
    <row r="831" spans="1:5" ht="15.75" customHeight="1" x14ac:dyDescent="0.3">
      <c r="A831" s="12"/>
      <c r="B831" s="12"/>
      <c r="C831" s="12"/>
      <c r="D831" s="12"/>
      <c r="E831" s="12"/>
    </row>
    <row r="832" spans="1:5" ht="15.75" customHeight="1" x14ac:dyDescent="0.3">
      <c r="A832" s="12"/>
      <c r="B832" s="12"/>
      <c r="C832" s="12"/>
      <c r="D832" s="12"/>
      <c r="E832" s="12"/>
    </row>
    <row r="833" spans="1:5" ht="15.75" customHeight="1" x14ac:dyDescent="0.3">
      <c r="A833" s="12"/>
      <c r="B833" s="12"/>
      <c r="C833" s="12"/>
      <c r="D833" s="12"/>
      <c r="E833" s="12"/>
    </row>
    <row r="834" spans="1:5" ht="15.75" customHeight="1" x14ac:dyDescent="0.3">
      <c r="A834" s="12"/>
      <c r="B834" s="12"/>
      <c r="C834" s="12"/>
      <c r="D834" s="12"/>
      <c r="E834" s="12"/>
    </row>
    <row r="835" spans="1:5" ht="15.75" customHeight="1" x14ac:dyDescent="0.3">
      <c r="A835" s="12"/>
      <c r="B835" s="12"/>
      <c r="C835" s="12"/>
      <c r="D835" s="12"/>
      <c r="E835" s="12"/>
    </row>
    <row r="836" spans="1:5" ht="15.75" customHeight="1" x14ac:dyDescent="0.3">
      <c r="A836" s="12"/>
      <c r="B836" s="12"/>
      <c r="C836" s="12"/>
      <c r="D836" s="12"/>
      <c r="E836" s="12"/>
    </row>
    <row r="837" spans="1:5" ht="15.75" customHeight="1" x14ac:dyDescent="0.3">
      <c r="A837" s="12"/>
      <c r="B837" s="12"/>
      <c r="C837" s="12"/>
      <c r="D837" s="12"/>
      <c r="E837" s="12"/>
    </row>
    <row r="838" spans="1:5" ht="15.75" customHeight="1" x14ac:dyDescent="0.3">
      <c r="A838" s="12"/>
      <c r="B838" s="12"/>
      <c r="C838" s="12"/>
      <c r="D838" s="12"/>
      <c r="E838" s="12"/>
    </row>
    <row r="839" spans="1:5" ht="15.75" customHeight="1" x14ac:dyDescent="0.3">
      <c r="A839" s="12"/>
      <c r="B839" s="12"/>
      <c r="C839" s="12"/>
      <c r="D839" s="12"/>
      <c r="E839" s="12"/>
    </row>
    <row r="840" spans="1:5" ht="15.75" customHeight="1" x14ac:dyDescent="0.3">
      <c r="A840" s="12"/>
      <c r="B840" s="12"/>
      <c r="C840" s="12"/>
      <c r="D840" s="12"/>
      <c r="E840" s="12"/>
    </row>
    <row r="841" spans="1:5" ht="15.75" customHeight="1" x14ac:dyDescent="0.3">
      <c r="A841" s="12"/>
      <c r="B841" s="12"/>
      <c r="C841" s="12"/>
      <c r="D841" s="12"/>
      <c r="E841" s="12"/>
    </row>
    <row r="842" spans="1:5" ht="15.75" customHeight="1" x14ac:dyDescent="0.3">
      <c r="A842" s="12"/>
      <c r="B842" s="12"/>
      <c r="C842" s="12"/>
      <c r="D842" s="12"/>
      <c r="E842" s="12"/>
    </row>
    <row r="843" spans="1:5" ht="15.75" customHeight="1" x14ac:dyDescent="0.3">
      <c r="A843" s="12"/>
      <c r="B843" s="12"/>
      <c r="C843" s="12"/>
      <c r="D843" s="12"/>
      <c r="E843" s="12"/>
    </row>
    <row r="844" spans="1:5" ht="15.75" customHeight="1" x14ac:dyDescent="0.3">
      <c r="A844" s="12"/>
      <c r="B844" s="12"/>
      <c r="C844" s="12"/>
      <c r="D844" s="12"/>
      <c r="E844" s="12"/>
    </row>
    <row r="845" spans="1:5" ht="15.75" customHeight="1" x14ac:dyDescent="0.3">
      <c r="A845" s="12"/>
      <c r="B845" s="12"/>
      <c r="C845" s="12"/>
      <c r="D845" s="12"/>
      <c r="E845" s="12"/>
    </row>
    <row r="846" spans="1:5" ht="15.75" customHeight="1" x14ac:dyDescent="0.3">
      <c r="A846" s="12"/>
      <c r="B846" s="12"/>
      <c r="C846" s="12"/>
      <c r="D846" s="12"/>
      <c r="E846" s="12"/>
    </row>
    <row r="847" spans="1:5" ht="15.75" customHeight="1" x14ac:dyDescent="0.3">
      <c r="A847" s="12"/>
      <c r="B847" s="12"/>
      <c r="C847" s="12"/>
      <c r="D847" s="12"/>
      <c r="E847" s="12"/>
    </row>
    <row r="848" spans="1:5" ht="15.75" customHeight="1" x14ac:dyDescent="0.3">
      <c r="A848" s="12"/>
      <c r="B848" s="12"/>
      <c r="C848" s="12"/>
      <c r="D848" s="12"/>
      <c r="E848" s="12"/>
    </row>
    <row r="849" spans="1:5" ht="15.75" customHeight="1" x14ac:dyDescent="0.3">
      <c r="A849" s="12"/>
      <c r="B849" s="12"/>
      <c r="C849" s="12"/>
      <c r="D849" s="12"/>
      <c r="E849" s="12"/>
    </row>
    <row r="850" spans="1:5" ht="15.75" customHeight="1" x14ac:dyDescent="0.3">
      <c r="A850" s="12"/>
      <c r="B850" s="12"/>
      <c r="C850" s="12"/>
      <c r="D850" s="12"/>
      <c r="E850" s="12"/>
    </row>
    <row r="851" spans="1:5" ht="15.75" customHeight="1" x14ac:dyDescent="0.3">
      <c r="A851" s="12"/>
      <c r="B851" s="12"/>
      <c r="C851" s="12"/>
      <c r="D851" s="12"/>
      <c r="E851" s="12"/>
    </row>
    <row r="852" spans="1:5" ht="15.75" customHeight="1" x14ac:dyDescent="0.3">
      <c r="A852" s="12"/>
      <c r="B852" s="12"/>
      <c r="C852" s="12"/>
      <c r="D852" s="12"/>
      <c r="E852" s="12"/>
    </row>
    <row r="853" spans="1:5" ht="15.75" customHeight="1" x14ac:dyDescent="0.3">
      <c r="A853" s="12"/>
      <c r="B853" s="12"/>
      <c r="C853" s="12"/>
      <c r="D853" s="12"/>
      <c r="E853" s="12"/>
    </row>
    <row r="854" spans="1:5" ht="15.75" customHeight="1" x14ac:dyDescent="0.3">
      <c r="A854" s="12"/>
      <c r="B854" s="12"/>
      <c r="C854" s="12"/>
      <c r="D854" s="12"/>
      <c r="E854" s="12"/>
    </row>
    <row r="855" spans="1:5" ht="15.75" customHeight="1" x14ac:dyDescent="0.3">
      <c r="A855" s="12"/>
      <c r="B855" s="12"/>
      <c r="C855" s="12"/>
      <c r="D855" s="12"/>
      <c r="E855" s="12"/>
    </row>
    <row r="856" spans="1:5" ht="15.75" customHeight="1" x14ac:dyDescent="0.3">
      <c r="A856" s="12"/>
      <c r="B856" s="12"/>
      <c r="C856" s="12"/>
      <c r="D856" s="12"/>
      <c r="E856" s="12"/>
    </row>
    <row r="857" spans="1:5" ht="15.75" customHeight="1" x14ac:dyDescent="0.3">
      <c r="A857" s="12"/>
      <c r="B857" s="12"/>
      <c r="C857" s="12"/>
      <c r="D857" s="12"/>
      <c r="E857" s="12"/>
    </row>
    <row r="858" spans="1:5" ht="15.75" customHeight="1" x14ac:dyDescent="0.3">
      <c r="A858" s="12"/>
      <c r="B858" s="12"/>
      <c r="C858" s="12"/>
      <c r="D858" s="12"/>
      <c r="E858" s="12"/>
    </row>
    <row r="859" spans="1:5" ht="15.75" customHeight="1" x14ac:dyDescent="0.3">
      <c r="A859" s="12"/>
      <c r="B859" s="12"/>
      <c r="C859" s="12"/>
      <c r="D859" s="12"/>
      <c r="E859" s="12"/>
    </row>
    <row r="860" spans="1:5" ht="15.75" customHeight="1" x14ac:dyDescent="0.3">
      <c r="A860" s="12"/>
      <c r="B860" s="12"/>
      <c r="C860" s="12"/>
      <c r="D860" s="12"/>
      <c r="E860" s="12"/>
    </row>
    <row r="861" spans="1:5" ht="15.75" customHeight="1" x14ac:dyDescent="0.3">
      <c r="A861" s="12"/>
      <c r="B861" s="12"/>
      <c r="C861" s="12"/>
      <c r="D861" s="12"/>
      <c r="E861" s="12"/>
    </row>
    <row r="862" spans="1:5" ht="15.75" customHeight="1" x14ac:dyDescent="0.3">
      <c r="A862" s="12"/>
      <c r="B862" s="12"/>
      <c r="C862" s="12"/>
      <c r="D862" s="12"/>
      <c r="E862" s="12"/>
    </row>
    <row r="863" spans="1:5" ht="15.75" customHeight="1" x14ac:dyDescent="0.3">
      <c r="A863" s="12"/>
      <c r="B863" s="12"/>
      <c r="C863" s="12"/>
      <c r="D863" s="12"/>
      <c r="E863" s="12"/>
    </row>
    <row r="864" spans="1:5" ht="15.75" customHeight="1" x14ac:dyDescent="0.3">
      <c r="A864" s="12"/>
      <c r="B864" s="12"/>
      <c r="C864" s="12"/>
      <c r="D864" s="12"/>
      <c r="E864" s="12"/>
    </row>
    <row r="865" spans="1:5" ht="15.75" customHeight="1" x14ac:dyDescent="0.3">
      <c r="A865" s="12"/>
      <c r="B865" s="12"/>
      <c r="C865" s="12"/>
      <c r="D865" s="12"/>
      <c r="E865" s="12"/>
    </row>
    <row r="866" spans="1:5" ht="15.75" customHeight="1" x14ac:dyDescent="0.3">
      <c r="A866" s="12"/>
      <c r="B866" s="12"/>
      <c r="C866" s="12"/>
      <c r="D866" s="12"/>
      <c r="E866" s="12"/>
    </row>
    <row r="867" spans="1:5" ht="15.75" customHeight="1" x14ac:dyDescent="0.3">
      <c r="A867" s="12"/>
      <c r="B867" s="12"/>
      <c r="C867" s="12"/>
      <c r="D867" s="12"/>
      <c r="E867" s="12"/>
    </row>
    <row r="868" spans="1:5" ht="15.75" customHeight="1" x14ac:dyDescent="0.3">
      <c r="A868" s="12"/>
      <c r="B868" s="12"/>
      <c r="C868" s="12"/>
      <c r="D868" s="12"/>
      <c r="E868" s="12"/>
    </row>
    <row r="869" spans="1:5" ht="15.75" customHeight="1" x14ac:dyDescent="0.3">
      <c r="A869" s="12"/>
      <c r="B869" s="12"/>
      <c r="C869" s="12"/>
      <c r="D869" s="12"/>
      <c r="E869" s="12"/>
    </row>
    <row r="870" spans="1:5" ht="15.75" customHeight="1" x14ac:dyDescent="0.3">
      <c r="A870" s="12"/>
      <c r="B870" s="12"/>
      <c r="C870" s="12"/>
      <c r="D870" s="12"/>
      <c r="E870" s="12"/>
    </row>
    <row r="871" spans="1:5" ht="15.75" customHeight="1" x14ac:dyDescent="0.3">
      <c r="A871" s="12"/>
      <c r="B871" s="12"/>
      <c r="C871" s="12"/>
      <c r="D871" s="12"/>
      <c r="E871" s="12"/>
    </row>
    <row r="872" spans="1:5" ht="15.75" customHeight="1" x14ac:dyDescent="0.3">
      <c r="A872" s="12"/>
      <c r="B872" s="12"/>
      <c r="C872" s="12"/>
      <c r="D872" s="12"/>
      <c r="E872" s="12"/>
    </row>
    <row r="873" spans="1:5" ht="15.75" customHeight="1" x14ac:dyDescent="0.3">
      <c r="A873" s="12"/>
      <c r="B873" s="12"/>
      <c r="C873" s="12"/>
      <c r="D873" s="12"/>
      <c r="E873" s="12"/>
    </row>
    <row r="874" spans="1:5" ht="15.75" customHeight="1" x14ac:dyDescent="0.3">
      <c r="A874" s="12"/>
      <c r="B874" s="12"/>
      <c r="C874" s="12"/>
      <c r="D874" s="12"/>
      <c r="E874" s="12"/>
    </row>
    <row r="875" spans="1:5" ht="15.75" customHeight="1" x14ac:dyDescent="0.3">
      <c r="A875" s="12"/>
      <c r="B875" s="12"/>
      <c r="C875" s="12"/>
      <c r="D875" s="12"/>
      <c r="E875" s="12"/>
    </row>
    <row r="876" spans="1:5" ht="15.75" customHeight="1" x14ac:dyDescent="0.3">
      <c r="A876" s="12"/>
      <c r="B876" s="12"/>
      <c r="C876" s="12"/>
      <c r="D876" s="12"/>
      <c r="E876" s="12"/>
    </row>
    <row r="877" spans="1:5" ht="15.75" customHeight="1" x14ac:dyDescent="0.3">
      <c r="A877" s="12"/>
      <c r="B877" s="12"/>
      <c r="C877" s="12"/>
      <c r="D877" s="12"/>
      <c r="E877" s="12"/>
    </row>
    <row r="878" spans="1:5" ht="15.75" customHeight="1" x14ac:dyDescent="0.3">
      <c r="A878" s="12"/>
      <c r="B878" s="12"/>
      <c r="C878" s="12"/>
      <c r="D878" s="12"/>
      <c r="E878" s="12"/>
    </row>
    <row r="879" spans="1:5" ht="15.75" customHeight="1" x14ac:dyDescent="0.3">
      <c r="A879" s="12"/>
      <c r="B879" s="12"/>
      <c r="C879" s="12"/>
      <c r="D879" s="12"/>
      <c r="E879" s="12"/>
    </row>
    <row r="880" spans="1:5" ht="15.75" customHeight="1" x14ac:dyDescent="0.3">
      <c r="A880" s="12"/>
      <c r="B880" s="12"/>
      <c r="C880" s="12"/>
      <c r="D880" s="12"/>
      <c r="E880" s="12"/>
    </row>
    <row r="881" spans="1:5" ht="15.75" customHeight="1" x14ac:dyDescent="0.3">
      <c r="A881" s="12"/>
      <c r="B881" s="12"/>
      <c r="C881" s="12"/>
      <c r="D881" s="12"/>
      <c r="E881" s="12"/>
    </row>
    <row r="882" spans="1:5" ht="15.75" customHeight="1" x14ac:dyDescent="0.3">
      <c r="A882" s="12"/>
      <c r="B882" s="12"/>
      <c r="C882" s="12"/>
      <c r="D882" s="12"/>
      <c r="E882" s="12"/>
    </row>
    <row r="883" spans="1:5" ht="15.75" customHeight="1" x14ac:dyDescent="0.3">
      <c r="A883" s="12"/>
      <c r="B883" s="12"/>
      <c r="C883" s="12"/>
      <c r="D883" s="12"/>
      <c r="E883" s="12"/>
    </row>
    <row r="884" spans="1:5" ht="15.75" customHeight="1" x14ac:dyDescent="0.3">
      <c r="A884" s="12"/>
      <c r="B884" s="12"/>
      <c r="C884" s="12"/>
      <c r="D884" s="12"/>
      <c r="E884" s="12"/>
    </row>
    <row r="885" spans="1:5" ht="15.75" customHeight="1" x14ac:dyDescent="0.3">
      <c r="A885" s="12"/>
      <c r="B885" s="12"/>
      <c r="C885" s="12"/>
      <c r="D885" s="12"/>
      <c r="E885" s="12"/>
    </row>
    <row r="886" spans="1:5" ht="15.75" customHeight="1" x14ac:dyDescent="0.3">
      <c r="A886" s="12"/>
      <c r="B886" s="12"/>
      <c r="C886" s="12"/>
      <c r="D886" s="12"/>
      <c r="E886" s="12"/>
    </row>
    <row r="887" spans="1:5" ht="15.75" customHeight="1" x14ac:dyDescent="0.3">
      <c r="A887" s="12"/>
      <c r="B887" s="12"/>
      <c r="C887" s="12"/>
      <c r="D887" s="12"/>
      <c r="E887" s="12"/>
    </row>
    <row r="888" spans="1:5" ht="15.75" customHeight="1" x14ac:dyDescent="0.3">
      <c r="A888" s="12"/>
      <c r="B888" s="12"/>
      <c r="C888" s="12"/>
      <c r="D888" s="12"/>
      <c r="E888" s="12"/>
    </row>
    <row r="889" spans="1:5" ht="15.75" customHeight="1" x14ac:dyDescent="0.3">
      <c r="A889" s="12"/>
      <c r="B889" s="12"/>
      <c r="C889" s="12"/>
      <c r="D889" s="12"/>
      <c r="E889" s="12"/>
    </row>
    <row r="890" spans="1:5" ht="15.75" customHeight="1" x14ac:dyDescent="0.3">
      <c r="A890" s="12"/>
      <c r="B890" s="12"/>
      <c r="C890" s="12"/>
      <c r="D890" s="12"/>
      <c r="E890" s="12"/>
    </row>
    <row r="891" spans="1:5" ht="15.75" customHeight="1" x14ac:dyDescent="0.3">
      <c r="A891" s="12"/>
      <c r="B891" s="12"/>
      <c r="C891" s="12"/>
      <c r="D891" s="12"/>
      <c r="E891" s="12"/>
    </row>
    <row r="892" spans="1:5" ht="15.75" customHeight="1" x14ac:dyDescent="0.3">
      <c r="A892" s="12"/>
      <c r="B892" s="12"/>
      <c r="C892" s="12"/>
      <c r="D892" s="12"/>
      <c r="E892" s="12"/>
    </row>
    <row r="893" spans="1:5" ht="15.75" customHeight="1" x14ac:dyDescent="0.3">
      <c r="A893" s="12"/>
      <c r="B893" s="12"/>
      <c r="C893" s="12"/>
      <c r="D893" s="12"/>
      <c r="E893" s="12"/>
    </row>
    <row r="894" spans="1:5" ht="15.75" customHeight="1" x14ac:dyDescent="0.3">
      <c r="A894" s="12"/>
      <c r="B894" s="12"/>
      <c r="C894" s="12"/>
      <c r="D894" s="12"/>
      <c r="E894" s="12"/>
    </row>
    <row r="895" spans="1:5" ht="15.75" customHeight="1" x14ac:dyDescent="0.3">
      <c r="A895" s="12"/>
      <c r="B895" s="12"/>
      <c r="C895" s="12"/>
      <c r="D895" s="12"/>
      <c r="E895" s="12"/>
    </row>
    <row r="896" spans="1:5" ht="15.75" customHeight="1" x14ac:dyDescent="0.3">
      <c r="A896" s="12"/>
      <c r="B896" s="12"/>
      <c r="C896" s="12"/>
      <c r="D896" s="12"/>
      <c r="E896" s="12"/>
    </row>
    <row r="897" spans="1:5" ht="15.75" customHeight="1" x14ac:dyDescent="0.3">
      <c r="A897" s="12"/>
      <c r="B897" s="12"/>
      <c r="C897" s="12"/>
      <c r="D897" s="12"/>
      <c r="E897" s="12"/>
    </row>
    <row r="898" spans="1:5" ht="15.75" customHeight="1" x14ac:dyDescent="0.3">
      <c r="A898" s="12"/>
      <c r="B898" s="12"/>
      <c r="C898" s="12"/>
      <c r="D898" s="12"/>
      <c r="E898" s="12"/>
    </row>
    <row r="899" spans="1:5" ht="15.75" customHeight="1" x14ac:dyDescent="0.3">
      <c r="A899" s="12"/>
      <c r="B899" s="12"/>
      <c r="C899" s="12"/>
      <c r="D899" s="12"/>
      <c r="E899" s="12"/>
    </row>
    <row r="900" spans="1:5" ht="15.75" customHeight="1" x14ac:dyDescent="0.3">
      <c r="A900" s="12"/>
      <c r="B900" s="12"/>
      <c r="C900" s="12"/>
      <c r="D900" s="12"/>
      <c r="E900" s="12"/>
    </row>
    <row r="901" spans="1:5" ht="15.75" customHeight="1" x14ac:dyDescent="0.3">
      <c r="A901" s="12"/>
      <c r="B901" s="12"/>
      <c r="C901" s="12"/>
      <c r="D901" s="12"/>
      <c r="E901" s="12"/>
    </row>
    <row r="902" spans="1:5" ht="15.75" customHeight="1" x14ac:dyDescent="0.3">
      <c r="A902" s="12"/>
      <c r="B902" s="12"/>
      <c r="C902" s="12"/>
      <c r="D902" s="12"/>
      <c r="E902" s="12"/>
    </row>
    <row r="903" spans="1:5" ht="15.75" customHeight="1" x14ac:dyDescent="0.3">
      <c r="A903" s="12"/>
      <c r="B903" s="12"/>
      <c r="C903" s="12"/>
      <c r="D903" s="12"/>
      <c r="E903" s="12"/>
    </row>
    <row r="904" spans="1:5" ht="15.75" customHeight="1" x14ac:dyDescent="0.3">
      <c r="A904" s="12"/>
      <c r="B904" s="12"/>
      <c r="C904" s="12"/>
      <c r="D904" s="12"/>
      <c r="E904" s="12"/>
    </row>
    <row r="905" spans="1:5" ht="15.75" customHeight="1" x14ac:dyDescent="0.3">
      <c r="A905" s="12"/>
      <c r="B905" s="12"/>
      <c r="C905" s="12"/>
      <c r="D905" s="12"/>
      <c r="E905" s="12"/>
    </row>
    <row r="906" spans="1:5" ht="15.75" customHeight="1" x14ac:dyDescent="0.3">
      <c r="A906" s="12"/>
      <c r="B906" s="12"/>
      <c r="C906" s="12"/>
      <c r="D906" s="12"/>
      <c r="E906" s="12"/>
    </row>
    <row r="907" spans="1:5" ht="15.75" customHeight="1" x14ac:dyDescent="0.3">
      <c r="A907" s="12"/>
      <c r="B907" s="12"/>
      <c r="C907" s="12"/>
      <c r="D907" s="12"/>
      <c r="E907" s="12"/>
    </row>
    <row r="908" spans="1:5" ht="15.75" customHeight="1" x14ac:dyDescent="0.3">
      <c r="A908" s="12"/>
      <c r="B908" s="12"/>
      <c r="C908" s="12"/>
      <c r="D908" s="12"/>
      <c r="E908" s="12"/>
    </row>
    <row r="909" spans="1:5" ht="15.75" customHeight="1" x14ac:dyDescent="0.3">
      <c r="A909" s="12"/>
      <c r="B909" s="12"/>
      <c r="C909" s="12"/>
      <c r="D909" s="12"/>
      <c r="E909" s="12"/>
    </row>
    <row r="910" spans="1:5" ht="15.75" customHeight="1" x14ac:dyDescent="0.3">
      <c r="A910" s="12"/>
      <c r="B910" s="12"/>
      <c r="C910" s="12"/>
      <c r="D910" s="12"/>
      <c r="E910" s="12"/>
    </row>
    <row r="911" spans="1:5" ht="15.75" customHeight="1" x14ac:dyDescent="0.3">
      <c r="A911" s="12"/>
      <c r="B911" s="12"/>
      <c r="C911" s="12"/>
      <c r="D911" s="12"/>
      <c r="E911" s="12"/>
    </row>
    <row r="912" spans="1:5" ht="15.75" customHeight="1" x14ac:dyDescent="0.3">
      <c r="A912" s="12"/>
      <c r="B912" s="12"/>
      <c r="C912" s="12"/>
      <c r="D912" s="12"/>
      <c r="E912" s="12"/>
    </row>
    <row r="913" spans="1:5" ht="15.75" customHeight="1" x14ac:dyDescent="0.3">
      <c r="A913" s="12"/>
      <c r="B913" s="12"/>
      <c r="C913" s="12"/>
      <c r="D913" s="12"/>
      <c r="E913" s="12"/>
    </row>
    <row r="914" spans="1:5" ht="15.75" customHeight="1" x14ac:dyDescent="0.3">
      <c r="A914" s="12"/>
      <c r="B914" s="12"/>
      <c r="C914" s="12"/>
      <c r="D914" s="12"/>
      <c r="E914" s="12"/>
    </row>
    <row r="915" spans="1:5" ht="15.75" customHeight="1" x14ac:dyDescent="0.3">
      <c r="A915" s="12"/>
      <c r="B915" s="12"/>
      <c r="C915" s="12"/>
      <c r="D915" s="12"/>
      <c r="E915" s="12"/>
    </row>
    <row r="916" spans="1:5" ht="15.75" customHeight="1" x14ac:dyDescent="0.3">
      <c r="A916" s="12"/>
      <c r="B916" s="12"/>
      <c r="C916" s="12"/>
      <c r="D916" s="12"/>
      <c r="E916" s="12"/>
    </row>
    <row r="917" spans="1:5" ht="15.75" customHeight="1" x14ac:dyDescent="0.3">
      <c r="A917" s="12"/>
      <c r="B917" s="12"/>
      <c r="C917" s="12"/>
      <c r="D917" s="12"/>
      <c r="E917" s="12"/>
    </row>
    <row r="918" spans="1:5" ht="15.75" customHeight="1" x14ac:dyDescent="0.3">
      <c r="A918" s="12"/>
      <c r="B918" s="12"/>
      <c r="C918" s="12"/>
      <c r="D918" s="12"/>
      <c r="E918" s="12"/>
    </row>
    <row r="919" spans="1:5" ht="15.75" customHeight="1" x14ac:dyDescent="0.3">
      <c r="A919" s="12"/>
      <c r="B919" s="12"/>
      <c r="C919" s="12"/>
      <c r="D919" s="12"/>
      <c r="E919" s="12"/>
    </row>
    <row r="920" spans="1:5" ht="15.75" customHeight="1" x14ac:dyDescent="0.3">
      <c r="A920" s="12"/>
      <c r="B920" s="12"/>
      <c r="C920" s="12"/>
      <c r="D920" s="12"/>
      <c r="E920" s="12"/>
    </row>
    <row r="921" spans="1:5" ht="15.75" customHeight="1" x14ac:dyDescent="0.3">
      <c r="A921" s="12"/>
      <c r="B921" s="12"/>
      <c r="C921" s="12"/>
      <c r="D921" s="12"/>
      <c r="E921" s="12"/>
    </row>
    <row r="922" spans="1:5" ht="15.75" customHeight="1" x14ac:dyDescent="0.3">
      <c r="A922" s="12"/>
      <c r="B922" s="12"/>
      <c r="C922" s="12"/>
      <c r="D922" s="12"/>
      <c r="E922" s="12"/>
    </row>
    <row r="923" spans="1:5" ht="15.75" customHeight="1" x14ac:dyDescent="0.3">
      <c r="A923" s="12"/>
      <c r="B923" s="12"/>
      <c r="C923" s="12"/>
      <c r="D923" s="12"/>
      <c r="E923" s="12"/>
    </row>
    <row r="924" spans="1:5" ht="15.75" customHeight="1" x14ac:dyDescent="0.3">
      <c r="A924" s="12"/>
      <c r="B924" s="12"/>
      <c r="C924" s="12"/>
      <c r="D924" s="12"/>
      <c r="E924" s="12"/>
    </row>
    <row r="925" spans="1:5" ht="15.75" customHeight="1" x14ac:dyDescent="0.3">
      <c r="A925" s="12"/>
      <c r="B925" s="12"/>
      <c r="C925" s="12"/>
      <c r="D925" s="12"/>
      <c r="E925" s="12"/>
    </row>
    <row r="926" spans="1:5" ht="15.75" customHeight="1" x14ac:dyDescent="0.3">
      <c r="A926" s="12"/>
      <c r="B926" s="12"/>
      <c r="C926" s="12"/>
      <c r="D926" s="12"/>
      <c r="E926" s="12"/>
    </row>
    <row r="927" spans="1:5" ht="15.75" customHeight="1" x14ac:dyDescent="0.3">
      <c r="A927" s="12"/>
      <c r="B927" s="12"/>
      <c r="C927" s="12"/>
      <c r="D927" s="12"/>
      <c r="E927" s="12"/>
    </row>
    <row r="928" spans="1:5" ht="15.75" customHeight="1" x14ac:dyDescent="0.3">
      <c r="A928" s="12"/>
      <c r="B928" s="12"/>
      <c r="C928" s="12"/>
      <c r="D928" s="12"/>
      <c r="E928" s="12"/>
    </row>
    <row r="929" spans="1:5" ht="15.75" customHeight="1" x14ac:dyDescent="0.3">
      <c r="A929" s="12"/>
      <c r="B929" s="12"/>
      <c r="C929" s="12"/>
      <c r="D929" s="12"/>
      <c r="E929" s="12"/>
    </row>
    <row r="930" spans="1:5" ht="15.75" customHeight="1" x14ac:dyDescent="0.3">
      <c r="A930" s="12"/>
      <c r="B930" s="12"/>
      <c r="C930" s="12"/>
      <c r="D930" s="12"/>
      <c r="E930" s="12"/>
    </row>
    <row r="931" spans="1:5" ht="15.75" customHeight="1" x14ac:dyDescent="0.3">
      <c r="A931" s="12"/>
      <c r="B931" s="12"/>
      <c r="C931" s="12"/>
      <c r="D931" s="12"/>
      <c r="E931" s="12"/>
    </row>
    <row r="932" spans="1:5" ht="15.75" customHeight="1" x14ac:dyDescent="0.3">
      <c r="A932" s="12"/>
      <c r="B932" s="12"/>
      <c r="C932" s="12"/>
      <c r="D932" s="12"/>
      <c r="E932" s="12"/>
    </row>
    <row r="933" spans="1:5" ht="15.75" customHeight="1" x14ac:dyDescent="0.3">
      <c r="A933" s="12"/>
      <c r="B933" s="12"/>
      <c r="C933" s="12"/>
      <c r="D933" s="12"/>
      <c r="E933" s="12"/>
    </row>
    <row r="934" spans="1:5" ht="15.75" customHeight="1" x14ac:dyDescent="0.3">
      <c r="A934" s="12"/>
      <c r="B934" s="12"/>
      <c r="C934" s="12"/>
      <c r="D934" s="12"/>
      <c r="E934" s="12"/>
    </row>
    <row r="935" spans="1:5" ht="15.75" customHeight="1" x14ac:dyDescent="0.3">
      <c r="A935" s="12"/>
      <c r="B935" s="12"/>
      <c r="C935" s="12"/>
      <c r="D935" s="12"/>
      <c r="E935" s="12"/>
    </row>
    <row r="936" spans="1:5" ht="15.75" customHeight="1" x14ac:dyDescent="0.3">
      <c r="A936" s="12"/>
      <c r="B936" s="12"/>
      <c r="C936" s="12"/>
      <c r="D936" s="12"/>
      <c r="E936" s="12"/>
    </row>
    <row r="937" spans="1:5" ht="15.75" customHeight="1" x14ac:dyDescent="0.3">
      <c r="A937" s="12"/>
      <c r="B937" s="12"/>
      <c r="C937" s="12"/>
      <c r="D937" s="12"/>
      <c r="E937" s="12"/>
    </row>
    <row r="938" spans="1:5" ht="15.75" customHeight="1" x14ac:dyDescent="0.3">
      <c r="A938" s="12"/>
      <c r="B938" s="12"/>
      <c r="C938" s="12"/>
      <c r="D938" s="12"/>
      <c r="E938" s="12"/>
    </row>
    <row r="939" spans="1:5" ht="15.75" customHeight="1" x14ac:dyDescent="0.3">
      <c r="A939" s="12"/>
      <c r="B939" s="12"/>
      <c r="C939" s="12"/>
      <c r="D939" s="12"/>
      <c r="E939" s="12"/>
    </row>
    <row r="940" spans="1:5" ht="15.75" customHeight="1" x14ac:dyDescent="0.3">
      <c r="A940" s="12"/>
      <c r="B940" s="12"/>
      <c r="C940" s="12"/>
      <c r="D940" s="12"/>
      <c r="E940" s="12"/>
    </row>
    <row r="941" spans="1:5" ht="15.75" customHeight="1" x14ac:dyDescent="0.3">
      <c r="A941" s="12"/>
      <c r="B941" s="12"/>
      <c r="C941" s="12"/>
      <c r="D941" s="12"/>
      <c r="E941" s="12"/>
    </row>
    <row r="942" spans="1:5" ht="15.75" customHeight="1" x14ac:dyDescent="0.3">
      <c r="A942" s="12"/>
      <c r="B942" s="12"/>
      <c r="C942" s="12"/>
      <c r="D942" s="12"/>
      <c r="E942" s="12"/>
    </row>
    <row r="943" spans="1:5" ht="15.75" customHeight="1" x14ac:dyDescent="0.3">
      <c r="A943" s="12"/>
      <c r="B943" s="12"/>
      <c r="C943" s="12"/>
      <c r="D943" s="12"/>
      <c r="E943" s="12"/>
    </row>
    <row r="944" spans="1:5" ht="15.75" customHeight="1" x14ac:dyDescent="0.3">
      <c r="A944" s="12"/>
      <c r="B944" s="12"/>
      <c r="C944" s="12"/>
      <c r="D944" s="12"/>
      <c r="E944" s="12"/>
    </row>
    <row r="945" spans="1:5" ht="15.75" customHeight="1" x14ac:dyDescent="0.3">
      <c r="A945" s="12"/>
      <c r="B945" s="12"/>
      <c r="C945" s="12"/>
      <c r="D945" s="12"/>
      <c r="E945" s="12"/>
    </row>
    <row r="946" spans="1:5" ht="15.75" customHeight="1" x14ac:dyDescent="0.3">
      <c r="A946" s="12"/>
      <c r="B946" s="12"/>
      <c r="C946" s="12"/>
      <c r="D946" s="12"/>
      <c r="E946" s="12"/>
    </row>
    <row r="947" spans="1:5" ht="15.75" customHeight="1" x14ac:dyDescent="0.3">
      <c r="A947" s="12"/>
      <c r="B947" s="12"/>
      <c r="C947" s="12"/>
      <c r="D947" s="12"/>
      <c r="E947" s="12"/>
    </row>
    <row r="948" spans="1:5" ht="15.75" customHeight="1" x14ac:dyDescent="0.3">
      <c r="A948" s="12"/>
      <c r="B948" s="12"/>
      <c r="C948" s="12"/>
      <c r="D948" s="12"/>
      <c r="E948" s="12"/>
    </row>
    <row r="949" spans="1:5" ht="15.75" customHeight="1" x14ac:dyDescent="0.3">
      <c r="A949" s="12"/>
      <c r="B949" s="12"/>
      <c r="C949" s="12"/>
      <c r="D949" s="12"/>
      <c r="E949" s="12"/>
    </row>
    <row r="950" spans="1:5" ht="15.75" customHeight="1" x14ac:dyDescent="0.3">
      <c r="A950" s="12"/>
      <c r="B950" s="12"/>
      <c r="C950" s="12"/>
      <c r="D950" s="12"/>
      <c r="E950" s="12"/>
    </row>
    <row r="951" spans="1:5" ht="15.75" customHeight="1" x14ac:dyDescent="0.3">
      <c r="A951" s="12"/>
      <c r="B951" s="12"/>
      <c r="C951" s="12"/>
      <c r="D951" s="12"/>
      <c r="E951" s="12"/>
    </row>
    <row r="952" spans="1:5" ht="15.75" customHeight="1" x14ac:dyDescent="0.3">
      <c r="A952" s="12"/>
      <c r="B952" s="12"/>
      <c r="C952" s="12"/>
      <c r="D952" s="12"/>
      <c r="E952" s="12"/>
    </row>
    <row r="953" spans="1:5" ht="15.75" customHeight="1" x14ac:dyDescent="0.3">
      <c r="A953" s="12"/>
      <c r="B953" s="12"/>
      <c r="C953" s="12"/>
      <c r="D953" s="12"/>
      <c r="E953" s="12"/>
    </row>
    <row r="954" spans="1:5" ht="15.75" customHeight="1" x14ac:dyDescent="0.3">
      <c r="A954" s="12"/>
      <c r="B954" s="12"/>
      <c r="C954" s="12"/>
      <c r="D954" s="12"/>
      <c r="E954" s="12"/>
    </row>
    <row r="955" spans="1:5" ht="15.75" customHeight="1" x14ac:dyDescent="0.3">
      <c r="A955" s="12"/>
      <c r="B955" s="12"/>
      <c r="C955" s="12"/>
      <c r="D955" s="12"/>
      <c r="E955" s="12"/>
    </row>
    <row r="956" spans="1:5" ht="15.75" customHeight="1" x14ac:dyDescent="0.3">
      <c r="A956" s="12"/>
      <c r="B956" s="12"/>
      <c r="C956" s="12"/>
      <c r="D956" s="12"/>
      <c r="E956" s="12"/>
    </row>
    <row r="957" spans="1:5" ht="15.75" customHeight="1" x14ac:dyDescent="0.3">
      <c r="A957" s="12"/>
      <c r="B957" s="12"/>
      <c r="C957" s="12"/>
      <c r="D957" s="12"/>
      <c r="E957" s="12"/>
    </row>
    <row r="958" spans="1:5" ht="15.75" customHeight="1" x14ac:dyDescent="0.3">
      <c r="A958" s="12"/>
      <c r="B958" s="12"/>
      <c r="C958" s="12"/>
      <c r="D958" s="12"/>
      <c r="E958" s="12"/>
    </row>
    <row r="959" spans="1:5" ht="15.75" customHeight="1" x14ac:dyDescent="0.3">
      <c r="A959" s="12"/>
      <c r="B959" s="12"/>
      <c r="C959" s="12"/>
      <c r="D959" s="12"/>
      <c r="E959" s="12"/>
    </row>
    <row r="960" spans="1:5" ht="15.75" customHeight="1" x14ac:dyDescent="0.3">
      <c r="A960" s="12"/>
      <c r="B960" s="12"/>
      <c r="C960" s="12"/>
      <c r="D960" s="12"/>
      <c r="E960" s="12"/>
    </row>
    <row r="961" spans="1:5" ht="15.75" customHeight="1" x14ac:dyDescent="0.3">
      <c r="A961" s="12"/>
      <c r="B961" s="12"/>
      <c r="C961" s="12"/>
      <c r="D961" s="12"/>
      <c r="E961" s="12"/>
    </row>
    <row r="962" spans="1:5" ht="15.75" customHeight="1" x14ac:dyDescent="0.3">
      <c r="A962" s="12"/>
      <c r="B962" s="12"/>
      <c r="C962" s="12"/>
      <c r="D962" s="12"/>
      <c r="E962" s="12"/>
    </row>
    <row r="963" spans="1:5" ht="15.75" customHeight="1" x14ac:dyDescent="0.3">
      <c r="A963" s="12"/>
      <c r="B963" s="12"/>
      <c r="C963" s="12"/>
      <c r="D963" s="12"/>
      <c r="E963" s="12"/>
    </row>
    <row r="964" spans="1:5" ht="15.75" customHeight="1" x14ac:dyDescent="0.3">
      <c r="A964" s="12"/>
      <c r="B964" s="12"/>
      <c r="C964" s="12"/>
      <c r="D964" s="12"/>
      <c r="E964" s="12"/>
    </row>
    <row r="965" spans="1:5" ht="15.75" customHeight="1" x14ac:dyDescent="0.3">
      <c r="A965" s="12"/>
      <c r="B965" s="12"/>
      <c r="C965" s="12"/>
      <c r="D965" s="12"/>
      <c r="E965" s="12"/>
    </row>
    <row r="966" spans="1:5" ht="15.75" customHeight="1" x14ac:dyDescent="0.3">
      <c r="A966" s="12"/>
      <c r="B966" s="12"/>
      <c r="C966" s="12"/>
      <c r="D966" s="12"/>
      <c r="E966" s="12"/>
    </row>
    <row r="967" spans="1:5" ht="15.75" customHeight="1" x14ac:dyDescent="0.3">
      <c r="A967" s="12"/>
      <c r="B967" s="12"/>
      <c r="C967" s="12"/>
      <c r="D967" s="12"/>
      <c r="E967" s="12"/>
    </row>
    <row r="968" spans="1:5" ht="15.75" customHeight="1" x14ac:dyDescent="0.3">
      <c r="A968" s="12"/>
      <c r="B968" s="12"/>
      <c r="C968" s="12"/>
      <c r="D968" s="12"/>
      <c r="E968" s="12"/>
    </row>
    <row r="969" spans="1:5" ht="15.75" customHeight="1" x14ac:dyDescent="0.3">
      <c r="A969" s="12"/>
      <c r="B969" s="12"/>
      <c r="C969" s="12"/>
      <c r="D969" s="12"/>
      <c r="E969" s="12"/>
    </row>
    <row r="970" spans="1:5" ht="15.75" customHeight="1" x14ac:dyDescent="0.3">
      <c r="A970" s="12"/>
      <c r="B970" s="12"/>
      <c r="C970" s="12"/>
      <c r="D970" s="12"/>
      <c r="E970" s="12"/>
    </row>
    <row r="971" spans="1:5" ht="15.75" customHeight="1" x14ac:dyDescent="0.3">
      <c r="A971" s="12"/>
      <c r="B971" s="12"/>
      <c r="C971" s="12"/>
      <c r="D971" s="12"/>
      <c r="E971" s="12"/>
    </row>
    <row r="972" spans="1:5" ht="15.75" customHeight="1" x14ac:dyDescent="0.3">
      <c r="A972" s="12"/>
      <c r="B972" s="12"/>
      <c r="C972" s="12"/>
      <c r="D972" s="12"/>
      <c r="E972" s="12"/>
    </row>
    <row r="973" spans="1:5" ht="15.75" customHeight="1" x14ac:dyDescent="0.3">
      <c r="A973" s="12"/>
      <c r="B973" s="12"/>
      <c r="C973" s="12"/>
      <c r="D973" s="12"/>
      <c r="E973" s="12"/>
    </row>
    <row r="974" spans="1:5" ht="15.75" customHeight="1" x14ac:dyDescent="0.3">
      <c r="A974" s="12"/>
      <c r="B974" s="12"/>
      <c r="C974" s="12"/>
      <c r="D974" s="12"/>
      <c r="E974" s="12"/>
    </row>
    <row r="975" spans="1:5" ht="15.75" customHeight="1" x14ac:dyDescent="0.3">
      <c r="A975" s="12"/>
      <c r="B975" s="12"/>
      <c r="C975" s="12"/>
      <c r="D975" s="12"/>
      <c r="E975" s="12"/>
    </row>
    <row r="976" spans="1:5" ht="15.75" customHeight="1" x14ac:dyDescent="0.3">
      <c r="A976" s="12"/>
      <c r="B976" s="12"/>
      <c r="C976" s="12"/>
      <c r="D976" s="12"/>
      <c r="E976" s="12"/>
    </row>
    <row r="977" spans="1:5" ht="15.75" customHeight="1" x14ac:dyDescent="0.3">
      <c r="A977" s="12"/>
      <c r="B977" s="12"/>
      <c r="C977" s="12"/>
      <c r="D977" s="12"/>
      <c r="E977" s="12"/>
    </row>
    <row r="978" spans="1:5" ht="15.75" customHeight="1" x14ac:dyDescent="0.3">
      <c r="A978" s="12"/>
      <c r="B978" s="12"/>
      <c r="C978" s="12"/>
      <c r="D978" s="12"/>
      <c r="E978" s="12"/>
    </row>
    <row r="979" spans="1:5" ht="15.75" customHeight="1" x14ac:dyDescent="0.3">
      <c r="A979" s="12"/>
      <c r="B979" s="12"/>
      <c r="C979" s="12"/>
      <c r="D979" s="12"/>
      <c r="E979" s="12"/>
    </row>
    <row r="980" spans="1:5" ht="15.75" customHeight="1" x14ac:dyDescent="0.3">
      <c r="A980" s="12"/>
      <c r="B980" s="12"/>
      <c r="C980" s="12"/>
      <c r="D980" s="12"/>
      <c r="E980" s="12"/>
    </row>
    <row r="981" spans="1:5" ht="15.75" customHeight="1" x14ac:dyDescent="0.3">
      <c r="A981" s="12"/>
      <c r="B981" s="12"/>
      <c r="C981" s="12"/>
      <c r="D981" s="12"/>
      <c r="E981" s="12"/>
    </row>
    <row r="982" spans="1:5" ht="15.75" customHeight="1" x14ac:dyDescent="0.3">
      <c r="A982" s="12"/>
      <c r="B982" s="12"/>
      <c r="C982" s="12"/>
      <c r="D982" s="12"/>
      <c r="E982" s="12"/>
    </row>
    <row r="983" spans="1:5" ht="15.75" customHeight="1" x14ac:dyDescent="0.3">
      <c r="A983" s="12"/>
      <c r="B983" s="12"/>
      <c r="C983" s="12"/>
      <c r="D983" s="12"/>
      <c r="E983" s="12"/>
    </row>
    <row r="984" spans="1:5" ht="15.75" customHeight="1" x14ac:dyDescent="0.3">
      <c r="A984" s="12"/>
      <c r="B984" s="12"/>
      <c r="C984" s="12"/>
      <c r="D984" s="12"/>
      <c r="E984" s="12"/>
    </row>
    <row r="985" spans="1:5" ht="15.75" customHeight="1" x14ac:dyDescent="0.3">
      <c r="A985" s="12"/>
      <c r="B985" s="12"/>
      <c r="C985" s="12"/>
      <c r="D985" s="12"/>
      <c r="E985" s="12"/>
    </row>
    <row r="986" spans="1:5" ht="15.75" customHeight="1" x14ac:dyDescent="0.3">
      <c r="A986" s="12"/>
      <c r="B986" s="12"/>
      <c r="C986" s="12"/>
      <c r="D986" s="12"/>
      <c r="E986" s="12"/>
    </row>
    <row r="987" spans="1:5" ht="15.75" customHeight="1" x14ac:dyDescent="0.3">
      <c r="A987" s="12"/>
      <c r="B987" s="12"/>
      <c r="C987" s="12"/>
      <c r="D987" s="12"/>
      <c r="E987" s="12"/>
    </row>
    <row r="988" spans="1:5" ht="15.75" customHeight="1" x14ac:dyDescent="0.3">
      <c r="A988" s="12"/>
      <c r="B988" s="12"/>
      <c r="C988" s="12"/>
      <c r="D988" s="12"/>
      <c r="E988" s="12"/>
    </row>
    <row r="989" spans="1:5" ht="15.75" customHeight="1" x14ac:dyDescent="0.3">
      <c r="A989" s="12"/>
      <c r="B989" s="12"/>
      <c r="C989" s="12"/>
      <c r="D989" s="12"/>
      <c r="E989" s="12"/>
    </row>
    <row r="990" spans="1:5" ht="15.75" customHeight="1" x14ac:dyDescent="0.3">
      <c r="A990" s="12"/>
      <c r="B990" s="12"/>
      <c r="C990" s="12"/>
      <c r="D990" s="12"/>
      <c r="E990" s="12"/>
    </row>
    <row r="991" spans="1:5" ht="15.75" customHeight="1" x14ac:dyDescent="0.3">
      <c r="A991" s="12"/>
      <c r="B991" s="12"/>
      <c r="C991" s="12"/>
      <c r="D991" s="12"/>
      <c r="E991" s="12"/>
    </row>
    <row r="992" spans="1:5" ht="15.75" customHeight="1" x14ac:dyDescent="0.3">
      <c r="A992" s="12"/>
      <c r="B992" s="12"/>
      <c r="C992" s="12"/>
      <c r="D992" s="12"/>
      <c r="E992" s="12"/>
    </row>
    <row r="993" spans="1:5" ht="15.75" customHeight="1" x14ac:dyDescent="0.3">
      <c r="A993" s="12"/>
      <c r="B993" s="12"/>
      <c r="C993" s="12"/>
      <c r="D993" s="12"/>
      <c r="E993" s="12"/>
    </row>
    <row r="994" spans="1:5" ht="15.75" customHeight="1" x14ac:dyDescent="0.3">
      <c r="A994" s="12"/>
      <c r="B994" s="12"/>
      <c r="C994" s="12"/>
      <c r="D994" s="12"/>
      <c r="E994" s="12"/>
    </row>
    <row r="995" spans="1:5" ht="15.75" customHeight="1" x14ac:dyDescent="0.3">
      <c r="A995" s="12"/>
      <c r="B995" s="12"/>
      <c r="C995" s="12"/>
      <c r="D995" s="12"/>
      <c r="E995" s="12"/>
    </row>
    <row r="996" spans="1:5" ht="15.75" customHeight="1" x14ac:dyDescent="0.3">
      <c r="A996" s="12"/>
      <c r="B996" s="12"/>
      <c r="C996" s="12"/>
      <c r="D996" s="12"/>
      <c r="E996" s="12"/>
    </row>
    <row r="997" spans="1:5" ht="15.75" customHeight="1" x14ac:dyDescent="0.3">
      <c r="A997" s="12"/>
      <c r="B997" s="12"/>
      <c r="C997" s="12"/>
      <c r="D997" s="12"/>
      <c r="E997" s="12"/>
    </row>
    <row r="998" spans="1:5" ht="15.75" customHeight="1" x14ac:dyDescent="0.3">
      <c r="A998" s="12"/>
      <c r="B998" s="12"/>
      <c r="C998" s="12"/>
      <c r="D998" s="12"/>
      <c r="E998" s="12"/>
    </row>
    <row r="999" spans="1:5" ht="15.75" customHeight="1" x14ac:dyDescent="0.3">
      <c r="A999" s="12"/>
      <c r="B999" s="12"/>
      <c r="C999" s="12"/>
      <c r="D999" s="12"/>
      <c r="E999" s="12"/>
    </row>
    <row r="1000" spans="1:5" ht="15.75" customHeight="1" x14ac:dyDescent="0.3">
      <c r="A1000" s="12"/>
      <c r="B1000" s="12"/>
      <c r="C1000" s="12"/>
      <c r="D1000" s="12"/>
      <c r="E1000" s="12"/>
    </row>
  </sheetData>
  <mergeCells count="7">
    <mergeCell ref="B29:D29"/>
    <mergeCell ref="B37:D37"/>
    <mergeCell ref="B1:D1"/>
    <mergeCell ref="B2:D2"/>
    <mergeCell ref="B4:D4"/>
    <mergeCell ref="B9:D9"/>
    <mergeCell ref="B20:D20"/>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7"/>
  <sheetViews>
    <sheetView workbookViewId="0"/>
  </sheetViews>
  <sheetFormatPr defaultColWidth="8.6640625" defaultRowHeight="13.2" x14ac:dyDescent="0.25"/>
  <cols>
    <col min="1" max="1" width="24" customWidth="1"/>
    <col min="2" max="2" width="38" customWidth="1"/>
    <col min="3" max="4" width="16" customWidth="1"/>
    <col min="5" max="5" width="38" customWidth="1"/>
    <col min="6" max="11" width="16" customWidth="1"/>
    <col min="12" max="12" width="34" customWidth="1"/>
    <col min="13" max="14" width="22" customWidth="1"/>
  </cols>
  <sheetData>
    <row r="1" spans="1:14" ht="28.8" customHeight="1" x14ac:dyDescent="0.25">
      <c r="A1" s="3" t="s">
        <v>48</v>
      </c>
      <c r="B1" s="3" t="s">
        <v>49</v>
      </c>
      <c r="C1" s="3" t="s">
        <v>50</v>
      </c>
      <c r="D1" s="3" t="s">
        <v>51</v>
      </c>
      <c r="E1" s="3" t="s">
        <v>52</v>
      </c>
      <c r="F1" s="3" t="s">
        <v>53</v>
      </c>
      <c r="G1" s="3" t="s">
        <v>54</v>
      </c>
      <c r="H1" s="3" t="s">
        <v>55</v>
      </c>
      <c r="I1" s="3" t="s">
        <v>56</v>
      </c>
      <c r="J1" s="3" t="s">
        <v>57</v>
      </c>
      <c r="K1" s="3" t="s">
        <v>58</v>
      </c>
      <c r="L1" s="3" t="s">
        <v>59</v>
      </c>
      <c r="M1" s="3" t="s">
        <v>60</v>
      </c>
      <c r="N1" s="3" t="s">
        <v>61</v>
      </c>
    </row>
    <row r="2" spans="1:14" ht="194.4" customHeight="1" x14ac:dyDescent="0.3">
      <c r="A2" s="2" t="s">
        <v>62</v>
      </c>
      <c r="B2" s="2" t="s">
        <v>63</v>
      </c>
      <c r="C2" s="2" t="s">
        <v>64</v>
      </c>
      <c r="D2" s="2" t="s">
        <v>65</v>
      </c>
      <c r="E2" s="2" t="s">
        <v>66</v>
      </c>
      <c r="F2" s="2" t="s">
        <v>67</v>
      </c>
      <c r="G2" s="2" t="s">
        <v>68</v>
      </c>
      <c r="H2" s="2" t="s">
        <v>69</v>
      </c>
      <c r="I2" s="2" t="s">
        <v>70</v>
      </c>
      <c r="J2" s="2" t="s">
        <v>71</v>
      </c>
      <c r="K2" s="2" t="s">
        <v>72</v>
      </c>
      <c r="L2" s="2" t="s">
        <v>73</v>
      </c>
      <c r="M2" s="2" t="s">
        <v>74</v>
      </c>
      <c r="N2" s="2" t="s">
        <v>75</v>
      </c>
    </row>
    <row r="3" spans="1:14" ht="172.8" customHeight="1" x14ac:dyDescent="0.3">
      <c r="A3" s="2" t="s">
        <v>76</v>
      </c>
      <c r="B3" s="2" t="s">
        <v>77</v>
      </c>
      <c r="C3" s="2" t="s">
        <v>64</v>
      </c>
      <c r="D3" s="2" t="s">
        <v>65</v>
      </c>
      <c r="E3" s="2" t="s">
        <v>78</v>
      </c>
      <c r="F3" s="2" t="s">
        <v>67</v>
      </c>
      <c r="G3" s="2" t="s">
        <v>68</v>
      </c>
      <c r="H3" s="2" t="s">
        <v>69</v>
      </c>
      <c r="I3" s="2" t="s">
        <v>70</v>
      </c>
      <c r="J3" s="2" t="s">
        <v>71</v>
      </c>
      <c r="K3" s="2" t="s">
        <v>72</v>
      </c>
      <c r="L3" s="2" t="s">
        <v>79</v>
      </c>
      <c r="M3" s="2" t="s">
        <v>74</v>
      </c>
      <c r="N3" s="2" t="s">
        <v>80</v>
      </c>
    </row>
    <row r="4" spans="1:14" ht="237.6" customHeight="1" x14ac:dyDescent="0.3">
      <c r="A4" s="2" t="s">
        <v>81</v>
      </c>
      <c r="B4" s="2" t="s">
        <v>82</v>
      </c>
      <c r="C4" s="2" t="s">
        <v>64</v>
      </c>
      <c r="D4" s="2" t="s">
        <v>65</v>
      </c>
      <c r="E4" s="2" t="s">
        <v>83</v>
      </c>
      <c r="F4" s="2" t="s">
        <v>67</v>
      </c>
      <c r="G4" s="2" t="s">
        <v>68</v>
      </c>
      <c r="H4" s="2" t="s">
        <v>69</v>
      </c>
      <c r="I4" s="2" t="s">
        <v>70</v>
      </c>
      <c r="J4" s="2" t="s">
        <v>71</v>
      </c>
      <c r="K4" s="2" t="s">
        <v>72</v>
      </c>
      <c r="L4" s="2" t="s">
        <v>84</v>
      </c>
      <c r="M4" s="2" t="s">
        <v>74</v>
      </c>
      <c r="N4" s="2" t="s">
        <v>85</v>
      </c>
    </row>
    <row r="5" spans="1:14" ht="76.2" customHeight="1" x14ac:dyDescent="0.3">
      <c r="A5" s="2" t="s">
        <v>86</v>
      </c>
      <c r="B5" s="2" t="s">
        <v>87</v>
      </c>
      <c r="C5" s="2" t="s">
        <v>64</v>
      </c>
      <c r="D5" s="2" t="s">
        <v>65</v>
      </c>
      <c r="E5" s="2" t="s">
        <v>88</v>
      </c>
      <c r="F5" s="2" t="s">
        <v>67</v>
      </c>
      <c r="G5" s="2" t="s">
        <v>89</v>
      </c>
      <c r="H5" s="2" t="s">
        <v>90</v>
      </c>
      <c r="I5" s="2" t="s">
        <v>70</v>
      </c>
      <c r="J5" s="2" t="s">
        <v>71</v>
      </c>
      <c r="K5" s="2" t="s">
        <v>72</v>
      </c>
      <c r="L5" s="2" t="s">
        <v>91</v>
      </c>
      <c r="M5" s="2" t="s">
        <v>92</v>
      </c>
      <c r="N5" s="2" t="s">
        <v>93</v>
      </c>
    </row>
    <row r="6" spans="1:14" ht="65.400000000000006" customHeight="1" x14ac:dyDescent="0.3">
      <c r="A6" s="2" t="s">
        <v>94</v>
      </c>
      <c r="B6" s="2" t="s">
        <v>95</v>
      </c>
      <c r="C6" s="2" t="s">
        <v>64</v>
      </c>
      <c r="D6" s="2" t="s">
        <v>65</v>
      </c>
      <c r="E6" s="2" t="s">
        <v>96</v>
      </c>
      <c r="F6" s="2" t="s">
        <v>67</v>
      </c>
      <c r="G6" s="2" t="s">
        <v>89</v>
      </c>
      <c r="H6" s="2" t="s">
        <v>90</v>
      </c>
      <c r="I6" s="2" t="s">
        <v>70</v>
      </c>
      <c r="J6" s="2" t="s">
        <v>71</v>
      </c>
      <c r="K6" s="2" t="s">
        <v>72</v>
      </c>
      <c r="L6" s="2" t="s">
        <v>97</v>
      </c>
      <c r="M6" s="2" t="s">
        <v>98</v>
      </c>
      <c r="N6" s="2" t="s">
        <v>99</v>
      </c>
    </row>
    <row r="7" spans="1:14" ht="172.8" customHeight="1" x14ac:dyDescent="0.3">
      <c r="A7" s="2" t="s">
        <v>100</v>
      </c>
      <c r="B7" s="2" t="s">
        <v>101</v>
      </c>
      <c r="C7" s="2" t="s">
        <v>64</v>
      </c>
      <c r="D7" s="2" t="s">
        <v>65</v>
      </c>
      <c r="E7" s="2" t="s">
        <v>102</v>
      </c>
      <c r="F7" s="2" t="s">
        <v>103</v>
      </c>
      <c r="G7" s="2" t="s">
        <v>68</v>
      </c>
      <c r="H7" s="2" t="s">
        <v>69</v>
      </c>
      <c r="I7" s="2" t="s">
        <v>70</v>
      </c>
      <c r="J7" s="2" t="s">
        <v>71</v>
      </c>
      <c r="K7" s="2" t="s">
        <v>104</v>
      </c>
      <c r="L7" s="2" t="s">
        <v>105</v>
      </c>
      <c r="M7" s="2" t="s">
        <v>106</v>
      </c>
      <c r="N7" s="2" t="s">
        <v>107</v>
      </c>
    </row>
    <row r="8" spans="1:14" ht="54.6" customHeight="1" x14ac:dyDescent="0.3">
      <c r="A8" s="2" t="s">
        <v>108</v>
      </c>
      <c r="B8" s="2" t="s">
        <v>109</v>
      </c>
      <c r="C8" s="2" t="s">
        <v>110</v>
      </c>
      <c r="D8" s="2" t="s">
        <v>111</v>
      </c>
      <c r="E8" s="2" t="s">
        <v>112</v>
      </c>
      <c r="F8" s="2" t="s">
        <v>67</v>
      </c>
      <c r="G8" s="2" t="s">
        <v>113</v>
      </c>
      <c r="H8" s="2" t="s">
        <v>114</v>
      </c>
      <c r="I8" s="2" t="s">
        <v>70</v>
      </c>
      <c r="J8" s="2" t="s">
        <v>71</v>
      </c>
      <c r="K8" s="2" t="s">
        <v>72</v>
      </c>
      <c r="L8" s="2" t="s">
        <v>115</v>
      </c>
      <c r="M8" s="2" t="s">
        <v>116</v>
      </c>
      <c r="N8" s="2" t="s">
        <v>117</v>
      </c>
    </row>
    <row r="9" spans="1:14" ht="97.8" customHeight="1" x14ac:dyDescent="0.3">
      <c r="A9" s="2" t="s">
        <v>118</v>
      </c>
      <c r="B9" s="2" t="s">
        <v>119</v>
      </c>
      <c r="C9" s="2" t="s">
        <v>64</v>
      </c>
      <c r="D9" s="2" t="s">
        <v>65</v>
      </c>
      <c r="E9" s="2" t="s">
        <v>120</v>
      </c>
      <c r="F9" s="2" t="s">
        <v>67</v>
      </c>
      <c r="G9" s="2" t="s">
        <v>121</v>
      </c>
      <c r="H9" s="2" t="s">
        <v>122</v>
      </c>
      <c r="I9" s="2" t="s">
        <v>70</v>
      </c>
      <c r="J9" s="2" t="s">
        <v>71</v>
      </c>
      <c r="K9" s="2" t="s">
        <v>72</v>
      </c>
      <c r="L9" s="2" t="s">
        <v>123</v>
      </c>
      <c r="M9" s="2" t="s">
        <v>124</v>
      </c>
      <c r="N9" s="2" t="s">
        <v>125</v>
      </c>
    </row>
    <row r="10" spans="1:14" ht="119.4" customHeight="1" x14ac:dyDescent="0.3">
      <c r="A10" s="2" t="s">
        <v>126</v>
      </c>
      <c r="B10" s="2" t="s">
        <v>127</v>
      </c>
      <c r="C10" s="2" t="s">
        <v>64</v>
      </c>
      <c r="D10" s="2" t="s">
        <v>65</v>
      </c>
      <c r="E10" s="2" t="s">
        <v>128</v>
      </c>
      <c r="F10" s="2" t="s">
        <v>67</v>
      </c>
      <c r="G10" s="2" t="s">
        <v>129</v>
      </c>
      <c r="H10" s="2" t="s">
        <v>130</v>
      </c>
      <c r="I10" s="2" t="s">
        <v>70</v>
      </c>
      <c r="J10" s="2" t="s">
        <v>71</v>
      </c>
      <c r="K10" s="2" t="s">
        <v>72</v>
      </c>
      <c r="L10" s="2" t="s">
        <v>131</v>
      </c>
      <c r="M10" s="2" t="s">
        <v>132</v>
      </c>
      <c r="N10" s="2" t="s">
        <v>133</v>
      </c>
    </row>
    <row r="11" spans="1:14" ht="151.19999999999999" customHeight="1" x14ac:dyDescent="0.3">
      <c r="A11" s="2" t="s">
        <v>134</v>
      </c>
      <c r="B11" s="2" t="s">
        <v>135</v>
      </c>
      <c r="C11" s="2" t="s">
        <v>64</v>
      </c>
      <c r="D11" s="2" t="s">
        <v>65</v>
      </c>
      <c r="E11" s="2" t="s">
        <v>136</v>
      </c>
      <c r="F11" s="2" t="s">
        <v>67</v>
      </c>
      <c r="G11" s="2" t="s">
        <v>137</v>
      </c>
      <c r="H11" s="2" t="s">
        <v>138</v>
      </c>
      <c r="I11" s="2" t="s">
        <v>70</v>
      </c>
      <c r="J11" s="2" t="s">
        <v>71</v>
      </c>
      <c r="K11" s="2" t="s">
        <v>72</v>
      </c>
      <c r="L11" s="2" t="s">
        <v>139</v>
      </c>
      <c r="M11" s="2" t="s">
        <v>140</v>
      </c>
      <c r="N11" s="2" t="s">
        <v>141</v>
      </c>
    </row>
    <row r="12" spans="1:14" ht="65.400000000000006" customHeight="1" x14ac:dyDescent="0.3">
      <c r="A12" s="2" t="s">
        <v>142</v>
      </c>
      <c r="B12" s="2" t="s">
        <v>143</v>
      </c>
      <c r="C12" s="2" t="s">
        <v>64</v>
      </c>
      <c r="D12" s="2" t="s">
        <v>65</v>
      </c>
      <c r="E12" s="2" t="s">
        <v>144</v>
      </c>
      <c r="F12" s="2" t="s">
        <v>67</v>
      </c>
      <c r="G12" s="2" t="s">
        <v>121</v>
      </c>
      <c r="H12" s="2" t="s">
        <v>122</v>
      </c>
      <c r="I12" s="2" t="s">
        <v>70</v>
      </c>
      <c r="J12" s="2" t="s">
        <v>71</v>
      </c>
      <c r="K12" s="2" t="s">
        <v>72</v>
      </c>
      <c r="L12" s="2" t="s">
        <v>145</v>
      </c>
      <c r="M12" s="2" t="s">
        <v>146</v>
      </c>
      <c r="N12" s="2" t="s">
        <v>147</v>
      </c>
    </row>
    <row r="13" spans="1:14" ht="108.6" customHeight="1" x14ac:dyDescent="0.3">
      <c r="A13" s="2" t="s">
        <v>148</v>
      </c>
      <c r="B13" s="2" t="s">
        <v>149</v>
      </c>
      <c r="C13" s="2" t="s">
        <v>64</v>
      </c>
      <c r="D13" s="2" t="s">
        <v>65</v>
      </c>
      <c r="E13" s="2" t="s">
        <v>150</v>
      </c>
      <c r="F13" s="2" t="s">
        <v>67</v>
      </c>
      <c r="G13" s="2" t="s">
        <v>129</v>
      </c>
      <c r="H13" s="2" t="s">
        <v>130</v>
      </c>
      <c r="I13" s="2" t="s">
        <v>70</v>
      </c>
      <c r="J13" s="2" t="s">
        <v>71</v>
      </c>
      <c r="K13" s="2" t="s">
        <v>72</v>
      </c>
      <c r="L13" s="2" t="s">
        <v>151</v>
      </c>
      <c r="M13" s="2" t="s">
        <v>152</v>
      </c>
      <c r="N13" s="2" t="s">
        <v>153</v>
      </c>
    </row>
    <row r="14" spans="1:14" ht="97.8" customHeight="1" x14ac:dyDescent="0.3">
      <c r="A14" s="2" t="s">
        <v>154</v>
      </c>
      <c r="B14" s="2" t="s">
        <v>155</v>
      </c>
      <c r="C14" s="2" t="s">
        <v>64</v>
      </c>
      <c r="D14" s="2" t="s">
        <v>65</v>
      </c>
      <c r="E14" s="2" t="s">
        <v>156</v>
      </c>
      <c r="F14" s="2" t="s">
        <v>67</v>
      </c>
      <c r="G14" s="2" t="s">
        <v>157</v>
      </c>
      <c r="H14" s="2" t="s">
        <v>158</v>
      </c>
      <c r="I14" s="2" t="s">
        <v>70</v>
      </c>
      <c r="J14" s="2" t="s">
        <v>71</v>
      </c>
      <c r="K14" s="2" t="s">
        <v>72</v>
      </c>
      <c r="L14" s="2" t="s">
        <v>159</v>
      </c>
      <c r="M14" s="2" t="s">
        <v>160</v>
      </c>
      <c r="N14" s="2" t="s">
        <v>161</v>
      </c>
    </row>
    <row r="15" spans="1:14" ht="33" customHeight="1" x14ac:dyDescent="0.3">
      <c r="A15" s="2" t="s">
        <v>162</v>
      </c>
      <c r="B15" s="2" t="s">
        <v>163</v>
      </c>
      <c r="C15" s="2" t="s">
        <v>164</v>
      </c>
      <c r="D15" s="2" t="s">
        <v>165</v>
      </c>
      <c r="E15" s="2" t="s">
        <v>166</v>
      </c>
      <c r="F15" s="2" t="s">
        <v>167</v>
      </c>
      <c r="G15" s="2" t="s">
        <v>168</v>
      </c>
      <c r="H15" s="2" t="s">
        <v>169</v>
      </c>
      <c r="I15" s="2" t="s">
        <v>70</v>
      </c>
      <c r="J15" s="2" t="s">
        <v>71</v>
      </c>
      <c r="K15" s="2" t="s">
        <v>104</v>
      </c>
      <c r="L15" s="2" t="s">
        <v>170</v>
      </c>
      <c r="M15" s="2" t="s">
        <v>171</v>
      </c>
      <c r="N15" s="2" t="s">
        <v>172</v>
      </c>
    </row>
    <row r="16" spans="1:14" ht="108.6" customHeight="1" x14ac:dyDescent="0.3">
      <c r="A16" s="2" t="s">
        <v>173</v>
      </c>
      <c r="B16" s="2" t="s">
        <v>174</v>
      </c>
      <c r="C16" s="2" t="s">
        <v>164</v>
      </c>
      <c r="D16" s="2" t="s">
        <v>165</v>
      </c>
      <c r="E16" s="2" t="s">
        <v>175</v>
      </c>
      <c r="F16" s="2" t="s">
        <v>176</v>
      </c>
      <c r="G16" s="2" t="s">
        <v>177</v>
      </c>
      <c r="H16" s="2" t="s">
        <v>178</v>
      </c>
      <c r="I16" s="2" t="s">
        <v>70</v>
      </c>
      <c r="J16" s="2" t="s">
        <v>71</v>
      </c>
      <c r="K16" s="2" t="s">
        <v>104</v>
      </c>
      <c r="L16" s="2" t="s">
        <v>179</v>
      </c>
      <c r="M16" s="2" t="s">
        <v>180</v>
      </c>
      <c r="N16" s="2" t="s">
        <v>181</v>
      </c>
    </row>
    <row r="17" spans="1:14" ht="172.8" customHeight="1" x14ac:dyDescent="0.3">
      <c r="A17" s="2" t="s">
        <v>182</v>
      </c>
      <c r="B17" s="2" t="s">
        <v>183</v>
      </c>
      <c r="C17" s="2" t="s">
        <v>164</v>
      </c>
      <c r="D17" s="2" t="s">
        <v>165</v>
      </c>
      <c r="E17" s="2" t="s">
        <v>184</v>
      </c>
      <c r="F17" s="2" t="s">
        <v>185</v>
      </c>
      <c r="G17" s="2" t="s">
        <v>186</v>
      </c>
      <c r="H17" s="2" t="s">
        <v>187</v>
      </c>
      <c r="I17" s="2" t="s">
        <v>70</v>
      </c>
      <c r="J17" s="2" t="s">
        <v>71</v>
      </c>
      <c r="K17" s="2" t="s">
        <v>72</v>
      </c>
      <c r="L17" s="2" t="s">
        <v>188</v>
      </c>
      <c r="M17" s="2" t="s">
        <v>189</v>
      </c>
      <c r="N17" s="2" t="s">
        <v>190</v>
      </c>
    </row>
    <row r="18" spans="1:14" ht="162" customHeight="1" x14ac:dyDescent="0.3">
      <c r="A18" s="2" t="s">
        <v>191</v>
      </c>
      <c r="B18" s="2" t="s">
        <v>192</v>
      </c>
      <c r="C18" s="2" t="s">
        <v>164</v>
      </c>
      <c r="D18" s="2" t="s">
        <v>165</v>
      </c>
      <c r="E18" s="2" t="s">
        <v>193</v>
      </c>
      <c r="F18" s="2" t="s">
        <v>194</v>
      </c>
      <c r="G18" s="2" t="s">
        <v>195</v>
      </c>
      <c r="H18" s="2" t="s">
        <v>196</v>
      </c>
      <c r="I18" s="2" t="s">
        <v>70</v>
      </c>
      <c r="J18" s="2" t="s">
        <v>71</v>
      </c>
      <c r="K18" s="2" t="s">
        <v>72</v>
      </c>
      <c r="L18" s="2" t="s">
        <v>197</v>
      </c>
      <c r="M18" s="2" t="s">
        <v>198</v>
      </c>
      <c r="N18" s="2" t="s">
        <v>199</v>
      </c>
    </row>
    <row r="19" spans="1:14" ht="119.4" customHeight="1" x14ac:dyDescent="0.3">
      <c r="A19" s="2" t="s">
        <v>200</v>
      </c>
      <c r="B19" s="2" t="s">
        <v>201</v>
      </c>
      <c r="C19" s="2" t="s">
        <v>64</v>
      </c>
      <c r="D19" s="2" t="s">
        <v>65</v>
      </c>
      <c r="E19" s="2" t="s">
        <v>202</v>
      </c>
      <c r="F19" s="2" t="s">
        <v>67</v>
      </c>
      <c r="G19" s="2" t="s">
        <v>121</v>
      </c>
      <c r="H19" s="2" t="s">
        <v>122</v>
      </c>
      <c r="I19" s="2" t="s">
        <v>70</v>
      </c>
      <c r="J19" s="2" t="s">
        <v>71</v>
      </c>
      <c r="K19" s="2" t="s">
        <v>72</v>
      </c>
      <c r="L19" s="2" t="s">
        <v>203</v>
      </c>
      <c r="M19" s="2" t="s">
        <v>204</v>
      </c>
      <c r="N19" s="2" t="s">
        <v>205</v>
      </c>
    </row>
    <row r="20" spans="1:14" ht="151.19999999999999" customHeight="1" x14ac:dyDescent="0.3">
      <c r="A20" s="2" t="s">
        <v>206</v>
      </c>
      <c r="B20" s="2" t="s">
        <v>207</v>
      </c>
      <c r="C20" s="2" t="s">
        <v>64</v>
      </c>
      <c r="D20" s="2" t="s">
        <v>65</v>
      </c>
      <c r="E20" s="2" t="s">
        <v>208</v>
      </c>
      <c r="F20" s="2" t="s">
        <v>67</v>
      </c>
      <c r="G20" s="2" t="s">
        <v>137</v>
      </c>
      <c r="H20" s="2" t="s">
        <v>138</v>
      </c>
      <c r="I20" s="2" t="s">
        <v>70</v>
      </c>
      <c r="J20" s="2" t="s">
        <v>71</v>
      </c>
      <c r="K20" s="2" t="s">
        <v>72</v>
      </c>
      <c r="L20" s="2" t="s">
        <v>209</v>
      </c>
      <c r="M20" s="2" t="s">
        <v>210</v>
      </c>
      <c r="N20" s="2" t="s">
        <v>211</v>
      </c>
    </row>
    <row r="21" spans="1:14" ht="33" customHeight="1" x14ac:dyDescent="0.3">
      <c r="A21" s="2" t="s">
        <v>212</v>
      </c>
      <c r="B21" s="2" t="s">
        <v>213</v>
      </c>
      <c r="C21" s="2" t="s">
        <v>164</v>
      </c>
      <c r="D21" s="2" t="s">
        <v>165</v>
      </c>
      <c r="E21" s="2" t="s">
        <v>214</v>
      </c>
      <c r="F21" s="2" t="s">
        <v>215</v>
      </c>
      <c r="G21" s="2" t="s">
        <v>216</v>
      </c>
      <c r="H21" s="2" t="s">
        <v>217</v>
      </c>
      <c r="I21" s="2" t="s">
        <v>70</v>
      </c>
      <c r="J21" s="2" t="s">
        <v>71</v>
      </c>
      <c r="K21" s="2" t="s">
        <v>72</v>
      </c>
      <c r="L21" s="2" t="s">
        <v>218</v>
      </c>
      <c r="M21" s="2" t="s">
        <v>219</v>
      </c>
      <c r="N21" s="2" t="s">
        <v>220</v>
      </c>
    </row>
    <row r="22" spans="1:14" ht="33" customHeight="1" x14ac:dyDescent="0.3">
      <c r="A22" s="2" t="s">
        <v>221</v>
      </c>
      <c r="B22" s="2" t="s">
        <v>135</v>
      </c>
      <c r="C22" s="2" t="s">
        <v>64</v>
      </c>
      <c r="D22" s="2" t="s">
        <v>65</v>
      </c>
      <c r="E22" s="2" t="s">
        <v>222</v>
      </c>
      <c r="F22" s="2" t="s">
        <v>67</v>
      </c>
      <c r="G22" s="2" t="s">
        <v>137</v>
      </c>
      <c r="H22" s="2" t="s">
        <v>138</v>
      </c>
      <c r="I22" s="2" t="s">
        <v>70</v>
      </c>
      <c r="J22" s="2" t="s">
        <v>71</v>
      </c>
      <c r="K22" s="2" t="s">
        <v>72</v>
      </c>
      <c r="L22" s="2" t="s">
        <v>223</v>
      </c>
      <c r="M22" s="2" t="s">
        <v>224</v>
      </c>
      <c r="N22" s="2" t="s">
        <v>225</v>
      </c>
    </row>
    <row r="23" spans="1:14" ht="33" customHeight="1" x14ac:dyDescent="0.3">
      <c r="A23" s="2" t="s">
        <v>226</v>
      </c>
      <c r="B23" s="2" t="s">
        <v>227</v>
      </c>
      <c r="C23" s="2" t="s">
        <v>110</v>
      </c>
      <c r="D23" s="2" t="s">
        <v>111</v>
      </c>
      <c r="E23" s="2" t="s">
        <v>228</v>
      </c>
      <c r="F23" s="2" t="s">
        <v>229</v>
      </c>
      <c r="G23" s="2" t="s">
        <v>230</v>
      </c>
      <c r="H23" s="2" t="s">
        <v>231</v>
      </c>
      <c r="I23" s="2" t="s">
        <v>70</v>
      </c>
      <c r="J23" s="2" t="s">
        <v>71</v>
      </c>
      <c r="K23" s="2" t="s">
        <v>72</v>
      </c>
      <c r="L23" s="2" t="s">
        <v>232</v>
      </c>
      <c r="M23" s="2" t="s">
        <v>233</v>
      </c>
      <c r="N23" s="2" t="s">
        <v>234</v>
      </c>
    </row>
    <row r="24" spans="1:14" ht="33" customHeight="1" x14ac:dyDescent="0.3">
      <c r="A24" s="2" t="s">
        <v>235</v>
      </c>
      <c r="B24" s="2" t="s">
        <v>227</v>
      </c>
      <c r="C24" s="2" t="s">
        <v>110</v>
      </c>
      <c r="D24" s="2" t="s">
        <v>111</v>
      </c>
      <c r="E24" s="2" t="s">
        <v>236</v>
      </c>
      <c r="F24" s="2" t="s">
        <v>67</v>
      </c>
      <c r="G24" s="2" t="s">
        <v>237</v>
      </c>
      <c r="H24" s="2" t="s">
        <v>238</v>
      </c>
      <c r="I24" s="2" t="s">
        <v>70</v>
      </c>
      <c r="J24" s="2" t="s">
        <v>71</v>
      </c>
      <c r="K24" s="2" t="s">
        <v>72</v>
      </c>
      <c r="L24" s="2" t="s">
        <v>239</v>
      </c>
      <c r="M24" s="2" t="s">
        <v>240</v>
      </c>
      <c r="N24" s="2" t="s">
        <v>241</v>
      </c>
    </row>
    <row r="25" spans="1:14" ht="33" customHeight="1" x14ac:dyDescent="0.3">
      <c r="A25" s="2" t="s">
        <v>242</v>
      </c>
      <c r="B25" s="2" t="s">
        <v>243</v>
      </c>
      <c r="C25" s="2" t="s">
        <v>110</v>
      </c>
      <c r="D25" s="2" t="s">
        <v>111</v>
      </c>
      <c r="E25" s="2" t="s">
        <v>244</v>
      </c>
      <c r="F25" s="2" t="s">
        <v>67</v>
      </c>
      <c r="G25" s="2" t="s">
        <v>245</v>
      </c>
      <c r="H25" s="2" t="s">
        <v>246</v>
      </c>
      <c r="I25" s="2" t="s">
        <v>70</v>
      </c>
      <c r="J25" s="2" t="s">
        <v>71</v>
      </c>
      <c r="K25" s="2" t="s">
        <v>72</v>
      </c>
      <c r="L25" s="2" t="s">
        <v>247</v>
      </c>
      <c r="M25" s="2" t="s">
        <v>248</v>
      </c>
      <c r="N25" s="2" t="s">
        <v>249</v>
      </c>
    </row>
    <row r="26" spans="1:14" ht="33" customHeight="1" x14ac:dyDescent="0.3">
      <c r="A26" s="2" t="s">
        <v>250</v>
      </c>
      <c r="B26" s="2" t="s">
        <v>251</v>
      </c>
      <c r="C26" s="2" t="s">
        <v>164</v>
      </c>
      <c r="D26" s="2" t="s">
        <v>165</v>
      </c>
      <c r="E26" s="2" t="s">
        <v>252</v>
      </c>
      <c r="F26" s="2" t="s">
        <v>167</v>
      </c>
      <c r="G26" s="2" t="s">
        <v>121</v>
      </c>
      <c r="H26" s="2" t="s">
        <v>122</v>
      </c>
      <c r="I26" s="2" t="s">
        <v>70</v>
      </c>
      <c r="J26" s="2" t="s">
        <v>71</v>
      </c>
      <c r="K26" s="2" t="s">
        <v>104</v>
      </c>
      <c r="L26" s="2" t="s">
        <v>253</v>
      </c>
      <c r="M26" s="2" t="s">
        <v>254</v>
      </c>
      <c r="N26" s="2" t="s">
        <v>255</v>
      </c>
    </row>
    <row r="27" spans="1:14" ht="172.8" customHeight="1" x14ac:dyDescent="0.3">
      <c r="A27" s="2" t="s">
        <v>256</v>
      </c>
      <c r="B27" s="2" t="s">
        <v>257</v>
      </c>
      <c r="C27" s="2" t="s">
        <v>64</v>
      </c>
      <c r="D27" s="2" t="s">
        <v>65</v>
      </c>
      <c r="E27" s="2" t="s">
        <v>258</v>
      </c>
      <c r="F27" s="2" t="s">
        <v>67</v>
      </c>
      <c r="G27" s="2" t="s">
        <v>259</v>
      </c>
      <c r="H27" s="2" t="s">
        <v>260</v>
      </c>
      <c r="I27" s="2" t="s">
        <v>70</v>
      </c>
      <c r="J27" s="2" t="s">
        <v>71</v>
      </c>
      <c r="K27" s="2" t="s">
        <v>72</v>
      </c>
      <c r="L27" s="2" t="s">
        <v>261</v>
      </c>
      <c r="M27" s="2" t="s">
        <v>262</v>
      </c>
      <c r="N27" s="2" t="s">
        <v>263</v>
      </c>
    </row>
    <row r="28" spans="1:14" ht="140.4" customHeight="1" x14ac:dyDescent="0.3">
      <c r="A28" s="2" t="s">
        <v>264</v>
      </c>
      <c r="B28" s="2" t="s">
        <v>265</v>
      </c>
      <c r="C28" s="2" t="s">
        <v>110</v>
      </c>
      <c r="D28" s="2" t="s">
        <v>111</v>
      </c>
      <c r="E28" s="2" t="s">
        <v>266</v>
      </c>
      <c r="F28" s="2" t="s">
        <v>229</v>
      </c>
      <c r="G28" s="2" t="s">
        <v>113</v>
      </c>
      <c r="H28" s="2" t="s">
        <v>114</v>
      </c>
      <c r="I28" s="2" t="s">
        <v>70</v>
      </c>
      <c r="J28" s="2" t="s">
        <v>71</v>
      </c>
      <c r="K28" s="2" t="s">
        <v>72</v>
      </c>
      <c r="L28" s="2" t="s">
        <v>267</v>
      </c>
      <c r="M28" s="2" t="s">
        <v>268</v>
      </c>
      <c r="N28" s="2" t="s">
        <v>269</v>
      </c>
    </row>
    <row r="29" spans="1:14" ht="151.19999999999999" customHeight="1" x14ac:dyDescent="0.3">
      <c r="A29" s="2" t="s">
        <v>270</v>
      </c>
      <c r="B29" s="2" t="s">
        <v>271</v>
      </c>
      <c r="C29" s="2" t="s">
        <v>110</v>
      </c>
      <c r="D29" s="2" t="s">
        <v>111</v>
      </c>
      <c r="E29" s="2" t="s">
        <v>272</v>
      </c>
      <c r="F29" s="2" t="s">
        <v>229</v>
      </c>
      <c r="G29" s="2" t="s">
        <v>273</v>
      </c>
      <c r="H29" s="2" t="s">
        <v>274</v>
      </c>
      <c r="I29" s="2" t="s">
        <v>70</v>
      </c>
      <c r="J29" s="2" t="s">
        <v>71</v>
      </c>
      <c r="K29" s="2" t="s">
        <v>72</v>
      </c>
      <c r="L29" s="2" t="s">
        <v>275</v>
      </c>
      <c r="M29" s="2" t="s">
        <v>276</v>
      </c>
      <c r="N29" s="2" t="s">
        <v>277</v>
      </c>
    </row>
    <row r="30" spans="1:14" ht="162" customHeight="1" x14ac:dyDescent="0.3">
      <c r="A30" s="2" t="s">
        <v>278</v>
      </c>
      <c r="B30" s="2" t="s">
        <v>279</v>
      </c>
      <c r="C30" s="2" t="s">
        <v>64</v>
      </c>
      <c r="D30" s="2" t="s">
        <v>65</v>
      </c>
      <c r="E30" s="2" t="s">
        <v>280</v>
      </c>
      <c r="F30" s="2" t="s">
        <v>103</v>
      </c>
      <c r="G30" s="2" t="s">
        <v>137</v>
      </c>
      <c r="H30" s="2" t="s">
        <v>138</v>
      </c>
      <c r="I30" s="2" t="s">
        <v>70</v>
      </c>
      <c r="J30" s="2" t="s">
        <v>71</v>
      </c>
      <c r="K30" s="2" t="s">
        <v>72</v>
      </c>
      <c r="L30" s="2" t="s">
        <v>281</v>
      </c>
      <c r="M30" s="2" t="s">
        <v>282</v>
      </c>
      <c r="N30" s="2" t="s">
        <v>283</v>
      </c>
    </row>
    <row r="31" spans="1:14" ht="183.6" customHeight="1" x14ac:dyDescent="0.3">
      <c r="A31" s="2" t="s">
        <v>284</v>
      </c>
      <c r="B31" s="2" t="s">
        <v>285</v>
      </c>
      <c r="C31" s="2" t="s">
        <v>64</v>
      </c>
      <c r="D31" s="2" t="s">
        <v>65</v>
      </c>
      <c r="E31" s="2" t="s">
        <v>286</v>
      </c>
      <c r="F31" s="2" t="s">
        <v>103</v>
      </c>
      <c r="G31" s="2" t="s">
        <v>137</v>
      </c>
      <c r="H31" s="2" t="s">
        <v>138</v>
      </c>
      <c r="I31" s="2" t="s">
        <v>70</v>
      </c>
      <c r="J31" s="2" t="s">
        <v>71</v>
      </c>
      <c r="K31" s="2" t="s">
        <v>72</v>
      </c>
      <c r="L31" s="2" t="s">
        <v>287</v>
      </c>
      <c r="M31" s="2" t="s">
        <v>288</v>
      </c>
      <c r="N31" s="2" t="s">
        <v>289</v>
      </c>
    </row>
    <row r="32" spans="1:14" ht="247.8" customHeight="1" x14ac:dyDescent="0.3">
      <c r="A32" s="2" t="s">
        <v>290</v>
      </c>
      <c r="B32" s="2" t="s">
        <v>291</v>
      </c>
      <c r="C32" s="2" t="s">
        <v>110</v>
      </c>
      <c r="D32" s="2" t="s">
        <v>111</v>
      </c>
      <c r="E32" s="2" t="s">
        <v>292</v>
      </c>
      <c r="F32" s="2" t="s">
        <v>229</v>
      </c>
      <c r="G32" s="2" t="s">
        <v>113</v>
      </c>
      <c r="H32" s="2" t="s">
        <v>114</v>
      </c>
      <c r="I32" s="2" t="s">
        <v>70</v>
      </c>
      <c r="J32" s="2" t="s">
        <v>71</v>
      </c>
      <c r="K32" s="2" t="s">
        <v>72</v>
      </c>
      <c r="L32" s="2" t="s">
        <v>293</v>
      </c>
      <c r="M32" s="2" t="s">
        <v>294</v>
      </c>
      <c r="N32" s="2" t="s">
        <v>295</v>
      </c>
    </row>
    <row r="33" spans="1:14" ht="33" customHeight="1" x14ac:dyDescent="0.3">
      <c r="A33" s="2" t="s">
        <v>296</v>
      </c>
      <c r="B33" s="2" t="s">
        <v>297</v>
      </c>
      <c r="C33" s="2" t="s">
        <v>110</v>
      </c>
      <c r="D33" s="2" t="s">
        <v>111</v>
      </c>
      <c r="E33" s="2" t="s">
        <v>298</v>
      </c>
      <c r="F33" s="2" t="s">
        <v>67</v>
      </c>
      <c r="G33" s="2" t="s">
        <v>121</v>
      </c>
      <c r="H33" s="2" t="s">
        <v>122</v>
      </c>
      <c r="I33" s="2" t="s">
        <v>70</v>
      </c>
      <c r="J33" s="2" t="s">
        <v>71</v>
      </c>
      <c r="K33" s="2" t="s">
        <v>72</v>
      </c>
      <c r="L33" s="2" t="s">
        <v>299</v>
      </c>
      <c r="M33" s="2" t="s">
        <v>300</v>
      </c>
      <c r="N33" s="2" t="s">
        <v>301</v>
      </c>
    </row>
    <row r="34" spans="1:14" ht="183.6" customHeight="1" x14ac:dyDescent="0.3">
      <c r="A34" s="2" t="s">
        <v>302</v>
      </c>
      <c r="B34" s="2" t="s">
        <v>303</v>
      </c>
      <c r="C34" s="2" t="s">
        <v>64</v>
      </c>
      <c r="D34" s="2" t="s">
        <v>65</v>
      </c>
      <c r="E34" s="2" t="s">
        <v>304</v>
      </c>
      <c r="F34" s="2" t="s">
        <v>67</v>
      </c>
      <c r="G34" s="2" t="s">
        <v>68</v>
      </c>
      <c r="H34" s="2" t="s">
        <v>69</v>
      </c>
      <c r="I34" s="2" t="s">
        <v>70</v>
      </c>
      <c r="J34" s="2" t="s">
        <v>71</v>
      </c>
      <c r="K34" s="2" t="s">
        <v>72</v>
      </c>
      <c r="L34" s="2" t="s">
        <v>305</v>
      </c>
      <c r="M34" s="2" t="s">
        <v>306</v>
      </c>
      <c r="N34" s="2" t="s">
        <v>307</v>
      </c>
    </row>
    <row r="35" spans="1:14" ht="237.6" customHeight="1" x14ac:dyDescent="0.3">
      <c r="A35" s="2" t="s">
        <v>308</v>
      </c>
      <c r="B35" s="2" t="s">
        <v>309</v>
      </c>
      <c r="C35" s="2" t="s">
        <v>310</v>
      </c>
      <c r="D35" s="2" t="s">
        <v>311</v>
      </c>
      <c r="E35" s="2" t="s">
        <v>312</v>
      </c>
      <c r="F35" s="2" t="s">
        <v>313</v>
      </c>
      <c r="G35" s="2" t="s">
        <v>314</v>
      </c>
      <c r="H35" s="2" t="s">
        <v>315</v>
      </c>
      <c r="I35" s="2" t="s">
        <v>70</v>
      </c>
      <c r="J35" s="2" t="s">
        <v>71</v>
      </c>
      <c r="K35" s="2" t="s">
        <v>104</v>
      </c>
      <c r="L35" s="2" t="s">
        <v>316</v>
      </c>
      <c r="M35" s="2" t="s">
        <v>317</v>
      </c>
      <c r="N35" s="2" t="s">
        <v>318</v>
      </c>
    </row>
    <row r="36" spans="1:14" ht="162" customHeight="1" x14ac:dyDescent="0.3">
      <c r="A36" s="2" t="s">
        <v>319</v>
      </c>
      <c r="B36" s="2" t="s">
        <v>320</v>
      </c>
      <c r="C36" s="2" t="s">
        <v>321</v>
      </c>
      <c r="D36" s="2" t="s">
        <v>322</v>
      </c>
      <c r="E36" s="2" t="s">
        <v>323</v>
      </c>
      <c r="F36" s="2" t="s">
        <v>324</v>
      </c>
      <c r="G36" s="2" t="s">
        <v>325</v>
      </c>
      <c r="H36" s="2" t="s">
        <v>326</v>
      </c>
      <c r="I36" s="2" t="s">
        <v>70</v>
      </c>
      <c r="J36" s="2" t="s">
        <v>71</v>
      </c>
      <c r="K36" s="2" t="s">
        <v>104</v>
      </c>
      <c r="L36" s="2" t="s">
        <v>327</v>
      </c>
      <c r="M36" s="2" t="s">
        <v>328</v>
      </c>
      <c r="N36" s="2" t="s">
        <v>329</v>
      </c>
    </row>
    <row r="37" spans="1:14" ht="162" customHeight="1" x14ac:dyDescent="0.3">
      <c r="A37" s="2" t="s">
        <v>330</v>
      </c>
      <c r="B37" s="2" t="s">
        <v>331</v>
      </c>
      <c r="C37" s="2" t="s">
        <v>321</v>
      </c>
      <c r="D37" s="2" t="s">
        <v>322</v>
      </c>
      <c r="E37" s="2" t="s">
        <v>332</v>
      </c>
      <c r="F37" s="2" t="s">
        <v>324</v>
      </c>
      <c r="G37" s="2" t="s">
        <v>333</v>
      </c>
      <c r="H37" s="2" t="s">
        <v>334</v>
      </c>
      <c r="I37" s="2" t="s">
        <v>70</v>
      </c>
      <c r="J37" s="2" t="s">
        <v>71</v>
      </c>
      <c r="K37" s="2" t="s">
        <v>72</v>
      </c>
      <c r="L37" s="2" t="s">
        <v>335</v>
      </c>
      <c r="M37" s="2" t="s">
        <v>336</v>
      </c>
      <c r="N37" s="2" t="s">
        <v>337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4"/>
  <sheetViews>
    <sheetView workbookViewId="0"/>
  </sheetViews>
  <sheetFormatPr defaultColWidth="8.6640625" defaultRowHeight="13.2" x14ac:dyDescent="0.25"/>
  <cols>
    <col min="1" max="2" width="24" customWidth="1"/>
    <col min="3" max="3" width="38" customWidth="1"/>
    <col min="4" max="6" width="16" customWidth="1"/>
    <col min="7" max="7" width="22" customWidth="1"/>
  </cols>
  <sheetData>
    <row r="1" spans="1:7" ht="28.8" customHeight="1" x14ac:dyDescent="0.25">
      <c r="A1" s="3" t="s">
        <v>48</v>
      </c>
      <c r="B1" s="3" t="s">
        <v>338</v>
      </c>
      <c r="C1" s="3" t="s">
        <v>339</v>
      </c>
      <c r="D1" s="3" t="s">
        <v>340</v>
      </c>
      <c r="E1" s="3" t="s">
        <v>341</v>
      </c>
      <c r="F1" s="3" t="s">
        <v>55</v>
      </c>
      <c r="G1" s="3" t="s">
        <v>60</v>
      </c>
    </row>
    <row r="2" spans="1:7" ht="22.2" customHeight="1" x14ac:dyDescent="0.3">
      <c r="A2" s="2" t="s">
        <v>342</v>
      </c>
      <c r="B2" s="2" t="s">
        <v>62</v>
      </c>
      <c r="C2" s="2" t="s">
        <v>63</v>
      </c>
      <c r="D2" s="2" t="s">
        <v>343</v>
      </c>
      <c r="E2" s="2" t="s">
        <v>344</v>
      </c>
      <c r="F2" s="2" t="s">
        <v>69</v>
      </c>
      <c r="G2" s="2" t="s">
        <v>345</v>
      </c>
    </row>
    <row r="3" spans="1:7" ht="22.2" customHeight="1" x14ac:dyDescent="0.3">
      <c r="A3" s="2" t="s">
        <v>346</v>
      </c>
      <c r="B3" s="2" t="s">
        <v>62</v>
      </c>
      <c r="C3" s="2" t="s">
        <v>63</v>
      </c>
      <c r="D3" s="2" t="s">
        <v>347</v>
      </c>
      <c r="E3" s="2" t="s">
        <v>348</v>
      </c>
      <c r="F3" s="2" t="s">
        <v>69</v>
      </c>
      <c r="G3" s="2" t="s">
        <v>345</v>
      </c>
    </row>
    <row r="4" spans="1:7" ht="22.2" customHeight="1" x14ac:dyDescent="0.3">
      <c r="A4" s="2" t="s">
        <v>349</v>
      </c>
      <c r="B4" s="2" t="s">
        <v>62</v>
      </c>
      <c r="C4" s="2" t="s">
        <v>63</v>
      </c>
      <c r="D4" s="2" t="s">
        <v>350</v>
      </c>
      <c r="E4" s="2" t="s">
        <v>351</v>
      </c>
      <c r="F4" s="2" t="s">
        <v>69</v>
      </c>
      <c r="G4" s="2" t="s">
        <v>345</v>
      </c>
    </row>
    <row r="5" spans="1:7" ht="22.2" customHeight="1" x14ac:dyDescent="0.3">
      <c r="A5" s="2" t="s">
        <v>352</v>
      </c>
      <c r="B5" s="2" t="s">
        <v>62</v>
      </c>
      <c r="C5" s="2" t="s">
        <v>63</v>
      </c>
      <c r="D5" s="2" t="s">
        <v>353</v>
      </c>
      <c r="E5" s="2" t="s">
        <v>177</v>
      </c>
      <c r="F5" s="2" t="s">
        <v>69</v>
      </c>
      <c r="G5" s="2" t="s">
        <v>345</v>
      </c>
    </row>
    <row r="6" spans="1:7" ht="22.2" customHeight="1" x14ac:dyDescent="0.3">
      <c r="A6" s="2" t="s">
        <v>354</v>
      </c>
      <c r="B6" s="2" t="s">
        <v>81</v>
      </c>
      <c r="C6" s="2" t="s">
        <v>82</v>
      </c>
      <c r="D6" s="2" t="s">
        <v>355</v>
      </c>
      <c r="E6" s="2" t="s">
        <v>356</v>
      </c>
      <c r="F6" s="2" t="s">
        <v>69</v>
      </c>
      <c r="G6" s="2" t="s">
        <v>357</v>
      </c>
    </row>
    <row r="7" spans="1:7" ht="22.2" customHeight="1" x14ac:dyDescent="0.3">
      <c r="A7" s="2" t="s">
        <v>358</v>
      </c>
      <c r="B7" s="2" t="s">
        <v>86</v>
      </c>
      <c r="C7" s="2" t="s">
        <v>87</v>
      </c>
      <c r="D7" s="2" t="s">
        <v>359</v>
      </c>
      <c r="E7" s="2" t="s">
        <v>89</v>
      </c>
      <c r="F7" s="2" t="s">
        <v>90</v>
      </c>
      <c r="G7" s="2" t="s">
        <v>360</v>
      </c>
    </row>
    <row r="8" spans="1:7" ht="22.2" customHeight="1" x14ac:dyDescent="0.3">
      <c r="A8" s="2" t="s">
        <v>361</v>
      </c>
      <c r="B8" s="2" t="s">
        <v>94</v>
      </c>
      <c r="C8" s="2" t="s">
        <v>95</v>
      </c>
      <c r="D8" s="2" t="s">
        <v>362</v>
      </c>
      <c r="E8" s="2" t="s">
        <v>89</v>
      </c>
      <c r="F8" s="2" t="s">
        <v>90</v>
      </c>
      <c r="G8" s="2" t="s">
        <v>363</v>
      </c>
    </row>
    <row r="9" spans="1:7" ht="22.2" customHeight="1" x14ac:dyDescent="0.3">
      <c r="A9" s="2" t="s">
        <v>364</v>
      </c>
      <c r="B9" s="2" t="s">
        <v>100</v>
      </c>
      <c r="C9" s="2" t="s">
        <v>101</v>
      </c>
      <c r="D9" s="2" t="s">
        <v>365</v>
      </c>
      <c r="E9" s="2" t="s">
        <v>68</v>
      </c>
      <c r="F9" s="2" t="s">
        <v>69</v>
      </c>
      <c r="G9" s="2" t="s">
        <v>366</v>
      </c>
    </row>
    <row r="10" spans="1:7" ht="22.2" customHeight="1" x14ac:dyDescent="0.3">
      <c r="A10" s="2" t="s">
        <v>367</v>
      </c>
      <c r="B10" s="2" t="s">
        <v>100</v>
      </c>
      <c r="C10" s="2" t="s">
        <v>101</v>
      </c>
      <c r="D10" s="2" t="s">
        <v>368</v>
      </c>
      <c r="E10" s="2" t="s">
        <v>369</v>
      </c>
      <c r="F10" s="2" t="s">
        <v>69</v>
      </c>
      <c r="G10" s="2" t="s">
        <v>366</v>
      </c>
    </row>
    <row r="11" spans="1:7" ht="22.2" customHeight="1" x14ac:dyDescent="0.3">
      <c r="A11" s="2" t="s">
        <v>370</v>
      </c>
      <c r="B11" s="2" t="s">
        <v>100</v>
      </c>
      <c r="C11" s="2" t="s">
        <v>101</v>
      </c>
      <c r="D11" s="2" t="s">
        <v>371</v>
      </c>
      <c r="E11" s="2" t="s">
        <v>372</v>
      </c>
      <c r="F11" s="2" t="s">
        <v>69</v>
      </c>
      <c r="G11" s="2" t="s">
        <v>366</v>
      </c>
    </row>
    <row r="12" spans="1:7" ht="22.2" customHeight="1" x14ac:dyDescent="0.3">
      <c r="A12" s="2" t="s">
        <v>373</v>
      </c>
      <c r="B12" s="2" t="s">
        <v>100</v>
      </c>
      <c r="C12" s="2" t="s">
        <v>101</v>
      </c>
      <c r="D12" s="2" t="s">
        <v>374</v>
      </c>
      <c r="E12" s="2" t="s">
        <v>186</v>
      </c>
      <c r="F12" s="2" t="s">
        <v>69</v>
      </c>
      <c r="G12" s="2" t="s">
        <v>366</v>
      </c>
    </row>
    <row r="13" spans="1:7" ht="22.2" customHeight="1" x14ac:dyDescent="0.3">
      <c r="A13" s="2" t="s">
        <v>375</v>
      </c>
      <c r="B13" s="2" t="s">
        <v>108</v>
      </c>
      <c r="C13" s="2" t="s">
        <v>109</v>
      </c>
      <c r="D13" s="2" t="s">
        <v>376</v>
      </c>
      <c r="E13" s="2" t="s">
        <v>113</v>
      </c>
      <c r="F13" s="2" t="s">
        <v>114</v>
      </c>
      <c r="G13" s="2" t="s">
        <v>377</v>
      </c>
    </row>
    <row r="14" spans="1:7" ht="22.2" customHeight="1" x14ac:dyDescent="0.3">
      <c r="A14" s="2" t="s">
        <v>378</v>
      </c>
      <c r="B14" s="2" t="s">
        <v>108</v>
      </c>
      <c r="C14" s="2" t="s">
        <v>109</v>
      </c>
      <c r="D14" s="2" t="s">
        <v>379</v>
      </c>
      <c r="E14" s="2" t="s">
        <v>195</v>
      </c>
      <c r="F14" s="2" t="s">
        <v>114</v>
      </c>
      <c r="G14" s="2" t="s">
        <v>377</v>
      </c>
    </row>
    <row r="15" spans="1:7" ht="22.2" customHeight="1" x14ac:dyDescent="0.3">
      <c r="A15" s="2" t="s">
        <v>380</v>
      </c>
      <c r="B15" s="2" t="s">
        <v>126</v>
      </c>
      <c r="C15" s="2" t="s">
        <v>127</v>
      </c>
      <c r="D15" s="2" t="s">
        <v>381</v>
      </c>
      <c r="E15" s="2" t="s">
        <v>129</v>
      </c>
      <c r="F15" s="2" t="s">
        <v>130</v>
      </c>
      <c r="G15" s="2" t="s">
        <v>382</v>
      </c>
    </row>
    <row r="16" spans="1:7" ht="22.2" customHeight="1" x14ac:dyDescent="0.3">
      <c r="A16" s="2" t="s">
        <v>383</v>
      </c>
      <c r="B16" s="2" t="s">
        <v>134</v>
      </c>
      <c r="C16" s="2" t="s">
        <v>135</v>
      </c>
      <c r="D16" s="2" t="s">
        <v>384</v>
      </c>
      <c r="E16" s="2" t="s">
        <v>137</v>
      </c>
      <c r="F16" s="2" t="s">
        <v>138</v>
      </c>
      <c r="G16" s="2" t="s">
        <v>385</v>
      </c>
    </row>
    <row r="17" spans="1:7" ht="22.2" customHeight="1" x14ac:dyDescent="0.3">
      <c r="A17" s="2" t="s">
        <v>386</v>
      </c>
      <c r="B17" s="2" t="s">
        <v>134</v>
      </c>
      <c r="C17" s="2" t="s">
        <v>135</v>
      </c>
      <c r="D17" s="2" t="s">
        <v>387</v>
      </c>
      <c r="E17" s="2" t="s">
        <v>121</v>
      </c>
      <c r="F17" s="2" t="s">
        <v>138</v>
      </c>
      <c r="G17" s="2" t="s">
        <v>385</v>
      </c>
    </row>
    <row r="18" spans="1:7" ht="22.2" customHeight="1" x14ac:dyDescent="0.3">
      <c r="A18" s="2" t="s">
        <v>388</v>
      </c>
      <c r="B18" s="2" t="s">
        <v>134</v>
      </c>
      <c r="C18" s="2" t="s">
        <v>135</v>
      </c>
      <c r="D18" s="2" t="s">
        <v>389</v>
      </c>
      <c r="E18" s="2" t="s">
        <v>245</v>
      </c>
      <c r="F18" s="2" t="s">
        <v>138</v>
      </c>
      <c r="G18" s="2" t="s">
        <v>385</v>
      </c>
    </row>
    <row r="19" spans="1:7" ht="22.2" customHeight="1" x14ac:dyDescent="0.3">
      <c r="A19" s="2" t="s">
        <v>390</v>
      </c>
      <c r="B19" s="2" t="s">
        <v>134</v>
      </c>
      <c r="C19" s="2" t="s">
        <v>135</v>
      </c>
      <c r="D19" s="2" t="s">
        <v>391</v>
      </c>
      <c r="E19" s="2" t="s">
        <v>129</v>
      </c>
      <c r="F19" s="2" t="s">
        <v>138</v>
      </c>
      <c r="G19" s="2" t="s">
        <v>385</v>
      </c>
    </row>
    <row r="20" spans="1:7" ht="22.2" customHeight="1" x14ac:dyDescent="0.3">
      <c r="A20" s="2" t="s">
        <v>392</v>
      </c>
      <c r="B20" s="2" t="s">
        <v>148</v>
      </c>
      <c r="C20" s="2" t="s">
        <v>149</v>
      </c>
      <c r="D20" s="2" t="s">
        <v>393</v>
      </c>
      <c r="E20" s="2" t="s">
        <v>129</v>
      </c>
      <c r="F20" s="2" t="s">
        <v>130</v>
      </c>
      <c r="G20" s="2" t="s">
        <v>394</v>
      </c>
    </row>
    <row r="21" spans="1:7" ht="22.2" customHeight="1" x14ac:dyDescent="0.3">
      <c r="A21" s="2" t="s">
        <v>395</v>
      </c>
      <c r="B21" s="2" t="s">
        <v>148</v>
      </c>
      <c r="C21" s="2" t="s">
        <v>149</v>
      </c>
      <c r="D21" s="2" t="s">
        <v>396</v>
      </c>
      <c r="E21" s="2" t="s">
        <v>237</v>
      </c>
      <c r="F21" s="2" t="s">
        <v>130</v>
      </c>
      <c r="G21" s="2" t="s">
        <v>394</v>
      </c>
    </row>
    <row r="22" spans="1:7" ht="22.2" customHeight="1" x14ac:dyDescent="0.3">
      <c r="A22" s="2" t="s">
        <v>397</v>
      </c>
      <c r="B22" s="2" t="s">
        <v>154</v>
      </c>
      <c r="C22" s="2" t="s">
        <v>155</v>
      </c>
      <c r="D22" s="2" t="s">
        <v>398</v>
      </c>
      <c r="E22" s="2" t="s">
        <v>157</v>
      </c>
      <c r="F22" s="2" t="s">
        <v>158</v>
      </c>
      <c r="G22" s="2" t="s">
        <v>399</v>
      </c>
    </row>
    <row r="23" spans="1:7" ht="22.2" customHeight="1" x14ac:dyDescent="0.3">
      <c r="A23" s="2" t="s">
        <v>400</v>
      </c>
      <c r="B23" s="2" t="s">
        <v>154</v>
      </c>
      <c r="C23" s="2" t="s">
        <v>155</v>
      </c>
      <c r="D23" s="2" t="s">
        <v>401</v>
      </c>
      <c r="E23" s="2" t="s">
        <v>402</v>
      </c>
      <c r="F23" s="2" t="s">
        <v>158</v>
      </c>
      <c r="G23" s="2" t="s">
        <v>399</v>
      </c>
    </row>
    <row r="24" spans="1:7" ht="22.2" customHeight="1" x14ac:dyDescent="0.3">
      <c r="A24" s="2" t="s">
        <v>403</v>
      </c>
      <c r="B24" s="2" t="s">
        <v>162</v>
      </c>
      <c r="C24" s="2" t="s">
        <v>163</v>
      </c>
      <c r="D24" s="2" t="s">
        <v>404</v>
      </c>
      <c r="E24" s="2" t="s">
        <v>129</v>
      </c>
      <c r="F24" s="2" t="s">
        <v>169</v>
      </c>
      <c r="G24" s="2" t="s">
        <v>405</v>
      </c>
    </row>
    <row r="25" spans="1:7" ht="22.2" customHeight="1" x14ac:dyDescent="0.3">
      <c r="A25" s="2" t="s">
        <v>406</v>
      </c>
      <c r="B25" s="2" t="s">
        <v>162</v>
      </c>
      <c r="C25" s="2" t="s">
        <v>163</v>
      </c>
      <c r="D25" s="2" t="s">
        <v>407</v>
      </c>
      <c r="E25" s="2" t="s">
        <v>168</v>
      </c>
      <c r="F25" s="2" t="s">
        <v>169</v>
      </c>
      <c r="G25" s="2" t="s">
        <v>405</v>
      </c>
    </row>
    <row r="26" spans="1:7" ht="22.2" customHeight="1" x14ac:dyDescent="0.3">
      <c r="A26" s="2" t="s">
        <v>408</v>
      </c>
      <c r="B26" s="2" t="s">
        <v>173</v>
      </c>
      <c r="C26" s="2" t="s">
        <v>174</v>
      </c>
      <c r="D26" s="2" t="s">
        <v>409</v>
      </c>
      <c r="E26" s="2" t="s">
        <v>177</v>
      </c>
      <c r="F26" s="2" t="s">
        <v>178</v>
      </c>
      <c r="G26" s="2" t="s">
        <v>410</v>
      </c>
    </row>
    <row r="27" spans="1:7" ht="22.2" customHeight="1" x14ac:dyDescent="0.3">
      <c r="A27" s="2" t="s">
        <v>411</v>
      </c>
      <c r="B27" s="2" t="s">
        <v>182</v>
      </c>
      <c r="C27" s="2" t="s">
        <v>183</v>
      </c>
      <c r="D27" s="2" t="s">
        <v>409</v>
      </c>
      <c r="E27" s="2" t="s">
        <v>186</v>
      </c>
      <c r="F27" s="2" t="s">
        <v>187</v>
      </c>
      <c r="G27" s="2" t="s">
        <v>412</v>
      </c>
    </row>
    <row r="28" spans="1:7" ht="22.2" customHeight="1" x14ac:dyDescent="0.3">
      <c r="A28" s="2" t="s">
        <v>413</v>
      </c>
      <c r="B28" s="2" t="s">
        <v>191</v>
      </c>
      <c r="C28" s="2" t="s">
        <v>192</v>
      </c>
      <c r="D28" s="2" t="s">
        <v>409</v>
      </c>
      <c r="E28" s="2" t="s">
        <v>195</v>
      </c>
      <c r="F28" s="2" t="s">
        <v>196</v>
      </c>
      <c r="G28" s="2" t="s">
        <v>414</v>
      </c>
    </row>
    <row r="29" spans="1:7" ht="22.2" customHeight="1" x14ac:dyDescent="0.3">
      <c r="A29" s="2" t="s">
        <v>415</v>
      </c>
      <c r="B29" s="2" t="s">
        <v>200</v>
      </c>
      <c r="C29" s="2" t="s">
        <v>201</v>
      </c>
      <c r="D29" s="2" t="s">
        <v>416</v>
      </c>
      <c r="E29" s="2" t="s">
        <v>121</v>
      </c>
      <c r="F29" s="2" t="s">
        <v>122</v>
      </c>
      <c r="G29" s="2" t="s">
        <v>417</v>
      </c>
    </row>
    <row r="30" spans="1:7" ht="22.2" customHeight="1" x14ac:dyDescent="0.3">
      <c r="A30" s="2" t="s">
        <v>418</v>
      </c>
      <c r="B30" s="2" t="s">
        <v>200</v>
      </c>
      <c r="C30" s="2" t="s">
        <v>201</v>
      </c>
      <c r="D30" s="2" t="s">
        <v>419</v>
      </c>
      <c r="E30" s="2" t="s">
        <v>129</v>
      </c>
      <c r="F30" s="2" t="s">
        <v>122</v>
      </c>
      <c r="G30" s="2" t="s">
        <v>417</v>
      </c>
    </row>
    <row r="31" spans="1:7" ht="22.2" customHeight="1" x14ac:dyDescent="0.3">
      <c r="A31" s="2" t="s">
        <v>420</v>
      </c>
      <c r="B31" s="2" t="s">
        <v>206</v>
      </c>
      <c r="C31" s="2" t="s">
        <v>207</v>
      </c>
      <c r="D31" s="2" t="s">
        <v>421</v>
      </c>
      <c r="E31" s="2" t="s">
        <v>137</v>
      </c>
      <c r="F31" s="2" t="s">
        <v>138</v>
      </c>
      <c r="G31" s="2" t="s">
        <v>422</v>
      </c>
    </row>
    <row r="32" spans="1:7" ht="22.2" customHeight="1" x14ac:dyDescent="0.3">
      <c r="A32" s="2" t="s">
        <v>423</v>
      </c>
      <c r="B32" s="2" t="s">
        <v>206</v>
      </c>
      <c r="C32" s="2" t="s">
        <v>207</v>
      </c>
      <c r="D32" s="2" t="s">
        <v>424</v>
      </c>
      <c r="E32" s="2" t="s">
        <v>425</v>
      </c>
      <c r="F32" s="2" t="s">
        <v>138</v>
      </c>
      <c r="G32" s="2" t="s">
        <v>422</v>
      </c>
    </row>
    <row r="33" spans="1:7" ht="22.2" customHeight="1" x14ac:dyDescent="0.3">
      <c r="A33" s="2" t="s">
        <v>426</v>
      </c>
      <c r="B33" s="2" t="s">
        <v>206</v>
      </c>
      <c r="C33" s="2" t="s">
        <v>207</v>
      </c>
      <c r="D33" s="2" t="s">
        <v>427</v>
      </c>
      <c r="E33" s="2" t="s">
        <v>428</v>
      </c>
      <c r="F33" s="2" t="s">
        <v>138</v>
      </c>
      <c r="G33" s="2" t="s">
        <v>422</v>
      </c>
    </row>
    <row r="34" spans="1:7" ht="22.2" customHeight="1" x14ac:dyDescent="0.3">
      <c r="A34" s="2" t="s">
        <v>429</v>
      </c>
      <c r="B34" s="2" t="s">
        <v>206</v>
      </c>
      <c r="C34" s="2" t="s">
        <v>207</v>
      </c>
      <c r="D34" s="2" t="s">
        <v>430</v>
      </c>
      <c r="E34" s="2" t="s">
        <v>129</v>
      </c>
      <c r="F34" s="2" t="s">
        <v>138</v>
      </c>
      <c r="G34" s="2" t="s">
        <v>422</v>
      </c>
    </row>
    <row r="35" spans="1:7" ht="22.2" customHeight="1" x14ac:dyDescent="0.3">
      <c r="A35" s="2" t="s">
        <v>431</v>
      </c>
      <c r="B35" s="2" t="s">
        <v>206</v>
      </c>
      <c r="C35" s="2" t="s">
        <v>207</v>
      </c>
      <c r="D35" s="2" t="s">
        <v>432</v>
      </c>
      <c r="E35" s="2" t="s">
        <v>433</v>
      </c>
      <c r="F35" s="2" t="s">
        <v>138</v>
      </c>
      <c r="G35" s="2" t="s">
        <v>422</v>
      </c>
    </row>
    <row r="36" spans="1:7" ht="22.2" customHeight="1" x14ac:dyDescent="0.3">
      <c r="A36" s="2" t="s">
        <v>434</v>
      </c>
      <c r="B36" s="2" t="s">
        <v>206</v>
      </c>
      <c r="C36" s="2" t="s">
        <v>207</v>
      </c>
      <c r="D36" s="2" t="s">
        <v>435</v>
      </c>
      <c r="E36" s="2" t="s">
        <v>436</v>
      </c>
      <c r="F36" s="2" t="s">
        <v>138</v>
      </c>
      <c r="G36" s="2" t="s">
        <v>422</v>
      </c>
    </row>
    <row r="37" spans="1:7" ht="22.2" customHeight="1" x14ac:dyDescent="0.3">
      <c r="A37" s="2" t="s">
        <v>437</v>
      </c>
      <c r="B37" s="2" t="s">
        <v>212</v>
      </c>
      <c r="C37" s="2" t="s">
        <v>213</v>
      </c>
      <c r="D37" s="2" t="s">
        <v>409</v>
      </c>
      <c r="E37" s="2" t="s">
        <v>216</v>
      </c>
      <c r="F37" s="2" t="s">
        <v>217</v>
      </c>
      <c r="G37" s="2" t="s">
        <v>438</v>
      </c>
    </row>
    <row r="38" spans="1:7" ht="22.2" customHeight="1" x14ac:dyDescent="0.3">
      <c r="A38" s="2" t="s">
        <v>439</v>
      </c>
      <c r="B38" s="2" t="s">
        <v>221</v>
      </c>
      <c r="C38" s="2" t="s">
        <v>135</v>
      </c>
      <c r="D38" s="2" t="s">
        <v>384</v>
      </c>
      <c r="E38" s="2" t="s">
        <v>137</v>
      </c>
      <c r="F38" s="2" t="s">
        <v>138</v>
      </c>
      <c r="G38" s="2" t="s">
        <v>440</v>
      </c>
    </row>
    <row r="39" spans="1:7" ht="22.2" customHeight="1" x14ac:dyDescent="0.3">
      <c r="A39" s="2" t="s">
        <v>441</v>
      </c>
      <c r="B39" s="2" t="s">
        <v>221</v>
      </c>
      <c r="C39" s="2" t="s">
        <v>135</v>
      </c>
      <c r="D39" s="2" t="s">
        <v>387</v>
      </c>
      <c r="E39" s="2" t="s">
        <v>121</v>
      </c>
      <c r="F39" s="2" t="s">
        <v>138</v>
      </c>
      <c r="G39" s="2" t="s">
        <v>440</v>
      </c>
    </row>
    <row r="40" spans="1:7" ht="22.2" customHeight="1" x14ac:dyDescent="0.3">
      <c r="A40" s="2" t="s">
        <v>442</v>
      </c>
      <c r="B40" s="2" t="s">
        <v>221</v>
      </c>
      <c r="C40" s="2" t="s">
        <v>135</v>
      </c>
      <c r="D40" s="2" t="s">
        <v>389</v>
      </c>
      <c r="E40" s="2" t="s">
        <v>245</v>
      </c>
      <c r="F40" s="2" t="s">
        <v>138</v>
      </c>
      <c r="G40" s="2" t="s">
        <v>440</v>
      </c>
    </row>
    <row r="41" spans="1:7" ht="22.2" customHeight="1" x14ac:dyDescent="0.3">
      <c r="A41" s="2" t="s">
        <v>443</v>
      </c>
      <c r="B41" s="2" t="s">
        <v>221</v>
      </c>
      <c r="C41" s="2" t="s">
        <v>135</v>
      </c>
      <c r="D41" s="2" t="s">
        <v>391</v>
      </c>
      <c r="E41" s="2" t="s">
        <v>129</v>
      </c>
      <c r="F41" s="2" t="s">
        <v>138</v>
      </c>
      <c r="G41" s="2" t="s">
        <v>440</v>
      </c>
    </row>
    <row r="42" spans="1:7" ht="22.2" customHeight="1" x14ac:dyDescent="0.3">
      <c r="A42" s="2" t="s">
        <v>444</v>
      </c>
      <c r="B42" s="2" t="s">
        <v>226</v>
      </c>
      <c r="C42" s="2" t="s">
        <v>227</v>
      </c>
      <c r="D42" s="2" t="s">
        <v>445</v>
      </c>
      <c r="E42" s="2" t="s">
        <v>433</v>
      </c>
      <c r="F42" s="2" t="s">
        <v>231</v>
      </c>
      <c r="G42" s="2" t="s">
        <v>446</v>
      </c>
    </row>
    <row r="43" spans="1:7" ht="22.2" customHeight="1" x14ac:dyDescent="0.3">
      <c r="A43" s="2" t="s">
        <v>447</v>
      </c>
      <c r="B43" s="2" t="s">
        <v>226</v>
      </c>
      <c r="C43" s="2" t="s">
        <v>227</v>
      </c>
      <c r="D43" s="2" t="s">
        <v>448</v>
      </c>
      <c r="E43" s="2" t="s">
        <v>168</v>
      </c>
      <c r="F43" s="2" t="s">
        <v>231</v>
      </c>
      <c r="G43" s="2" t="s">
        <v>446</v>
      </c>
    </row>
    <row r="44" spans="1:7" ht="22.2" customHeight="1" x14ac:dyDescent="0.3">
      <c r="A44" s="2" t="s">
        <v>449</v>
      </c>
      <c r="B44" s="2" t="s">
        <v>226</v>
      </c>
      <c r="C44" s="2" t="s">
        <v>227</v>
      </c>
      <c r="D44" s="2" t="s">
        <v>450</v>
      </c>
      <c r="E44" s="2" t="s">
        <v>273</v>
      </c>
      <c r="F44" s="2" t="s">
        <v>231</v>
      </c>
      <c r="G44" s="2" t="s">
        <v>446</v>
      </c>
    </row>
    <row r="45" spans="1:7" ht="22.2" customHeight="1" x14ac:dyDescent="0.3">
      <c r="A45" s="2" t="s">
        <v>451</v>
      </c>
      <c r="B45" s="2" t="s">
        <v>235</v>
      </c>
      <c r="C45" s="2" t="s">
        <v>227</v>
      </c>
      <c r="D45" s="2" t="s">
        <v>452</v>
      </c>
      <c r="E45" s="2" t="s">
        <v>433</v>
      </c>
      <c r="F45" s="2" t="s">
        <v>238</v>
      </c>
      <c r="G45" s="2" t="s">
        <v>453</v>
      </c>
    </row>
    <row r="46" spans="1:7" ht="22.2" customHeight="1" x14ac:dyDescent="0.3">
      <c r="A46" s="2" t="s">
        <v>454</v>
      </c>
      <c r="B46" s="2" t="s">
        <v>235</v>
      </c>
      <c r="C46" s="2" t="s">
        <v>227</v>
      </c>
      <c r="D46" s="2" t="s">
        <v>455</v>
      </c>
      <c r="E46" s="2" t="s">
        <v>168</v>
      </c>
      <c r="F46" s="2" t="s">
        <v>238</v>
      </c>
      <c r="G46" s="2" t="s">
        <v>453</v>
      </c>
    </row>
    <row r="47" spans="1:7" ht="22.2" customHeight="1" x14ac:dyDescent="0.3">
      <c r="A47" s="2" t="s">
        <v>456</v>
      </c>
      <c r="B47" s="2" t="s">
        <v>235</v>
      </c>
      <c r="C47" s="2" t="s">
        <v>227</v>
      </c>
      <c r="D47" s="2" t="s">
        <v>457</v>
      </c>
      <c r="E47" s="2" t="s">
        <v>273</v>
      </c>
      <c r="F47" s="2" t="s">
        <v>238</v>
      </c>
      <c r="G47" s="2" t="s">
        <v>453</v>
      </c>
    </row>
    <row r="48" spans="1:7" ht="22.2" customHeight="1" x14ac:dyDescent="0.3">
      <c r="A48" s="2" t="s">
        <v>458</v>
      </c>
      <c r="B48" s="2" t="s">
        <v>242</v>
      </c>
      <c r="C48" s="2" t="s">
        <v>243</v>
      </c>
      <c r="D48" s="2" t="s">
        <v>459</v>
      </c>
      <c r="E48" s="2" t="s">
        <v>129</v>
      </c>
      <c r="F48" s="2" t="s">
        <v>246</v>
      </c>
      <c r="G48" s="2" t="s">
        <v>460</v>
      </c>
    </row>
    <row r="49" spans="1:7" ht="22.2" customHeight="1" x14ac:dyDescent="0.3">
      <c r="A49" s="2" t="s">
        <v>461</v>
      </c>
      <c r="B49" s="2" t="s">
        <v>250</v>
      </c>
      <c r="C49" s="2" t="s">
        <v>251</v>
      </c>
      <c r="D49" s="2" t="s">
        <v>462</v>
      </c>
      <c r="E49" s="2" t="s">
        <v>121</v>
      </c>
      <c r="F49" s="2" t="s">
        <v>122</v>
      </c>
      <c r="G49" s="2" t="s">
        <v>463</v>
      </c>
    </row>
    <row r="50" spans="1:7" ht="22.2" customHeight="1" x14ac:dyDescent="0.3">
      <c r="A50" s="2" t="s">
        <v>464</v>
      </c>
      <c r="B50" s="2" t="s">
        <v>250</v>
      </c>
      <c r="C50" s="2" t="s">
        <v>251</v>
      </c>
      <c r="D50" s="2" t="s">
        <v>465</v>
      </c>
      <c r="E50" s="2" t="s">
        <v>237</v>
      </c>
      <c r="F50" s="2" t="s">
        <v>122</v>
      </c>
      <c r="G50" s="2" t="s">
        <v>463</v>
      </c>
    </row>
    <row r="51" spans="1:7" ht="22.2" customHeight="1" x14ac:dyDescent="0.3">
      <c r="A51" s="2" t="s">
        <v>466</v>
      </c>
      <c r="B51" s="2" t="s">
        <v>256</v>
      </c>
      <c r="C51" s="2" t="s">
        <v>257</v>
      </c>
      <c r="D51" s="2" t="s">
        <v>467</v>
      </c>
      <c r="E51" s="2" t="s">
        <v>468</v>
      </c>
      <c r="F51" s="2" t="s">
        <v>260</v>
      </c>
      <c r="G51" s="2" t="s">
        <v>469</v>
      </c>
    </row>
    <row r="52" spans="1:7" ht="22.2" customHeight="1" x14ac:dyDescent="0.3">
      <c r="A52" s="2" t="s">
        <v>470</v>
      </c>
      <c r="B52" s="2" t="s">
        <v>256</v>
      </c>
      <c r="C52" s="2" t="s">
        <v>257</v>
      </c>
      <c r="D52" s="2" t="s">
        <v>471</v>
      </c>
      <c r="E52" s="2" t="s">
        <v>157</v>
      </c>
      <c r="F52" s="2" t="s">
        <v>260</v>
      </c>
      <c r="G52" s="2" t="s">
        <v>469</v>
      </c>
    </row>
    <row r="53" spans="1:7" ht="22.2" customHeight="1" x14ac:dyDescent="0.3">
      <c r="A53" s="2" t="s">
        <v>472</v>
      </c>
      <c r="B53" s="2" t="s">
        <v>256</v>
      </c>
      <c r="C53" s="2" t="s">
        <v>257</v>
      </c>
      <c r="D53" s="2" t="s">
        <v>473</v>
      </c>
      <c r="E53" s="2" t="s">
        <v>425</v>
      </c>
      <c r="F53" s="2" t="s">
        <v>260</v>
      </c>
      <c r="G53" s="2" t="s">
        <v>469</v>
      </c>
    </row>
    <row r="54" spans="1:7" ht="22.2" customHeight="1" x14ac:dyDescent="0.3">
      <c r="A54" s="2" t="s">
        <v>474</v>
      </c>
      <c r="B54" s="2" t="s">
        <v>256</v>
      </c>
      <c r="C54" s="2" t="s">
        <v>257</v>
      </c>
      <c r="D54" s="2" t="s">
        <v>475</v>
      </c>
      <c r="E54" s="2" t="s">
        <v>259</v>
      </c>
      <c r="F54" s="2" t="s">
        <v>260</v>
      </c>
      <c r="G54" s="2" t="s">
        <v>469</v>
      </c>
    </row>
    <row r="55" spans="1:7" ht="22.2" customHeight="1" x14ac:dyDescent="0.3">
      <c r="A55" s="2" t="s">
        <v>476</v>
      </c>
      <c r="B55" s="2" t="s">
        <v>264</v>
      </c>
      <c r="C55" s="2" t="s">
        <v>265</v>
      </c>
      <c r="D55" s="2" t="s">
        <v>376</v>
      </c>
      <c r="E55" s="2" t="s">
        <v>113</v>
      </c>
      <c r="F55" s="2" t="s">
        <v>114</v>
      </c>
      <c r="G55" s="2" t="s">
        <v>477</v>
      </c>
    </row>
    <row r="56" spans="1:7" ht="22.2" customHeight="1" x14ac:dyDescent="0.3">
      <c r="A56" s="2" t="s">
        <v>478</v>
      </c>
      <c r="B56" s="2" t="s">
        <v>264</v>
      </c>
      <c r="C56" s="2" t="s">
        <v>265</v>
      </c>
      <c r="D56" s="2" t="s">
        <v>379</v>
      </c>
      <c r="E56" s="2" t="s">
        <v>195</v>
      </c>
      <c r="F56" s="2" t="s">
        <v>114</v>
      </c>
      <c r="G56" s="2" t="s">
        <v>477</v>
      </c>
    </row>
    <row r="57" spans="1:7" ht="22.2" customHeight="1" x14ac:dyDescent="0.3">
      <c r="A57" s="2" t="s">
        <v>479</v>
      </c>
      <c r="B57" s="2" t="s">
        <v>270</v>
      </c>
      <c r="C57" s="2" t="s">
        <v>271</v>
      </c>
      <c r="D57" s="2" t="s">
        <v>452</v>
      </c>
      <c r="E57" s="2" t="s">
        <v>433</v>
      </c>
      <c r="F57" s="2" t="s">
        <v>274</v>
      </c>
      <c r="G57" s="2" t="s">
        <v>480</v>
      </c>
    </row>
    <row r="58" spans="1:7" ht="22.2" customHeight="1" x14ac:dyDescent="0.3">
      <c r="A58" s="2" t="s">
        <v>481</v>
      </c>
      <c r="B58" s="2" t="s">
        <v>270</v>
      </c>
      <c r="C58" s="2" t="s">
        <v>271</v>
      </c>
      <c r="D58" s="2" t="s">
        <v>448</v>
      </c>
      <c r="E58" s="2" t="s">
        <v>168</v>
      </c>
      <c r="F58" s="2" t="s">
        <v>274</v>
      </c>
      <c r="G58" s="2" t="s">
        <v>480</v>
      </c>
    </row>
    <row r="59" spans="1:7" ht="22.2" customHeight="1" x14ac:dyDescent="0.3">
      <c r="A59" s="2" t="s">
        <v>482</v>
      </c>
      <c r="B59" s="2" t="s">
        <v>270</v>
      </c>
      <c r="C59" s="2" t="s">
        <v>271</v>
      </c>
      <c r="D59" s="2" t="s">
        <v>457</v>
      </c>
      <c r="E59" s="2" t="s">
        <v>273</v>
      </c>
      <c r="F59" s="2" t="s">
        <v>274</v>
      </c>
      <c r="G59" s="2" t="s">
        <v>480</v>
      </c>
    </row>
    <row r="60" spans="1:7" ht="22.2" customHeight="1" x14ac:dyDescent="0.3">
      <c r="A60" s="2" t="s">
        <v>483</v>
      </c>
      <c r="B60" s="2" t="s">
        <v>278</v>
      </c>
      <c r="C60" s="2" t="s">
        <v>279</v>
      </c>
      <c r="D60" s="2" t="s">
        <v>384</v>
      </c>
      <c r="E60" s="2" t="s">
        <v>137</v>
      </c>
      <c r="F60" s="2" t="s">
        <v>138</v>
      </c>
      <c r="G60" s="2" t="s">
        <v>484</v>
      </c>
    </row>
    <row r="61" spans="1:7" ht="22.2" customHeight="1" x14ac:dyDescent="0.3">
      <c r="A61" s="2" t="s">
        <v>485</v>
      </c>
      <c r="B61" s="2" t="s">
        <v>278</v>
      </c>
      <c r="C61" s="2" t="s">
        <v>279</v>
      </c>
      <c r="D61" s="2" t="s">
        <v>387</v>
      </c>
      <c r="E61" s="2" t="s">
        <v>121</v>
      </c>
      <c r="F61" s="2" t="s">
        <v>138</v>
      </c>
      <c r="G61" s="2" t="s">
        <v>484</v>
      </c>
    </row>
    <row r="62" spans="1:7" ht="22.2" customHeight="1" x14ac:dyDescent="0.3">
      <c r="A62" s="2" t="s">
        <v>486</v>
      </c>
      <c r="B62" s="2" t="s">
        <v>278</v>
      </c>
      <c r="C62" s="2" t="s">
        <v>279</v>
      </c>
      <c r="D62" s="2" t="s">
        <v>389</v>
      </c>
      <c r="E62" s="2" t="s">
        <v>245</v>
      </c>
      <c r="F62" s="2" t="s">
        <v>138</v>
      </c>
      <c r="G62" s="2" t="s">
        <v>484</v>
      </c>
    </row>
    <row r="63" spans="1:7" ht="22.2" customHeight="1" x14ac:dyDescent="0.3">
      <c r="A63" s="2" t="s">
        <v>487</v>
      </c>
      <c r="B63" s="2" t="s">
        <v>278</v>
      </c>
      <c r="C63" s="2" t="s">
        <v>279</v>
      </c>
      <c r="D63" s="2" t="s">
        <v>391</v>
      </c>
      <c r="E63" s="2" t="s">
        <v>129</v>
      </c>
      <c r="F63" s="2" t="s">
        <v>138</v>
      </c>
      <c r="G63" s="2" t="s">
        <v>484</v>
      </c>
    </row>
    <row r="64" spans="1:7" ht="22.2" customHeight="1" x14ac:dyDescent="0.3">
      <c r="A64" s="2" t="s">
        <v>488</v>
      </c>
      <c r="B64" s="2" t="s">
        <v>284</v>
      </c>
      <c r="C64" s="2" t="s">
        <v>285</v>
      </c>
      <c r="D64" s="2" t="s">
        <v>384</v>
      </c>
      <c r="E64" s="2" t="s">
        <v>137</v>
      </c>
      <c r="F64" s="2" t="s">
        <v>138</v>
      </c>
      <c r="G64" s="2" t="s">
        <v>489</v>
      </c>
    </row>
    <row r="65" spans="1:7" ht="22.2" customHeight="1" x14ac:dyDescent="0.3">
      <c r="A65" s="2" t="s">
        <v>490</v>
      </c>
      <c r="B65" s="2" t="s">
        <v>284</v>
      </c>
      <c r="C65" s="2" t="s">
        <v>285</v>
      </c>
      <c r="D65" s="2" t="s">
        <v>387</v>
      </c>
      <c r="E65" s="2" t="s">
        <v>121</v>
      </c>
      <c r="F65" s="2" t="s">
        <v>138</v>
      </c>
      <c r="G65" s="2" t="s">
        <v>489</v>
      </c>
    </row>
    <row r="66" spans="1:7" ht="22.2" customHeight="1" x14ac:dyDescent="0.3">
      <c r="A66" s="2" t="s">
        <v>491</v>
      </c>
      <c r="B66" s="2" t="s">
        <v>284</v>
      </c>
      <c r="C66" s="2" t="s">
        <v>285</v>
      </c>
      <c r="D66" s="2" t="s">
        <v>389</v>
      </c>
      <c r="E66" s="2" t="s">
        <v>245</v>
      </c>
      <c r="F66" s="2" t="s">
        <v>138</v>
      </c>
      <c r="G66" s="2" t="s">
        <v>489</v>
      </c>
    </row>
    <row r="67" spans="1:7" ht="22.2" customHeight="1" x14ac:dyDescent="0.3">
      <c r="A67" s="2" t="s">
        <v>492</v>
      </c>
      <c r="B67" s="2" t="s">
        <v>284</v>
      </c>
      <c r="C67" s="2" t="s">
        <v>285</v>
      </c>
      <c r="D67" s="2" t="s">
        <v>391</v>
      </c>
      <c r="E67" s="2" t="s">
        <v>129</v>
      </c>
      <c r="F67" s="2" t="s">
        <v>138</v>
      </c>
      <c r="G67" s="2" t="s">
        <v>489</v>
      </c>
    </row>
    <row r="68" spans="1:7" ht="22.2" customHeight="1" x14ac:dyDescent="0.3">
      <c r="A68" s="2" t="s">
        <v>493</v>
      </c>
      <c r="B68" s="2" t="s">
        <v>290</v>
      </c>
      <c r="C68" s="2" t="s">
        <v>291</v>
      </c>
      <c r="D68" s="2" t="s">
        <v>376</v>
      </c>
      <c r="E68" s="2" t="s">
        <v>113</v>
      </c>
      <c r="F68" s="2" t="s">
        <v>114</v>
      </c>
      <c r="G68" s="2" t="s">
        <v>494</v>
      </c>
    </row>
    <row r="69" spans="1:7" ht="22.2" customHeight="1" x14ac:dyDescent="0.3">
      <c r="A69" s="2" t="s">
        <v>495</v>
      </c>
      <c r="B69" s="2" t="s">
        <v>290</v>
      </c>
      <c r="C69" s="2" t="s">
        <v>291</v>
      </c>
      <c r="D69" s="2" t="s">
        <v>379</v>
      </c>
      <c r="E69" s="2" t="s">
        <v>195</v>
      </c>
      <c r="F69" s="2" t="s">
        <v>114</v>
      </c>
      <c r="G69" s="2" t="s">
        <v>494</v>
      </c>
    </row>
    <row r="70" spans="1:7" ht="22.2" customHeight="1" x14ac:dyDescent="0.3">
      <c r="A70" s="2" t="s">
        <v>496</v>
      </c>
      <c r="B70" s="2" t="s">
        <v>296</v>
      </c>
      <c r="C70" s="2" t="s">
        <v>297</v>
      </c>
      <c r="D70" s="2" t="s">
        <v>497</v>
      </c>
      <c r="E70" s="2" t="s">
        <v>121</v>
      </c>
      <c r="F70" s="2" t="s">
        <v>122</v>
      </c>
      <c r="G70" s="2" t="s">
        <v>498</v>
      </c>
    </row>
    <row r="71" spans="1:7" ht="22.2" customHeight="1" x14ac:dyDescent="0.3">
      <c r="A71" s="2" t="s">
        <v>499</v>
      </c>
      <c r="B71" s="2" t="s">
        <v>302</v>
      </c>
      <c r="C71" s="2" t="s">
        <v>303</v>
      </c>
      <c r="D71" s="2" t="s">
        <v>500</v>
      </c>
      <c r="E71" s="2" t="s">
        <v>68</v>
      </c>
      <c r="F71" s="2" t="s">
        <v>69</v>
      </c>
      <c r="G71" s="2" t="s">
        <v>501</v>
      </c>
    </row>
    <row r="72" spans="1:7" ht="22.2" customHeight="1" x14ac:dyDescent="0.3">
      <c r="A72" s="2" t="s">
        <v>502</v>
      </c>
      <c r="B72" s="2" t="s">
        <v>308</v>
      </c>
      <c r="C72" s="2" t="s">
        <v>309</v>
      </c>
      <c r="D72" s="2" t="s">
        <v>503</v>
      </c>
      <c r="E72" s="2" t="s">
        <v>314</v>
      </c>
      <c r="F72" s="2" t="s">
        <v>315</v>
      </c>
      <c r="G72" s="2" t="s">
        <v>504</v>
      </c>
    </row>
    <row r="73" spans="1:7" ht="22.2" customHeight="1" x14ac:dyDescent="0.3">
      <c r="A73" s="2" t="s">
        <v>505</v>
      </c>
      <c r="B73" s="2" t="s">
        <v>319</v>
      </c>
      <c r="C73" s="2" t="s">
        <v>320</v>
      </c>
      <c r="D73" s="2" t="s">
        <v>407</v>
      </c>
      <c r="E73" s="2" t="s">
        <v>325</v>
      </c>
      <c r="F73" s="2" t="s">
        <v>326</v>
      </c>
      <c r="G73" s="2" t="s">
        <v>506</v>
      </c>
    </row>
    <row r="74" spans="1:7" ht="22.2" customHeight="1" x14ac:dyDescent="0.3">
      <c r="A74" s="2" t="s">
        <v>507</v>
      </c>
      <c r="B74" s="2" t="s">
        <v>330</v>
      </c>
      <c r="C74" s="2" t="s">
        <v>331</v>
      </c>
      <c r="D74" s="2" t="s">
        <v>407</v>
      </c>
      <c r="E74" s="2" t="s">
        <v>333</v>
      </c>
      <c r="F74" s="2" t="s">
        <v>334</v>
      </c>
      <c r="G74" s="2" t="s">
        <v>508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heetViews>
  <sheetFormatPr defaultColWidth="8.6640625" defaultRowHeight="13.2" x14ac:dyDescent="0.25"/>
  <cols>
    <col min="1" max="1" width="24" customWidth="1"/>
    <col min="2" max="2" width="16" customWidth="1"/>
    <col min="3" max="3" width="38" customWidth="1"/>
    <col min="4" max="4" width="34" customWidth="1"/>
    <col min="5" max="5" width="16" customWidth="1"/>
  </cols>
  <sheetData>
    <row r="1" spans="1:5" ht="28.8" customHeight="1" x14ac:dyDescent="0.25">
      <c r="A1" s="3" t="s">
        <v>48</v>
      </c>
      <c r="B1" s="3" t="s">
        <v>509</v>
      </c>
      <c r="C1" s="3" t="s">
        <v>52</v>
      </c>
      <c r="D1" s="3" t="s">
        <v>59</v>
      </c>
      <c r="E1" s="3" t="s">
        <v>510</v>
      </c>
    </row>
    <row r="2" spans="1:5" ht="33" customHeight="1" x14ac:dyDescent="0.3">
      <c r="A2" s="2" t="s">
        <v>64</v>
      </c>
      <c r="B2" s="2" t="s">
        <v>65</v>
      </c>
      <c r="C2" s="2" t="s">
        <v>511</v>
      </c>
      <c r="D2" s="2" t="s">
        <v>512</v>
      </c>
      <c r="E2" s="2" t="s">
        <v>513</v>
      </c>
    </row>
    <row r="3" spans="1:5" ht="33" customHeight="1" x14ac:dyDescent="0.3">
      <c r="A3" s="2" t="s">
        <v>110</v>
      </c>
      <c r="B3" s="2" t="s">
        <v>111</v>
      </c>
      <c r="C3" s="2" t="s">
        <v>514</v>
      </c>
      <c r="D3" s="2" t="s">
        <v>515</v>
      </c>
      <c r="E3" s="2" t="s">
        <v>516</v>
      </c>
    </row>
    <row r="4" spans="1:5" ht="33" customHeight="1" x14ac:dyDescent="0.3">
      <c r="A4" s="2" t="s">
        <v>321</v>
      </c>
      <c r="B4" s="2" t="s">
        <v>322</v>
      </c>
      <c r="C4" s="2" t="s">
        <v>517</v>
      </c>
      <c r="D4" s="2" t="s">
        <v>518</v>
      </c>
      <c r="E4" s="2" t="s">
        <v>519</v>
      </c>
    </row>
    <row r="5" spans="1:5" ht="33" customHeight="1" x14ac:dyDescent="0.3">
      <c r="A5" s="2" t="s">
        <v>164</v>
      </c>
      <c r="B5" s="2" t="s">
        <v>165</v>
      </c>
      <c r="C5" s="2" t="s">
        <v>520</v>
      </c>
      <c r="D5" s="2" t="s">
        <v>521</v>
      </c>
      <c r="E5" s="2" t="s">
        <v>522</v>
      </c>
    </row>
    <row r="6" spans="1:5" ht="33" customHeight="1" x14ac:dyDescent="0.3">
      <c r="A6" s="2" t="s">
        <v>310</v>
      </c>
      <c r="B6" s="2" t="s">
        <v>311</v>
      </c>
      <c r="C6" s="2" t="s">
        <v>523</v>
      </c>
      <c r="D6" s="2" t="s">
        <v>524</v>
      </c>
      <c r="E6" s="2" t="s">
        <v>525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500"/>
  <sheetViews>
    <sheetView topLeftCell="Q1" workbookViewId="0">
      <selection activeCell="Y2" sqref="Y2"/>
    </sheetView>
  </sheetViews>
  <sheetFormatPr defaultColWidth="8.6640625" defaultRowHeight="13.2" x14ac:dyDescent="0.25"/>
  <cols>
    <col min="1" max="1" width="14" customWidth="1"/>
    <col min="2" max="2" width="18" customWidth="1"/>
    <col min="3" max="3" width="16" customWidth="1"/>
    <col min="4" max="4" width="24" customWidth="1"/>
    <col min="5" max="5" width="36" customWidth="1"/>
    <col min="6" max="6" width="18" customWidth="1"/>
    <col min="7" max="7" width="22" customWidth="1"/>
    <col min="8" max="8" width="44" customWidth="1"/>
    <col min="9" max="9" width="24" customWidth="1"/>
    <col min="10" max="12" width="14" customWidth="1"/>
    <col min="13" max="13" width="16" customWidth="1"/>
    <col min="14" max="14" width="12" customWidth="1"/>
    <col min="15" max="15" width="30" customWidth="1"/>
    <col min="16" max="17" width="22" customWidth="1"/>
    <col min="18" max="18" width="18" customWidth="1"/>
    <col min="19" max="19" width="16" customWidth="1"/>
    <col min="20" max="22" width="30" customWidth="1"/>
    <col min="23" max="23" width="22" customWidth="1"/>
    <col min="24" max="24" width="16" customWidth="1"/>
    <col min="25" max="25" width="34" customWidth="1"/>
    <col min="26" max="26" width="20" customWidth="1"/>
    <col min="27" max="27" width="44" customWidth="1"/>
    <col min="28" max="28" width="24" customWidth="1"/>
    <col min="29" max="30" width="18" customWidth="1"/>
    <col min="31" max="31" width="30" customWidth="1"/>
    <col min="32" max="32" width="34" customWidth="1"/>
    <col min="33" max="33" width="20" customWidth="1"/>
    <col min="34" max="34" width="22" customWidth="1"/>
    <col min="35" max="35" width="44" customWidth="1"/>
    <col min="36" max="36" width="24" customWidth="1"/>
    <col min="37" max="37" width="18" customWidth="1"/>
    <col min="38" max="38" width="16" customWidth="1"/>
    <col min="39" max="39" width="30" customWidth="1"/>
    <col min="40" max="41" width="34" customWidth="1"/>
  </cols>
  <sheetData>
    <row r="1" spans="1:41" ht="28.8" customHeight="1" x14ac:dyDescent="0.25">
      <c r="A1" s="3" t="s">
        <v>526</v>
      </c>
      <c r="B1" s="3" t="s">
        <v>527</v>
      </c>
      <c r="C1" s="3" t="s">
        <v>528</v>
      </c>
      <c r="D1" s="3" t="s">
        <v>529</v>
      </c>
      <c r="E1" s="3" t="s">
        <v>530</v>
      </c>
      <c r="F1" s="3" t="s">
        <v>531</v>
      </c>
      <c r="G1" s="3" t="s">
        <v>532</v>
      </c>
      <c r="H1" s="3" t="s">
        <v>533</v>
      </c>
      <c r="I1" s="3" t="s">
        <v>534</v>
      </c>
      <c r="J1" s="4" t="s">
        <v>535</v>
      </c>
      <c r="K1" s="4" t="s">
        <v>536</v>
      </c>
      <c r="L1" s="4" t="s">
        <v>537</v>
      </c>
      <c r="M1" s="4" t="s">
        <v>538</v>
      </c>
      <c r="N1" s="3" t="s">
        <v>539</v>
      </c>
      <c r="O1" s="3" t="s">
        <v>540</v>
      </c>
      <c r="P1" s="3" t="s">
        <v>541</v>
      </c>
      <c r="Q1" s="3" t="s">
        <v>542</v>
      </c>
      <c r="R1" s="3" t="s">
        <v>543</v>
      </c>
      <c r="S1" s="3" t="s">
        <v>544</v>
      </c>
      <c r="T1" s="3" t="s">
        <v>545</v>
      </c>
      <c r="U1" s="3" t="s">
        <v>546</v>
      </c>
      <c r="V1" s="3" t="s">
        <v>547</v>
      </c>
      <c r="W1" s="3" t="s">
        <v>548</v>
      </c>
      <c r="X1" s="3" t="s">
        <v>549</v>
      </c>
      <c r="Y1" s="3" t="s">
        <v>550</v>
      </c>
      <c r="Z1" s="3" t="s">
        <v>551</v>
      </c>
      <c r="AA1" s="3" t="s">
        <v>552</v>
      </c>
      <c r="AB1" s="3" t="s">
        <v>553</v>
      </c>
      <c r="AC1" s="4" t="s">
        <v>554</v>
      </c>
      <c r="AD1" s="3" t="s">
        <v>555</v>
      </c>
      <c r="AE1" s="3" t="s">
        <v>556</v>
      </c>
      <c r="AF1" s="3" t="s">
        <v>557</v>
      </c>
      <c r="AG1" s="3" t="s">
        <v>558</v>
      </c>
      <c r="AH1" s="3" t="s">
        <v>559</v>
      </c>
      <c r="AI1" s="3" t="s">
        <v>560</v>
      </c>
      <c r="AJ1" s="3" t="s">
        <v>561</v>
      </c>
      <c r="AK1" s="4" t="s">
        <v>562</v>
      </c>
      <c r="AL1" s="3" t="s">
        <v>563</v>
      </c>
      <c r="AM1" s="3" t="s">
        <v>564</v>
      </c>
      <c r="AN1" s="3" t="s">
        <v>565</v>
      </c>
      <c r="AO1" s="3" t="s">
        <v>566</v>
      </c>
    </row>
    <row r="2" spans="1:41" ht="151.19999999999999" customHeight="1" x14ac:dyDescent="0.3">
      <c r="A2" s="2" t="s">
        <v>567</v>
      </c>
      <c r="B2" s="2" t="str">
        <f t="shared" ref="B2:B65" si="0">IF($D2="","",IF(COUNTA($Y2:$AE2)&gt;0,"UPDATE","NO_CHANGE"))</f>
        <v>NO_CHANGE</v>
      </c>
      <c r="C2" s="2" t="str">
        <f t="shared" ref="C2:C65" si="1">IF($D2="","",IF($R2&lt;&gt;"OK","ERROR",IF(OR($E2="", $F2="", $J2=""),"ERROR",IF($W2&lt;&gt;"OK","WARNING","PASS"))))</f>
        <v>WARNING</v>
      </c>
      <c r="D2" s="2" t="str">
        <f>IF(DB_Artworks_Export!A2="","",DB_Artworks_Export!A2)</f>
        <v>art-1770419263598</v>
      </c>
      <c r="E2" s="2" t="str">
        <f>IF(DB_Artworks_Export!B2="","",DB_Artworks_Export!B2)</f>
        <v>Eternal Glow – Mandala of Light and Balance</v>
      </c>
      <c r="F2" s="2" t="str">
        <f>IF(DB_Artworks_Export!C2="","",DB_Artworks_Export!C2)</f>
        <v>dot-mandala</v>
      </c>
      <c r="G2" s="2" t="str">
        <f>IF(DB_Artworks_Export!D2="","",DB_Artworks_Export!D2)</f>
        <v>Dot Mandala Art</v>
      </c>
      <c r="H2" s="2" t="str">
        <f>IF(DB_Artworks_Export!E2="","",DB_Artworks_Export!E2)</f>
        <v>A striking hand-painted dot mandala artwork bursting with warmth and movement. Set against a deep black background, layers of flowing petal-like forms in rich shades of orange, amber, gold, and green radiate outward from a detailed center, creating a sense of balance and positive energy. Every dot and stroke is carefully placed by hand, making this piece truly one of a kind.
Perfect as a statement wall décor or tabletop display, this mandala brings vibrancy and artistic depth to living rooms, meditation spaces, offices, or creative corners. An eye-catching handmade gift for housewarmings, festivals, weddings, or for anyone who appreciates meaningful, soulful art.</v>
      </c>
      <c r="I2" s="2" t="str">
        <f>IF(DB_Artworks_Export!F2="","",DB_Artworks_Export!F2)</f>
        <v>Wood</v>
      </c>
      <c r="J2" s="2" t="str">
        <f>IF(DB_Artworks_Export!G2="","",DB_Artworks_Export!G2)</f>
        <v>4000.00</v>
      </c>
      <c r="K2" s="2" t="str">
        <f>IF(DB_Artworks_Export!H2="","",DB_Artworks_Export!H2)</f>
        <v>76.00</v>
      </c>
      <c r="L2" s="2" t="str">
        <f>IF(DB_Artworks_Export!I2="","",DB_Artworks_Export!I2)</f>
        <v>92.4000</v>
      </c>
      <c r="M2" s="2" t="str">
        <f>IF(DB_Artworks_Export!J2="","",DB_Artworks_Export!J2)</f>
        <v>1.7500</v>
      </c>
      <c r="N2" s="2" t="str">
        <f>IF(DB_Artworks_Export!K2="","",DB_Artworks_Export!K2)</f>
        <v>f</v>
      </c>
      <c r="O2" s="2" t="str">
        <f>IF(DB_Artworks_Export!L2="","",DB_Artworks_Export!L2)</f>
        <v>https://chitrakalaarts-production.up.railway.app/api/images/artworks/art-1770419263598</v>
      </c>
      <c r="P2" s="2" t="str">
        <f>IF(DB_Artworks_Export!M2="","",DB_Artworks_Export!M2)</f>
        <v>2026-02-10 17:54:35.568324</v>
      </c>
      <c r="Q2" s="2" t="str">
        <f>IF(DB_Artworks_Export!N2="","",DB_Artworks_Export!N2)</f>
        <v>2026-03-17 03:31:03.482303</v>
      </c>
      <c r="R2" s="2" t="str">
        <f>IF($D2="","",IF(COUNTIF(DB_Categories_Export!$A:$A,$F2)&gt;0,"OK","INVALID CATEGORY"))</f>
        <v>OK</v>
      </c>
      <c r="S2" s="2">
        <f>IF($D2="","",COUNTIF(DB_Artwork_Sizes_Export!$B:$B,$D2))</f>
        <v>4</v>
      </c>
      <c r="T2" s="2" t="str">
        <f>IF($D2="","",IFERROR(INDEX(DB_Artwork_Sizes_Export!$D:$D,MATCH($D2,DB_Artwork_Sizes_Export!$B:$B,0)),""))</f>
        <v>12" x 12"</v>
      </c>
      <c r="U2" s="2" t="str">
        <f>IF($D2="","",IFERROR(INDEX(DB_Artwork_Sizes_Export!$E:$E,MATCH($D2,DB_Artwork_Sizes_Export!$B:$B,0)),""))</f>
        <v>4500.00</v>
      </c>
      <c r="V2" s="2" t="str">
        <f>IF($D2="","",IFERROR(INDEX(DB_Artwork_Sizes_Export!$F:$F,MATCH($D2,DB_Artwork_Sizes_Export!$B:$B,0)),""))</f>
        <v>76.00</v>
      </c>
      <c r="W2" s="2" t="str">
        <f t="shared" ref="W2:W65" si="2">IF($D2="","",IF($S2&gt;0,"REVIEW_SIZE_PRICING","OK"))</f>
        <v>REVIEW_SIZE_PRICING</v>
      </c>
      <c r="X2" s="2"/>
      <c r="Y2" s="2"/>
      <c r="Z2" s="2"/>
      <c r="AA2" s="2"/>
      <c r="AB2" s="2"/>
      <c r="AC2" s="2"/>
      <c r="AD2" s="2"/>
      <c r="AE2" s="2"/>
      <c r="AF2" s="2" t="str">
        <f t="shared" ref="AF2:AF65" si="3">IF($Y2&lt;&gt;"",$Y2,$E2)</f>
        <v>Eternal Glow – Mandala of Light and Balance</v>
      </c>
      <c r="AG2" s="2" t="str">
        <f t="shared" ref="AG2:AG65" si="4">IF($Z2&lt;&gt;"",$Z2,$F2)</f>
        <v>dot-mandala</v>
      </c>
      <c r="AH2" s="2" t="str">
        <f>IF($AG2="","",IFERROR(VLOOKUP($AG2,DB_Categories_Export!$A:$B,2,FALSE()),"INVALID CATEGORY"))</f>
        <v>Dot Mandala Art</v>
      </c>
      <c r="AI2" s="2" t="str">
        <f t="shared" ref="AI2:AI65" si="5">IF($AA2&lt;&gt;"",$AA2,$H2)</f>
        <v>A striking hand-painted dot mandala artwork bursting with warmth and movement. Set against a deep black background, layers of flowing petal-like forms in rich shades of orange, amber, gold, and green radiate outward from a detailed center, creating a sense of balance and positive energy. Every dot and stroke is carefully placed by hand, making this piece truly one of a kind.
Perfect as a statement wall décor or tabletop display, this mandala brings vibrancy and artistic depth to living rooms, meditation spaces, offices, or creative corners. An eye-catching handmade gift for housewarmings, festivals, weddings, or for anyone who appreciates meaningful, soulful art.</v>
      </c>
      <c r="AJ2" s="2" t="str">
        <f t="shared" ref="AJ2:AJ65" si="6">IF($AB2&lt;&gt;"",$AB2,$I2)</f>
        <v>Wood</v>
      </c>
      <c r="AK2" s="2" t="str">
        <f t="shared" ref="AK2:AK65" si="7">IF($AC2&lt;&gt;"",$AC2,$J2)</f>
        <v>4000.00</v>
      </c>
      <c r="AL2" s="2" t="str">
        <f t="shared" ref="AL2:AL65" si="8">IF($AD2&lt;&gt;"",$AD2,$N2)</f>
        <v>f</v>
      </c>
      <c r="AM2" s="2" t="str">
        <f t="shared" ref="AM2:AM65" si="9">IF($AE2&lt;&gt;"",$AE2,$O2)</f>
        <v>https://chitrakalaarts-production.up.railway.app/api/images/artworks/art-1770419263598</v>
      </c>
      <c r="AN2" s="2"/>
      <c r="AO2" s="2" t="s">
        <v>911</v>
      </c>
    </row>
    <row r="3" spans="1:41" ht="151.19999999999999" customHeight="1" x14ac:dyDescent="0.3">
      <c r="A3" s="2" t="s">
        <v>567</v>
      </c>
      <c r="B3" s="2" t="str">
        <f t="shared" si="0"/>
        <v>NO_CHANGE</v>
      </c>
      <c r="C3" s="2" t="str">
        <f t="shared" si="1"/>
        <v>PASS</v>
      </c>
      <c r="D3" s="2" t="str">
        <f>IF(DB_Artworks_Export!A3="","",DB_Artworks_Export!A3)</f>
        <v>art-1770419392051</v>
      </c>
      <c r="E3" s="2" t="str">
        <f>IF(DB_Artworks_Export!B3="","",DB_Artworks_Export!B3)</f>
        <v>Blush Serenity Mandala – Art in Soft Pink &amp; White</v>
      </c>
      <c r="F3" s="2" t="str">
        <f>IF(DB_Artworks_Export!C3="","",DB_Artworks_Export!C3)</f>
        <v>dot-mandala</v>
      </c>
      <c r="G3" s="2" t="str">
        <f>IF(DB_Artworks_Export!D3="","",DB_Artworks_Export!D3)</f>
        <v>Dot Mandala Art</v>
      </c>
      <c r="H3" s="2" t="str">
        <f>IF(DB_Artworks_Export!E3="","",DB_Artworks_Export!E3)</f>
        <v>A delicate hand-painted dot mandala artwork created in soothing blush pink and white tones. Intricate layers of flowing patterns and finely placed dots form a harmonious circular design that radiates calm, balance, and elegance. Each detail is painted by hand, making this artwork a truly one-of-a-kind piece.
Perfect for adding a soft, peaceful touch to living rooms, bedrooms, meditation corners, or creative spaces, this mandala also makes a thoughtful handmade gift for housewarmings, weddings, anniversaries, or festive occasions. Its gentle color palette blends beautifully with modern, boho, and minimalist interiors.</v>
      </c>
      <c r="I3" s="2" t="str">
        <f>IF(DB_Artworks_Export!F3="","",DB_Artworks_Export!F3)</f>
        <v>Wood</v>
      </c>
      <c r="J3" s="2" t="str">
        <f>IF(DB_Artworks_Export!G3="","",DB_Artworks_Export!G3)</f>
        <v>4000.00</v>
      </c>
      <c r="K3" s="2" t="str">
        <f>IF(DB_Artworks_Export!H3="","",DB_Artworks_Export!H3)</f>
        <v>76.00</v>
      </c>
      <c r="L3" s="2" t="str">
        <f>IF(DB_Artworks_Export!I3="","",DB_Artworks_Export!I3)</f>
        <v>92.4000</v>
      </c>
      <c r="M3" s="2" t="str">
        <f>IF(DB_Artworks_Export!J3="","",DB_Artworks_Export!J3)</f>
        <v>1.7500</v>
      </c>
      <c r="N3" s="2" t="str">
        <f>IF(DB_Artworks_Export!K3="","",DB_Artworks_Export!K3)</f>
        <v>f</v>
      </c>
      <c r="O3" s="2" t="str">
        <f>IF(DB_Artworks_Export!L3="","",DB_Artworks_Export!L3)</f>
        <v>https://chitrakalaarts-production.up.railway.app/api/images/artworks/art-1770419392051</v>
      </c>
      <c r="P3" s="2" t="str">
        <f>IF(DB_Artworks_Export!M3="","",DB_Artworks_Export!M3)</f>
        <v>2026-02-10 17:54:35.568324</v>
      </c>
      <c r="Q3" s="2" t="str">
        <f>IF(DB_Artworks_Export!N3="","",DB_Artworks_Export!N3)</f>
        <v>2026-03-17 03:31:03.510591</v>
      </c>
      <c r="R3" s="2" t="str">
        <f>IF($D3="","",IF(COUNTIF(DB_Categories_Export!$A:$A,$F3)&gt;0,"OK","INVALID CATEGORY"))</f>
        <v>OK</v>
      </c>
      <c r="S3" s="2">
        <f>IF($D3="","",COUNTIF(DB_Artwork_Sizes_Export!$B:$B,$D3))</f>
        <v>0</v>
      </c>
      <c r="T3" s="2" t="str">
        <f>IF($D3="","",IFERROR(INDEX(DB_Artwork_Sizes_Export!$D:$D,MATCH($D3,DB_Artwork_Sizes_Export!$B:$B,0)),""))</f>
        <v/>
      </c>
      <c r="U3" s="2" t="str">
        <f>IF($D3="","",IFERROR(INDEX(DB_Artwork_Sizes_Export!$E:$E,MATCH($D3,DB_Artwork_Sizes_Export!$B:$B,0)),""))</f>
        <v/>
      </c>
      <c r="V3" s="2" t="str">
        <f>IF($D3="","",IFERROR(INDEX(DB_Artwork_Sizes_Export!$F:$F,MATCH($D3,DB_Artwork_Sizes_Export!$B:$B,0)),""))</f>
        <v/>
      </c>
      <c r="W3" s="2" t="str">
        <f t="shared" si="2"/>
        <v>OK</v>
      </c>
      <c r="X3" s="2"/>
      <c r="Y3" s="2"/>
      <c r="Z3" s="2"/>
      <c r="AA3" s="2"/>
      <c r="AB3" s="2"/>
      <c r="AC3" s="2"/>
      <c r="AD3" s="2"/>
      <c r="AE3" s="2"/>
      <c r="AF3" s="2" t="str">
        <f t="shared" si="3"/>
        <v>Blush Serenity Mandala – Art in Soft Pink &amp; White</v>
      </c>
      <c r="AG3" s="2" t="str">
        <f t="shared" si="4"/>
        <v>dot-mandala</v>
      </c>
      <c r="AH3" s="2" t="str">
        <f>IF($AG3="","",IFERROR(VLOOKUP($AG3,DB_Categories_Export!$A:$B,2,FALSE()),"INVALID CATEGORY"))</f>
        <v>Dot Mandala Art</v>
      </c>
      <c r="AI3" s="2" t="str">
        <f t="shared" si="5"/>
        <v>A delicate hand-painted dot mandala artwork created in soothing blush pink and white tones. Intricate layers of flowing patterns and finely placed dots form a harmonious circular design that radiates calm, balance, and elegance. Each detail is painted by hand, making this artwork a truly one-of-a-kind piece.
Perfect for adding a soft, peaceful touch to living rooms, bedrooms, meditation corners, or creative spaces, this mandala also makes a thoughtful handmade gift for housewarmings, weddings, anniversaries, or festive occasions. Its gentle color palette blends beautifully with modern, boho, and minimalist interiors.</v>
      </c>
      <c r="AJ3" s="2" t="str">
        <f t="shared" si="6"/>
        <v>Wood</v>
      </c>
      <c r="AK3" s="2" t="str">
        <f t="shared" si="7"/>
        <v>4000.00</v>
      </c>
      <c r="AL3" s="2" t="str">
        <f t="shared" si="8"/>
        <v>f</v>
      </c>
      <c r="AM3" s="2" t="str">
        <f t="shared" si="9"/>
        <v>https://chitrakalaarts-production.up.railway.app/api/images/artworks/art-1770419392051</v>
      </c>
      <c r="AN3" s="2"/>
      <c r="AO3" s="2"/>
    </row>
    <row r="4" spans="1:41" ht="205.2" customHeight="1" x14ac:dyDescent="0.3">
      <c r="A4" s="2" t="s">
        <v>568</v>
      </c>
      <c r="B4" s="2" t="str">
        <f t="shared" si="0"/>
        <v>UPDATE</v>
      </c>
      <c r="C4" s="2" t="str">
        <f t="shared" si="1"/>
        <v>WARNING</v>
      </c>
      <c r="D4" s="2" t="str">
        <f>IF(DB_Artworks_Export!A4="","",DB_Artworks_Export!A4)</f>
        <v>art-1770419460850</v>
      </c>
      <c r="E4" s="2" t="str">
        <f>IF(DB_Artworks_Export!B4="","",DB_Artworks_Export!B4)</f>
        <v>Mandala in Blue and Peach</v>
      </c>
      <c r="F4" s="2" t="str">
        <f>IF(DB_Artworks_Export!C4="","",DB_Artworks_Export!C4)</f>
        <v>dot-mandala</v>
      </c>
      <c r="G4" s="2" t="str">
        <f>IF(DB_Artworks_Export!D4="","",DB_Artworks_Export!D4)</f>
        <v>Dot Mandala Art</v>
      </c>
      <c r="H4" s="2" t="str">
        <f>IF(DB_Artworks_Export!E4="","",DB_Artworks_Export!E4)</f>
        <v>A captivating hand-painted round dot mandala artwork created in serene shades of blue and soft peach. Layers of intricate dot work and flowing floral patterns come together in perfect harmony, evoking a sense of calm, warmth, and balance. The soothing blue tones bring tranquility, while the peach accents add a gentle glow, making this piece both peaceful and uplifting.
Each mandala is carefully painted by hand, ensuring every artwork is unique. Perfect as a statement wall décor, shelf display, or meditation centerpiece, this mandala adds refined beauty to living rooms, bedrooms, yoga spaces, or creative corners. It also makes a thoughtful handmade gift for housewarmings, weddings, festivals, or special occasions.
18" - Rs 6200
24"  Rs 8000
36" Rs 16000</v>
      </c>
      <c r="I4" s="2" t="str">
        <f>IF(DB_Artworks_Export!F4="","",DB_Artworks_Export!F4)</f>
        <v>Wood</v>
      </c>
      <c r="J4" s="2" t="str">
        <f>IF(DB_Artworks_Export!G4="","",DB_Artworks_Export!G4)</f>
        <v>4000.00</v>
      </c>
      <c r="K4" s="2" t="str">
        <f>IF(DB_Artworks_Export!H4="","",DB_Artworks_Export!H4)</f>
        <v>76.00</v>
      </c>
      <c r="L4" s="2" t="str">
        <f>IF(DB_Artworks_Export!I4="","",DB_Artworks_Export!I4)</f>
        <v>92.4000</v>
      </c>
      <c r="M4" s="2" t="str">
        <f>IF(DB_Artworks_Export!J4="","",DB_Artworks_Export!J4)</f>
        <v>1.7500</v>
      </c>
      <c r="N4" s="2" t="str">
        <f>IF(DB_Artworks_Export!K4="","",DB_Artworks_Export!K4)</f>
        <v>f</v>
      </c>
      <c r="O4" s="2" t="str">
        <f>IF(DB_Artworks_Export!L4="","",DB_Artworks_Export!L4)</f>
        <v>https://chitrakalaarts-production.up.railway.app/api/images/artworks/art-1770419460850</v>
      </c>
      <c r="P4" s="2" t="str">
        <f>IF(DB_Artworks_Export!M4="","",DB_Artworks_Export!M4)</f>
        <v>2026-02-10 17:54:35.568324</v>
      </c>
      <c r="Q4" s="2" t="str">
        <f>IF(DB_Artworks_Export!N4="","",DB_Artworks_Export!N4)</f>
        <v>2026-03-17 03:31:03.532958</v>
      </c>
      <c r="R4" s="2" t="str">
        <f>IF($D4="","",IF(COUNTIF(DB_Categories_Export!$A:$A,$F4)&gt;0,"OK","INVALID CATEGORY"))</f>
        <v>OK</v>
      </c>
      <c r="S4" s="2">
        <f>IF($D4="","",COUNTIF(DB_Artwork_Sizes_Export!$B:$B,$D4))</f>
        <v>1</v>
      </c>
      <c r="T4" s="2" t="str">
        <f>IF($D4="","",IFERROR(INDEX(DB_Artwork_Sizes_Export!$D:$D,MATCH($D4,DB_Artwork_Sizes_Export!$B:$B,0)),""))</f>
        <v>12"</v>
      </c>
      <c r="U4" s="2" t="str">
        <f>IF($D4="","",IFERROR(INDEX(DB_Artwork_Sizes_Export!$E:$E,MATCH($D4,DB_Artwork_Sizes_Export!$B:$B,0)),""))</f>
        <v>3500.00</v>
      </c>
      <c r="V4" s="2" t="str">
        <f>IF($D4="","",IFERROR(INDEX(DB_Artwork_Sizes_Export!$F:$F,MATCH($D4,DB_Artwork_Sizes_Export!$B:$B,0)),""))</f>
        <v>76.00</v>
      </c>
      <c r="W4" s="2" t="str">
        <f t="shared" si="2"/>
        <v>REVIEW_SIZE_PRICING</v>
      </c>
      <c r="X4" s="2"/>
      <c r="Y4" s="2"/>
      <c r="Z4" s="2"/>
      <c r="AA4" s="5" t="s">
        <v>569</v>
      </c>
      <c r="AB4" s="2"/>
      <c r="AC4" s="2"/>
      <c r="AD4" s="2"/>
      <c r="AE4" s="2"/>
      <c r="AF4" s="2" t="str">
        <f t="shared" si="3"/>
        <v>Mandala in Blue and Peach</v>
      </c>
      <c r="AG4" s="2" t="str">
        <f t="shared" si="4"/>
        <v>dot-mandala</v>
      </c>
      <c r="AH4" s="2" t="str">
        <f>IF($AG4="","",IFERROR(VLOOKUP($AG4,DB_Categories_Export!$A:$B,2,FALSE()),"INVALID CATEGORY"))</f>
        <v>Dot Mandala Art</v>
      </c>
      <c r="AI4" s="2" t="str">
        <f t="shared" si="5"/>
        <v>A captivating hand-painted round dot mandala artwork created in serene shades of blue and soft peach. Layers of intricate dot work and flowing floral patterns come together in perfect harmony, evoking a sense of calm, warmth, and balance. The soothing blue tones bring tranquility, while the peach accents add a gentle glow, making this piece both peaceful and uplifting. Each mandala is carefully painted by hand, ensuring every artwork is unique. Perfect as a statement wall décor, shelf display, or meditation centerpiece, this mandala adds refined beauty to living rooms, bedrooms, yoga spaces, or creative corners. It also makes a thoughtful handmade gift for housewarmings, weddings, festivals, or special occasions.</v>
      </c>
      <c r="AJ4" s="2" t="str">
        <f t="shared" si="6"/>
        <v>Wood</v>
      </c>
      <c r="AK4" s="2" t="str">
        <f t="shared" si="7"/>
        <v>4000.00</v>
      </c>
      <c r="AL4" s="2" t="str">
        <f t="shared" si="8"/>
        <v>f</v>
      </c>
      <c r="AM4" s="2" t="str">
        <f t="shared" si="9"/>
        <v>https://chitrakalaarts-production.up.railway.app/api/images/artworks/art-1770419460850</v>
      </c>
      <c r="AN4" s="2"/>
      <c r="AO4" s="2"/>
    </row>
    <row r="5" spans="1:41" ht="65.400000000000006" customHeight="1" x14ac:dyDescent="0.3">
      <c r="A5" s="2" t="s">
        <v>567</v>
      </c>
      <c r="B5" s="2" t="str">
        <f t="shared" si="0"/>
        <v>NO_CHANGE</v>
      </c>
      <c r="C5" s="2" t="str">
        <f t="shared" si="1"/>
        <v>WARNING</v>
      </c>
      <c r="D5" s="2" t="str">
        <f>IF(DB_Artworks_Export!A5="","",DB_Artworks_Export!A5)</f>
        <v>art-1770771760544</v>
      </c>
      <c r="E5" s="2" t="str">
        <f>IF(DB_Artworks_Export!B5="","",DB_Artworks_Export!B5)</f>
        <v>Hand-Painted Keychains (set of 5)</v>
      </c>
      <c r="F5" s="2" t="str">
        <f>IF(DB_Artworks_Export!C5="","",DB_Artworks_Export!C5)</f>
        <v>dot-mandala</v>
      </c>
      <c r="G5" s="2" t="str">
        <f>IF(DB_Artworks_Export!D5="","",DB_Artworks_Export!D5)</f>
        <v>Dot Mandala Art</v>
      </c>
      <c r="H5" s="2" t="str">
        <f>IF(DB_Artworks_Export!E5="","",DB_Artworks_Export!E5)</f>
        <v>Brighten someone’s day with these hand-painted dot mandala wooden keychains, full of color and joyful detail. A thoughtful and affordable gift for festivals, return gifts, party favors, or stocking stuffers—each piece handmade to spread happiness and charm.</v>
      </c>
      <c r="I5" s="2" t="str">
        <f>IF(DB_Artworks_Export!F5="","",DB_Artworks_Export!F5)</f>
        <v>Wood</v>
      </c>
      <c r="J5" s="2" t="str">
        <f>IF(DB_Artworks_Export!G5="","",DB_Artworks_Export!G5)</f>
        <v>450.00</v>
      </c>
      <c r="K5" s="2" t="str">
        <f>IF(DB_Artworks_Export!H5="","",DB_Artworks_Export!H5)</f>
        <v>9.00</v>
      </c>
      <c r="L5" s="2" t="str">
        <f>IF(DB_Artworks_Export!I5="","",DB_Artworks_Export!I5)</f>
        <v>92.4000</v>
      </c>
      <c r="M5" s="2" t="str">
        <f>IF(DB_Artworks_Export!J5="","",DB_Artworks_Export!J5)</f>
        <v>1.7500</v>
      </c>
      <c r="N5" s="2" t="str">
        <f>IF(DB_Artworks_Export!K5="","",DB_Artworks_Export!K5)</f>
        <v>f</v>
      </c>
      <c r="O5" s="2" t="str">
        <f>IF(DB_Artworks_Export!L5="","",DB_Artworks_Export!L5)</f>
        <v>https://chitrakalaarts-production.up.railway.app/api/images/artworks/art-1770771760544</v>
      </c>
      <c r="P5" s="2" t="str">
        <f>IF(DB_Artworks_Export!M5="","",DB_Artworks_Export!M5)</f>
        <v>2026-02-11 01:02:40.581985</v>
      </c>
      <c r="Q5" s="2" t="str">
        <f>IF(DB_Artworks_Export!N5="","",DB_Artworks_Export!N5)</f>
        <v>2026-03-17 03:31:03.473272</v>
      </c>
      <c r="R5" s="2" t="str">
        <f>IF($D5="","",IF(COUNTIF(DB_Categories_Export!$A:$A,$F5)&gt;0,"OK","INVALID CATEGORY"))</f>
        <v>OK</v>
      </c>
      <c r="S5" s="2">
        <f>IF($D5="","",COUNTIF(DB_Artwork_Sizes_Export!$B:$B,$D5))</f>
        <v>1</v>
      </c>
      <c r="T5" s="2" t="str">
        <f>IF($D5="","",IFERROR(INDEX(DB_Artwork_Sizes_Export!$D:$D,MATCH($D5,DB_Artwork_Sizes_Export!$B:$B,0)),""))</f>
        <v>custom</v>
      </c>
      <c r="U5" s="2" t="str">
        <f>IF($D5="","",IFERROR(INDEX(DB_Artwork_Sizes_Export!$E:$E,MATCH($D5,DB_Artwork_Sizes_Export!$B:$B,0)),""))</f>
        <v>450.00</v>
      </c>
      <c r="V5" s="2" t="str">
        <f>IF($D5="","",IFERROR(INDEX(DB_Artwork_Sizes_Export!$F:$F,MATCH($D5,DB_Artwork_Sizes_Export!$B:$B,0)),""))</f>
        <v>9.00</v>
      </c>
      <c r="W5" s="2" t="str">
        <f t="shared" si="2"/>
        <v>REVIEW_SIZE_PRICING</v>
      </c>
      <c r="X5" s="2"/>
      <c r="Y5" s="2"/>
      <c r="Z5" s="2"/>
      <c r="AA5" s="2"/>
      <c r="AB5" s="2"/>
      <c r="AC5" s="2"/>
      <c r="AD5" s="2"/>
      <c r="AE5" s="2"/>
      <c r="AF5" s="2" t="str">
        <f t="shared" si="3"/>
        <v>Hand-Painted Keychains (set of 5)</v>
      </c>
      <c r="AG5" s="2" t="str">
        <f t="shared" si="4"/>
        <v>dot-mandala</v>
      </c>
      <c r="AH5" s="2" t="str">
        <f>IF($AG5="","",IFERROR(VLOOKUP($AG5,DB_Categories_Export!$A:$B,2,FALSE()),"INVALID CATEGORY"))</f>
        <v>Dot Mandala Art</v>
      </c>
      <c r="AI5" s="2" t="str">
        <f t="shared" si="5"/>
        <v>Brighten someone’s day with these hand-painted dot mandala wooden keychains, full of color and joyful detail. A thoughtful and affordable gift for festivals, return gifts, party favors, or stocking stuffers—each piece handmade to spread happiness and charm.</v>
      </c>
      <c r="AJ5" s="2" t="str">
        <f t="shared" si="6"/>
        <v>Wood</v>
      </c>
      <c r="AK5" s="2" t="str">
        <f t="shared" si="7"/>
        <v>450.00</v>
      </c>
      <c r="AL5" s="2" t="str">
        <f t="shared" si="8"/>
        <v>f</v>
      </c>
      <c r="AM5" s="2" t="str">
        <f t="shared" si="9"/>
        <v>https://chitrakalaarts-production.up.railway.app/api/images/artworks/art-1770771760544</v>
      </c>
      <c r="AN5" s="2"/>
      <c r="AO5" s="2" t="s">
        <v>911</v>
      </c>
    </row>
    <row r="6" spans="1:41" ht="54.6" customHeight="1" x14ac:dyDescent="0.3">
      <c r="A6" s="2" t="s">
        <v>567</v>
      </c>
      <c r="B6" s="2" t="str">
        <f t="shared" si="0"/>
        <v>NO_CHANGE</v>
      </c>
      <c r="C6" s="2" t="str">
        <f t="shared" si="1"/>
        <v>WARNING</v>
      </c>
      <c r="D6" s="2" t="str">
        <f>IF(DB_Artworks_Export!A6="","",DB_Artworks_Export!A6)</f>
        <v>art-1770771970545</v>
      </c>
      <c r="E6" s="2" t="str">
        <f>IF(DB_Artworks_Export!B6="","",DB_Artworks_Export!B6)</f>
        <v>Mango-Shaped storage box</v>
      </c>
      <c r="F6" s="2" t="str">
        <f>IF(DB_Artworks_Export!C6="","",DB_Artworks_Export!C6)</f>
        <v>dot-mandala</v>
      </c>
      <c r="G6" s="2" t="str">
        <f>IF(DB_Artworks_Export!D6="","",DB_Artworks_Export!D6)</f>
        <v>Dot Mandala Art</v>
      </c>
      <c r="H6" s="2" t="str">
        <f>IF(DB_Artworks_Export!E6="","",DB_Artworks_Export!E6)</f>
        <v>Unique hand-painted mango-shaped wooden storage box decorated with detailed dot mandala artwork. Ideal for storing jewelry, trinkets, or small keepsakes while bringing a playful yet traditional artistic touch to your décor.</v>
      </c>
      <c r="I6" s="2" t="str">
        <f>IF(DB_Artworks_Export!F6="","",DB_Artworks_Export!F6)</f>
        <v>Wood</v>
      </c>
      <c r="J6" s="2" t="str">
        <f>IF(DB_Artworks_Export!G6="","",DB_Artworks_Export!G6)</f>
        <v>450.00</v>
      </c>
      <c r="K6" s="2" t="str">
        <f>IF(DB_Artworks_Export!H6="","",DB_Artworks_Export!H6)</f>
        <v>9.00</v>
      </c>
      <c r="L6" s="2" t="str">
        <f>IF(DB_Artworks_Export!I6="","",DB_Artworks_Export!I6)</f>
        <v>92.4000</v>
      </c>
      <c r="M6" s="2" t="str">
        <f>IF(DB_Artworks_Export!J6="","",DB_Artworks_Export!J6)</f>
        <v>1.7500</v>
      </c>
      <c r="N6" s="2" t="str">
        <f>IF(DB_Artworks_Export!K6="","",DB_Artworks_Export!K6)</f>
        <v>f</v>
      </c>
      <c r="O6" s="2" t="str">
        <f>IF(DB_Artworks_Export!L6="","",DB_Artworks_Export!L6)</f>
        <v>https://chitrakalaarts-production.up.railway.app/api/images/artworks/art-1770771970545</v>
      </c>
      <c r="P6" s="2" t="str">
        <f>IF(DB_Artworks_Export!M6="","",DB_Artworks_Export!M6)</f>
        <v>2026-02-11 01:06:10.580553</v>
      </c>
      <c r="Q6" s="2" t="str">
        <f>IF(DB_Artworks_Export!N6="","",DB_Artworks_Export!N6)</f>
        <v>2026-03-17 03:31:03.469417</v>
      </c>
      <c r="R6" s="2" t="str">
        <f>IF($D6="","",IF(COUNTIF(DB_Categories_Export!$A:$A,$F6)&gt;0,"OK","INVALID CATEGORY"))</f>
        <v>OK</v>
      </c>
      <c r="S6" s="2">
        <f>IF($D6="","",COUNTIF(DB_Artwork_Sizes_Export!$B:$B,$D6))</f>
        <v>1</v>
      </c>
      <c r="T6" s="2" t="str">
        <f>IF($D6="","",IFERROR(INDEX(DB_Artwork_Sizes_Export!$D:$D,MATCH($D6,DB_Artwork_Sizes_Export!$B:$B,0)),""))</f>
        <v>4" X 2"</v>
      </c>
      <c r="U6" s="2" t="str">
        <f>IF($D6="","",IFERROR(INDEX(DB_Artwork_Sizes_Export!$E:$E,MATCH($D6,DB_Artwork_Sizes_Export!$B:$B,0)),""))</f>
        <v>450.00</v>
      </c>
      <c r="V6" s="2" t="str">
        <f>IF($D6="","",IFERROR(INDEX(DB_Artwork_Sizes_Export!$F:$F,MATCH($D6,DB_Artwork_Sizes_Export!$B:$B,0)),""))</f>
        <v>9.00</v>
      </c>
      <c r="W6" s="2" t="str">
        <f t="shared" si="2"/>
        <v>REVIEW_SIZE_PRICING</v>
      </c>
      <c r="X6" s="2"/>
      <c r="Y6" s="2"/>
      <c r="Z6" s="2"/>
      <c r="AA6" s="2"/>
      <c r="AB6" s="2"/>
      <c r="AC6" s="2"/>
      <c r="AD6" s="2"/>
      <c r="AE6" s="2"/>
      <c r="AF6" s="2" t="str">
        <f t="shared" si="3"/>
        <v>Mango-Shaped storage box</v>
      </c>
      <c r="AG6" s="2" t="str">
        <f t="shared" si="4"/>
        <v>dot-mandala</v>
      </c>
      <c r="AH6" s="2" t="str">
        <f>IF($AG6="","",IFERROR(VLOOKUP($AG6,DB_Categories_Export!$A:$B,2,FALSE()),"INVALID CATEGORY"))</f>
        <v>Dot Mandala Art</v>
      </c>
      <c r="AI6" s="2" t="str">
        <f t="shared" si="5"/>
        <v>Unique hand-painted mango-shaped wooden storage box decorated with detailed dot mandala artwork. Ideal for storing jewelry, trinkets, or small keepsakes while bringing a playful yet traditional artistic touch to your décor.</v>
      </c>
      <c r="AJ6" s="2" t="str">
        <f t="shared" si="6"/>
        <v>Wood</v>
      </c>
      <c r="AK6" s="2" t="str">
        <f t="shared" si="7"/>
        <v>450.00</v>
      </c>
      <c r="AL6" s="2" t="str">
        <f t="shared" si="8"/>
        <v>f</v>
      </c>
      <c r="AM6" s="2" t="str">
        <f t="shared" si="9"/>
        <v>https://chitrakalaarts-production.up.railway.app/api/images/artworks/art-1770771970545</v>
      </c>
      <c r="AN6" s="2"/>
      <c r="AO6" s="2" t="s">
        <v>911</v>
      </c>
    </row>
    <row r="7" spans="1:41" ht="140.4" customHeight="1" x14ac:dyDescent="0.3">
      <c r="A7" s="2" t="s">
        <v>568</v>
      </c>
      <c r="B7" s="2" t="str">
        <f t="shared" si="0"/>
        <v>UPDATE</v>
      </c>
      <c r="C7" s="2" t="str">
        <f t="shared" si="1"/>
        <v>WARNING</v>
      </c>
      <c r="D7" s="2" t="str">
        <f>IF(DB_Artworks_Export!A7="","",DB_Artworks_Export!A7)</f>
        <v>art-1770775579766</v>
      </c>
      <c r="E7" s="2" t="str">
        <f>IF(DB_Artworks_Export!B7="","",DB_Artworks_Export!B7)</f>
        <v>Intricate Floral Mandala Art in Green &amp; Gold</v>
      </c>
      <c r="F7" s="2" t="str">
        <f>IF(DB_Artworks_Export!C7="","",DB_Artworks_Export!C7)</f>
        <v>dot-mandala</v>
      </c>
      <c r="G7" s="2" t="str">
        <f>IF(DB_Artworks_Export!D7="","",DB_Artworks_Export!D7)</f>
        <v>Dot Mandala Art</v>
      </c>
      <c r="H7" s="2" t="str">
        <f>IF(DB_Artworks_Export!E7="","",DB_Artworks_Export!E7)</f>
        <v>An exquisite hand-painted dot mandala artwork, created with intricate layers of delicate dots and flowing floral patterns. Painted in soothing green and warm gold tones, this mandala radiates harmony, balance, and timeless beauty. Every detail is carefully handcrafted, making each piece truly one of a kind.
Perfect as a statement wall décor, shelf accent, or meditation centerpiece, this mandala art brings a sense of calm and elegance to living rooms, entryways, yoga spaces, or gifting occasions. A meaningful handmade gift for art lovers, housewarmings, weddings, or festive celebrations.</v>
      </c>
      <c r="I7" s="2" t="str">
        <f>IF(DB_Artworks_Export!F7="","",DB_Artworks_Export!F7)</f>
        <v>wood</v>
      </c>
      <c r="J7" s="2" t="str">
        <f>IF(DB_Artworks_Export!G7="","",DB_Artworks_Export!G7)</f>
        <v>4000.00</v>
      </c>
      <c r="K7" s="2" t="str">
        <f>IF(DB_Artworks_Export!H7="","",DB_Artworks_Export!H7)</f>
        <v>76.00</v>
      </c>
      <c r="L7" s="2" t="str">
        <f>IF(DB_Artworks_Export!I7="","",DB_Artworks_Export!I7)</f>
        <v>92.4000</v>
      </c>
      <c r="M7" s="2" t="str">
        <f>IF(DB_Artworks_Export!J7="","",DB_Artworks_Export!J7)</f>
        <v>1.7500</v>
      </c>
      <c r="N7" s="2" t="str">
        <f>IF(DB_Artworks_Export!K7="","",DB_Artworks_Export!K7)</f>
        <v>t</v>
      </c>
      <c r="O7" s="2" t="str">
        <f>IF(DB_Artworks_Export!L7="","",DB_Artworks_Export!L7)</f>
        <v>https://chitrakalaarts-production.up.railway.app/api/images/artworks/art-1770775579766</v>
      </c>
      <c r="P7" s="2" t="str">
        <f>IF(DB_Artworks_Export!M7="","",DB_Artworks_Export!M7)</f>
        <v>2026-02-11 02:06:19.802205</v>
      </c>
      <c r="Q7" s="2" t="str">
        <f>IF(DB_Artworks_Export!N7="","",DB_Artworks_Export!N7)</f>
        <v>2026-03-17 03:31:03.464546</v>
      </c>
      <c r="R7" s="2" t="str">
        <f>IF($D7="","",IF(COUNTIF(DB_Categories_Export!$A:$A,$F7)&gt;0,"OK","INVALID CATEGORY"))</f>
        <v>OK</v>
      </c>
      <c r="S7" s="2">
        <f>IF($D7="","",COUNTIF(DB_Artwork_Sizes_Export!$B:$B,$D7))</f>
        <v>4</v>
      </c>
      <c r="T7" s="2" t="str">
        <f>IF($D7="","",IFERROR(INDEX(DB_Artwork_Sizes_Export!$D:$D,MATCH($D7,DB_Artwork_Sizes_Export!$B:$B,0)),""))</f>
        <v>12" round</v>
      </c>
      <c r="U7" s="2" t="str">
        <f>IF($D7="","",IFERROR(INDEX(DB_Artwork_Sizes_Export!$E:$E,MATCH($D7,DB_Artwork_Sizes_Export!$B:$B,0)),""))</f>
        <v>4000.00</v>
      </c>
      <c r="V7" s="2" t="str">
        <f>IF($D7="","",IFERROR(INDEX(DB_Artwork_Sizes_Export!$F:$F,MATCH($D7,DB_Artwork_Sizes_Export!$B:$B,0)),""))</f>
        <v>76.00</v>
      </c>
      <c r="W7" s="2" t="str">
        <f t="shared" si="2"/>
        <v>REVIEW_SIZE_PRICING</v>
      </c>
      <c r="X7" s="2"/>
      <c r="Y7" s="2"/>
      <c r="Z7" s="2"/>
      <c r="AA7" s="2"/>
      <c r="AB7" s="5" t="s">
        <v>67</v>
      </c>
      <c r="AC7" s="2"/>
      <c r="AD7" s="2"/>
      <c r="AE7" s="2"/>
      <c r="AF7" s="2" t="str">
        <f t="shared" si="3"/>
        <v>Intricate Floral Mandala Art in Green &amp; Gold</v>
      </c>
      <c r="AG7" s="2" t="str">
        <f t="shared" si="4"/>
        <v>dot-mandala</v>
      </c>
      <c r="AH7" s="2" t="str">
        <f>IF($AG7="","",IFERROR(VLOOKUP($AG7,DB_Categories_Export!$A:$B,2,FALSE()),"INVALID CATEGORY"))</f>
        <v>Dot Mandala Art</v>
      </c>
      <c r="AI7" s="2" t="str">
        <f t="shared" si="5"/>
        <v>An exquisite hand-painted dot mandala artwork, created with intricate layers of delicate dots and flowing floral patterns. Painted in soothing green and warm gold tones, this mandala radiates harmony, balance, and timeless beauty. Every detail is carefully handcrafted, making each piece truly one of a kind.
Perfect as a statement wall décor, shelf accent, or meditation centerpiece, this mandala art brings a sense of calm and elegance to living rooms, entryways, yoga spaces, or gifting occasions. A meaningful handmade gift for art lovers, housewarmings, weddings, or festive celebrations.</v>
      </c>
      <c r="AJ7" s="2" t="str">
        <f t="shared" si="6"/>
        <v>Wood</v>
      </c>
      <c r="AK7" s="2" t="str">
        <f t="shared" si="7"/>
        <v>4000.00</v>
      </c>
      <c r="AL7" s="2" t="str">
        <f t="shared" si="8"/>
        <v>t</v>
      </c>
      <c r="AM7" s="2" t="str">
        <f t="shared" si="9"/>
        <v>https://chitrakalaarts-production.up.railway.app/api/images/artworks/art-1770775579766</v>
      </c>
      <c r="AN7" s="2"/>
      <c r="AO7" s="2"/>
    </row>
    <row r="8" spans="1:41" ht="54.6" customHeight="1" x14ac:dyDescent="0.3">
      <c r="A8" s="2" t="s">
        <v>567</v>
      </c>
      <c r="B8" s="2" t="str">
        <f t="shared" si="0"/>
        <v>NO_CHANGE</v>
      </c>
      <c r="C8" s="2" t="str">
        <f t="shared" si="1"/>
        <v>WARNING</v>
      </c>
      <c r="D8" s="2" t="str">
        <f>IF(DB_Artworks_Export!A8="","",DB_Artworks_Export!A8)</f>
        <v>art-1770777152872</v>
      </c>
      <c r="E8" s="2" t="str">
        <f>IF(DB_Artworks_Export!B8="","",DB_Artworks_Export!B8)</f>
        <v>Sacred Geometry in Clay &amp; Mirror</v>
      </c>
      <c r="F8" s="2" t="str">
        <f>IF(DB_Artworks_Export!C8="","",DB_Artworks_Export!C8)</f>
        <v>lippan-art</v>
      </c>
      <c r="G8" s="2" t="str">
        <f>IF(DB_Artworks_Export!D8="","",DB_Artworks_Export!D8)</f>
        <v>Lippan Art</v>
      </c>
      <c r="H8" s="2" t="str">
        <f>IF(DB_Artworks_Export!E8="","",DB_Artworks_Export!E8)</f>
        <v>A stunning Lippan art panel handcrafted with clay motifs and delicate mirror inlays, radiating harmony through its geometric symmetry. Framed by vibrant earthy tones, it brings a serene glow to any space.</v>
      </c>
      <c r="I8" s="2" t="str">
        <f>IF(DB_Artworks_Export!F8="","",DB_Artworks_Export!F8)</f>
        <v>Wood</v>
      </c>
      <c r="J8" s="2" t="str">
        <f>IF(DB_Artworks_Export!G8="","",DB_Artworks_Export!G8)</f>
        <v>8000.00</v>
      </c>
      <c r="K8" s="2" t="str">
        <f>IF(DB_Artworks_Export!H8="","",DB_Artworks_Export!H8)</f>
        <v>152.00</v>
      </c>
      <c r="L8" s="2" t="str">
        <f>IF(DB_Artworks_Export!I8="","",DB_Artworks_Export!I8)</f>
        <v>92.4000</v>
      </c>
      <c r="M8" s="2" t="str">
        <f>IF(DB_Artworks_Export!J8="","",DB_Artworks_Export!J8)</f>
        <v>1.7500</v>
      </c>
      <c r="N8" s="2" t="str">
        <f>IF(DB_Artworks_Export!K8="","",DB_Artworks_Export!K8)</f>
        <v>f</v>
      </c>
      <c r="O8" s="2" t="str">
        <f>IF(DB_Artworks_Export!L8="","",DB_Artworks_Export!L8)</f>
        <v>https://chitrakalaarts-production.up.railway.app/api/images/artworks/art-1770777152872</v>
      </c>
      <c r="P8" s="2" t="str">
        <f>IF(DB_Artworks_Export!M8="","",DB_Artworks_Export!M8)</f>
        <v>2026-02-11 02:32:32.911059</v>
      </c>
      <c r="Q8" s="2" t="str">
        <f>IF(DB_Artworks_Export!N8="","",DB_Artworks_Export!N8)</f>
        <v>2026-04-28 17:54:38.817767</v>
      </c>
      <c r="R8" s="2" t="str">
        <f>IF($D8="","",IF(COUNTIF(DB_Categories_Export!$A:$A,$F8)&gt;0,"OK","INVALID CATEGORY"))</f>
        <v>OK</v>
      </c>
      <c r="S8" s="2">
        <f>IF($D8="","",COUNTIF(DB_Artwork_Sizes_Export!$B:$B,$D8))</f>
        <v>2</v>
      </c>
      <c r="T8" s="2" t="str">
        <f>IF($D8="","",IFERROR(INDEX(DB_Artwork_Sizes_Export!$D:$D,MATCH($D8,DB_Artwork_Sizes_Export!$B:$B,0)),""))</f>
        <v>18" X 18"</v>
      </c>
      <c r="U8" s="2" t="str">
        <f>IF($D8="","",IFERROR(INDEX(DB_Artwork_Sizes_Export!$E:$E,MATCH($D8,DB_Artwork_Sizes_Export!$B:$B,0)),""))</f>
        <v>8000.00</v>
      </c>
      <c r="V8" s="2" t="str">
        <f>IF($D8="","",IFERROR(INDEX(DB_Artwork_Sizes_Export!$F:$F,MATCH($D8,DB_Artwork_Sizes_Export!$B:$B,0)),""))</f>
        <v>152.00</v>
      </c>
      <c r="W8" s="2" t="str">
        <f t="shared" si="2"/>
        <v>REVIEW_SIZE_PRICING</v>
      </c>
      <c r="X8" s="2"/>
      <c r="Y8" s="2"/>
      <c r="Z8" s="2"/>
      <c r="AA8" s="2"/>
      <c r="AB8" s="2"/>
      <c r="AC8" s="2"/>
      <c r="AD8" s="2"/>
      <c r="AE8" s="2"/>
      <c r="AF8" s="2" t="str">
        <f t="shared" si="3"/>
        <v>Sacred Geometry in Clay &amp; Mirror</v>
      </c>
      <c r="AG8" s="2" t="str">
        <f t="shared" si="4"/>
        <v>lippan-art</v>
      </c>
      <c r="AH8" s="2" t="str">
        <f>IF($AG8="","",IFERROR(VLOOKUP($AG8,DB_Categories_Export!$A:$B,2,FALSE()),"INVALID CATEGORY"))</f>
        <v>Lippan Art</v>
      </c>
      <c r="AI8" s="2" t="str">
        <f t="shared" si="5"/>
        <v>A stunning Lippan art panel handcrafted with clay motifs and delicate mirror inlays, radiating harmony through its geometric symmetry. Framed by vibrant earthy tones, it brings a serene glow to any space.</v>
      </c>
      <c r="AJ8" s="2" t="str">
        <f t="shared" si="6"/>
        <v>Wood</v>
      </c>
      <c r="AK8" s="2" t="str">
        <f t="shared" si="7"/>
        <v>8000.00</v>
      </c>
      <c r="AL8" s="2" t="str">
        <f t="shared" si="8"/>
        <v>f</v>
      </c>
      <c r="AM8" s="2" t="str">
        <f t="shared" si="9"/>
        <v>https://chitrakalaarts-production.up.railway.app/api/images/artworks/art-1770777152872</v>
      </c>
      <c r="AN8" s="2"/>
      <c r="AO8" s="2" t="s">
        <v>911</v>
      </c>
    </row>
    <row r="9" spans="1:41" ht="76.2" customHeight="1" x14ac:dyDescent="0.3">
      <c r="A9" s="2" t="s">
        <v>567</v>
      </c>
      <c r="B9" s="2" t="str">
        <f t="shared" si="0"/>
        <v>NO_CHANGE</v>
      </c>
      <c r="C9" s="2" t="str">
        <f t="shared" si="1"/>
        <v>PASS</v>
      </c>
      <c r="D9" s="2" t="str">
        <f>IF(DB_Artworks_Export!A9="","",DB_Artworks_Export!A9)</f>
        <v>art-1770778179564</v>
      </c>
      <c r="E9" s="2" t="str">
        <f>IF(DB_Artworks_Export!B9="","",DB_Artworks_Export!B9)</f>
        <v>Colorful Mandala KeyChain Holder</v>
      </c>
      <c r="F9" s="2" t="str">
        <f>IF(DB_Artworks_Export!C9="","",DB_Artworks_Export!C9)</f>
        <v>dot-mandala</v>
      </c>
      <c r="G9" s="2" t="str">
        <f>IF(DB_Artworks_Export!D9="","",DB_Artworks_Export!D9)</f>
        <v>Dot Mandala Art</v>
      </c>
      <c r="H9" s="2" t="str">
        <f>IF(DB_Artworks_Export!E9="","",DB_Artworks_Export!E9)</f>
        <v>Handcrafted wooden key holder adorned with a vibrant dot mandala design in calming shades of purple and teal. Finished with sturdy hooks, it’s perfect for organizing keys while adding a touch of artistic elegance to your home décor. A beautiful blend of functionality and mindful art—ideal for entryways or as a thoughtful handmade gift.</v>
      </c>
      <c r="I9" s="2" t="str">
        <f>IF(DB_Artworks_Export!F9="","",DB_Artworks_Export!F9)</f>
        <v>Wood</v>
      </c>
      <c r="J9" s="2" t="str">
        <f>IF(DB_Artworks_Export!G9="","",DB_Artworks_Export!G9)</f>
        <v>1000.00</v>
      </c>
      <c r="K9" s="2" t="str">
        <f>IF(DB_Artworks_Export!H9="","",DB_Artworks_Export!H9)</f>
        <v>19.00</v>
      </c>
      <c r="L9" s="2" t="str">
        <f>IF(DB_Artworks_Export!I9="","",DB_Artworks_Export!I9)</f>
        <v>92.4000</v>
      </c>
      <c r="M9" s="2" t="str">
        <f>IF(DB_Artworks_Export!J9="","",DB_Artworks_Export!J9)</f>
        <v>1.7500</v>
      </c>
      <c r="N9" s="2" t="str">
        <f>IF(DB_Artworks_Export!K9="","",DB_Artworks_Export!K9)</f>
        <v>f</v>
      </c>
      <c r="O9" s="2" t="str">
        <f>IF(DB_Artworks_Export!L9="","",DB_Artworks_Export!L9)</f>
        <v>https://chitrakalaarts-production.up.railway.app/api/images/artworks/art-1770778179564</v>
      </c>
      <c r="P9" s="2" t="str">
        <f>IF(DB_Artworks_Export!M9="","",DB_Artworks_Export!M9)</f>
        <v>2026-02-11 02:49:39.60251</v>
      </c>
      <c r="Q9" s="2" t="str">
        <f>IF(DB_Artworks_Export!N9="","",DB_Artworks_Export!N9)</f>
        <v>2026-03-17 03:31:03.453632</v>
      </c>
      <c r="R9" s="2" t="str">
        <f>IF($D9="","",IF(COUNTIF(DB_Categories_Export!$A:$A,$F9)&gt;0,"OK","INVALID CATEGORY"))</f>
        <v>OK</v>
      </c>
      <c r="S9" s="2">
        <f>IF($D9="","",COUNTIF(DB_Artwork_Sizes_Export!$B:$B,$D9))</f>
        <v>0</v>
      </c>
      <c r="T9" s="2" t="str">
        <f>IF($D9="","",IFERROR(INDEX(DB_Artwork_Sizes_Export!$D:$D,MATCH($D9,DB_Artwork_Sizes_Export!$B:$B,0)),""))</f>
        <v/>
      </c>
      <c r="U9" s="2" t="str">
        <f>IF($D9="","",IFERROR(INDEX(DB_Artwork_Sizes_Export!$E:$E,MATCH($D9,DB_Artwork_Sizes_Export!$B:$B,0)),""))</f>
        <v/>
      </c>
      <c r="V9" s="2" t="str">
        <f>IF($D9="","",IFERROR(INDEX(DB_Artwork_Sizes_Export!$F:$F,MATCH($D9,DB_Artwork_Sizes_Export!$B:$B,0)),""))</f>
        <v/>
      </c>
      <c r="W9" s="2" t="str">
        <f t="shared" si="2"/>
        <v>OK</v>
      </c>
      <c r="X9" s="2"/>
      <c r="Y9" s="2"/>
      <c r="Z9" s="2"/>
      <c r="AA9" s="2"/>
      <c r="AB9" s="2"/>
      <c r="AC9" s="2"/>
      <c r="AD9" s="2"/>
      <c r="AE9" s="2"/>
      <c r="AF9" s="2" t="str">
        <f t="shared" si="3"/>
        <v>Colorful Mandala KeyChain Holder</v>
      </c>
      <c r="AG9" s="2" t="str">
        <f t="shared" si="4"/>
        <v>dot-mandala</v>
      </c>
      <c r="AH9" s="2" t="str">
        <f>IF($AG9="","",IFERROR(VLOOKUP($AG9,DB_Categories_Export!$A:$B,2,FALSE()),"INVALID CATEGORY"))</f>
        <v>Dot Mandala Art</v>
      </c>
      <c r="AI9" s="2" t="str">
        <f t="shared" si="5"/>
        <v>Handcrafted wooden key holder adorned with a vibrant dot mandala design in calming shades of purple and teal. Finished with sturdy hooks, it’s perfect for organizing keys while adding a touch of artistic elegance to your home décor. A beautiful blend of functionality and mindful art—ideal for entryways or as a thoughtful handmade gift.</v>
      </c>
      <c r="AJ9" s="2" t="str">
        <f t="shared" si="6"/>
        <v>Wood</v>
      </c>
      <c r="AK9" s="2" t="str">
        <f t="shared" si="7"/>
        <v>1000.00</v>
      </c>
      <c r="AL9" s="2" t="str">
        <f t="shared" si="8"/>
        <v>f</v>
      </c>
      <c r="AM9" s="2" t="str">
        <f t="shared" si="9"/>
        <v>https://chitrakalaarts-production.up.railway.app/api/images/artworks/art-1770778179564</v>
      </c>
      <c r="AN9" s="2"/>
      <c r="AO9" s="2"/>
    </row>
    <row r="10" spans="1:41" ht="108.6" customHeight="1" x14ac:dyDescent="0.3">
      <c r="A10" s="2" t="s">
        <v>567</v>
      </c>
      <c r="B10" s="2" t="str">
        <f t="shared" si="0"/>
        <v>NO_CHANGE</v>
      </c>
      <c r="C10" s="2" t="str">
        <f t="shared" si="1"/>
        <v>WARNING</v>
      </c>
      <c r="D10" s="2" t="str">
        <f>IF(DB_Artworks_Export!A10="","",DB_Artworks_Export!A10)</f>
        <v>art-1770778384172</v>
      </c>
      <c r="E10" s="2" t="str">
        <f>IF(DB_Artworks_Export!B10="","",DB_Artworks_Export!B10)</f>
        <v>Butterfly Set (3 pieces)</v>
      </c>
      <c r="F10" s="2" t="str">
        <f>IF(DB_Artworks_Export!C10="","",DB_Artworks_Export!C10)</f>
        <v>dot-mandala</v>
      </c>
      <c r="G10" s="2" t="str">
        <f>IF(DB_Artworks_Export!D10="","",DB_Artworks_Export!D10)</f>
        <v>Dot Mandala Art</v>
      </c>
      <c r="H10" s="2" t="str">
        <f>IF(DB_Artworks_Export!E10="","",DB_Artworks_Export!E10)</f>
        <v>A graceful butterfly brought to life through intricate dot mandala artistry, this hand-painted piece symbolizes transformation, joy, and renewal. Rendered in warm shades of gold, green, and soft orange, each delicate dot adds depth, movement, and a gentle sense of harmony. Perfect as a mindful décor piece, this artwork radiates elegance and positive energy—an exquisite reminder of beauty in transformation. Available in set of 3 - 8*, 6", 4"</v>
      </c>
      <c r="I10" s="2" t="str">
        <f>IF(DB_Artworks_Export!F10="","",DB_Artworks_Export!F10)</f>
        <v>Wood</v>
      </c>
      <c r="J10" s="2" t="str">
        <f>IF(DB_Artworks_Export!G10="","",DB_Artworks_Export!G10)</f>
        <v>1500.00</v>
      </c>
      <c r="K10" s="2" t="str">
        <f>IF(DB_Artworks_Export!H10="","",DB_Artworks_Export!H10)</f>
        <v>28.00</v>
      </c>
      <c r="L10" s="2" t="str">
        <f>IF(DB_Artworks_Export!I10="","",DB_Artworks_Export!I10)</f>
        <v>92.4000</v>
      </c>
      <c r="M10" s="2" t="str">
        <f>IF(DB_Artworks_Export!J10="","",DB_Artworks_Export!J10)</f>
        <v>1.7500</v>
      </c>
      <c r="N10" s="2" t="str">
        <f>IF(DB_Artworks_Export!K10="","",DB_Artworks_Export!K10)</f>
        <v>f</v>
      </c>
      <c r="O10" s="2" t="str">
        <f>IF(DB_Artworks_Export!L10="","",DB_Artworks_Export!L10)</f>
        <v>https://chitrakalaarts-production.up.railway.app/api/images/artworks/art-1770778384172</v>
      </c>
      <c r="P10" s="2" t="str">
        <f>IF(DB_Artworks_Export!M10="","",DB_Artworks_Export!M10)</f>
        <v>2026-02-11 02:53:04.203783</v>
      </c>
      <c r="Q10" s="2" t="str">
        <f>IF(DB_Artworks_Export!N10="","",DB_Artworks_Export!N10)</f>
        <v>2026-03-17 03:31:03.447787</v>
      </c>
      <c r="R10" s="2" t="str">
        <f>IF($D10="","",IF(COUNTIF(DB_Categories_Export!$A:$A,$F10)&gt;0,"OK","INVALID CATEGORY"))</f>
        <v>OK</v>
      </c>
      <c r="S10" s="2">
        <f>IF($D10="","",COUNTIF(DB_Artwork_Sizes_Export!$B:$B,$D10))</f>
        <v>1</v>
      </c>
      <c r="T10" s="2" t="str">
        <f>IF($D10="","",IFERROR(INDEX(DB_Artwork_Sizes_Export!$D:$D,MATCH($D10,DB_Artwork_Sizes_Export!$B:$B,0)),""))</f>
        <v>4", 6", 8" set</v>
      </c>
      <c r="U10" s="2" t="str">
        <f>IF($D10="","",IFERROR(INDEX(DB_Artwork_Sizes_Export!$E:$E,MATCH($D10,DB_Artwork_Sizes_Export!$B:$B,0)),""))</f>
        <v>1500.00</v>
      </c>
      <c r="V10" s="2" t="str">
        <f>IF($D10="","",IFERROR(INDEX(DB_Artwork_Sizes_Export!$F:$F,MATCH($D10,DB_Artwork_Sizes_Export!$B:$B,0)),""))</f>
        <v>28.00</v>
      </c>
      <c r="W10" s="2" t="str">
        <f t="shared" si="2"/>
        <v>REVIEW_SIZE_PRICING</v>
      </c>
      <c r="X10" s="2"/>
      <c r="Y10" s="2"/>
      <c r="Z10" s="2"/>
      <c r="AA10" s="2"/>
      <c r="AB10" s="2"/>
      <c r="AC10" s="2"/>
      <c r="AD10" s="2"/>
      <c r="AE10" s="2"/>
      <c r="AF10" s="2" t="str">
        <f t="shared" si="3"/>
        <v>Butterfly Set (3 pieces)</v>
      </c>
      <c r="AG10" s="2" t="str">
        <f t="shared" si="4"/>
        <v>dot-mandala</v>
      </c>
      <c r="AH10" s="2" t="str">
        <f>IF($AG10="","",IFERROR(VLOOKUP($AG10,DB_Categories_Export!$A:$B,2,FALSE()),"INVALID CATEGORY"))</f>
        <v>Dot Mandala Art</v>
      </c>
      <c r="AI10" s="2" t="str">
        <f t="shared" si="5"/>
        <v>A graceful butterfly brought to life through intricate dot mandala artistry, this hand-painted piece symbolizes transformation, joy, and renewal. Rendered in warm shades of gold, green, and soft orange, each delicate dot adds depth, movement, and a gentle sense of harmony. Perfect as a mindful décor piece, this artwork radiates elegance and positive energy—an exquisite reminder of beauty in transformation. Available in set of 3 - 8*, 6", 4"</v>
      </c>
      <c r="AJ10" s="2" t="str">
        <f t="shared" si="6"/>
        <v>Wood</v>
      </c>
      <c r="AK10" s="2" t="str">
        <f t="shared" si="7"/>
        <v>1500.00</v>
      </c>
      <c r="AL10" s="2" t="str">
        <f t="shared" si="8"/>
        <v>f</v>
      </c>
      <c r="AM10" s="2" t="str">
        <f t="shared" si="9"/>
        <v>https://chitrakalaarts-production.up.railway.app/api/images/artworks/art-1770778384172</v>
      </c>
      <c r="AN10" s="2"/>
      <c r="AO10" s="2" t="s">
        <v>911</v>
      </c>
    </row>
    <row r="11" spans="1:41" ht="140.4" customHeight="1" x14ac:dyDescent="0.3">
      <c r="A11" s="2" t="s">
        <v>567</v>
      </c>
      <c r="B11" s="2" t="str">
        <f t="shared" si="0"/>
        <v>NO_CHANGE</v>
      </c>
      <c r="C11" s="2" t="str">
        <f t="shared" si="1"/>
        <v>WARNING</v>
      </c>
      <c r="D11" s="2" t="str">
        <f>IF(DB_Artworks_Export!A11="","",DB_Artworks_Export!A11)</f>
        <v>art-1770778509370</v>
      </c>
      <c r="E11" s="2" t="str">
        <f>IF(DB_Artworks_Export!B11="","",DB_Artworks_Export!B11)</f>
        <v>Coaster Set (4 pieces)</v>
      </c>
      <c r="F11" s="2" t="str">
        <f>IF(DB_Artworks_Export!C11="","",DB_Artworks_Export!C11)</f>
        <v>dot-mandala</v>
      </c>
      <c r="G11" s="2" t="str">
        <f>IF(DB_Artworks_Export!D11="","",DB_Artworks_Export!D11)</f>
        <v>Dot Mandala Art</v>
      </c>
      <c r="H11" s="2" t="str">
        <f>IF(DB_Artworks_Export!E11="","",DB_Artworks_Export!E11)</f>
        <v>Add a touch of handcrafted elegance to your everyday moments with this hand-painted dot mandala coaster set. Each coaster is meticulously adorned with intricate dot patterns, radiating symmetry, balance, and calming energy. The rich colors and delicate detailing create a harmonious blend of art and function, protecting your surfaces while elevating your décor. Perfect for tea tables, coffee corners, or thoughtful gifting, this coaster set brings mindful beauty and artisanal charm into every sip.
Set of 4 - Rs 750
Set of 6 - Rs 1000</v>
      </c>
      <c r="I11" s="2" t="str">
        <f>IF(DB_Artworks_Export!F11="","",DB_Artworks_Export!F11)</f>
        <v>Wood</v>
      </c>
      <c r="J11" s="2" t="str">
        <f>IF(DB_Artworks_Export!G11="","",DB_Artworks_Export!G11)</f>
        <v>800.00</v>
      </c>
      <c r="K11" s="2" t="str">
        <f>IF(DB_Artworks_Export!H11="","",DB_Artworks_Export!H11)</f>
        <v>15.00</v>
      </c>
      <c r="L11" s="2" t="str">
        <f>IF(DB_Artworks_Export!I11="","",DB_Artworks_Export!I11)</f>
        <v>92.4000</v>
      </c>
      <c r="M11" s="2" t="str">
        <f>IF(DB_Artworks_Export!J11="","",DB_Artworks_Export!J11)</f>
        <v>1.7500</v>
      </c>
      <c r="N11" s="2" t="str">
        <f>IF(DB_Artworks_Export!K11="","",DB_Artworks_Export!K11)</f>
        <v>f</v>
      </c>
      <c r="O11" s="2" t="str">
        <f>IF(DB_Artworks_Export!L11="","",DB_Artworks_Export!L11)</f>
        <v>https://chitrakalaarts-production.up.railway.app/api/images/artworks/art-1770778509370</v>
      </c>
      <c r="P11" s="2" t="str">
        <f>IF(DB_Artworks_Export!M11="","",DB_Artworks_Export!M11)</f>
        <v>2026-02-11 02:55:09.407983</v>
      </c>
      <c r="Q11" s="2" t="str">
        <f>IF(DB_Artworks_Export!N11="","",DB_Artworks_Export!N11)</f>
        <v>2026-03-17 03:31:03.442637</v>
      </c>
      <c r="R11" s="2" t="str">
        <f>IF($D11="","",IF(COUNTIF(DB_Categories_Export!$A:$A,$F11)&gt;0,"OK","INVALID CATEGORY"))</f>
        <v>OK</v>
      </c>
      <c r="S11" s="2">
        <f>IF($D11="","",COUNTIF(DB_Artwork_Sizes_Export!$B:$B,$D11))</f>
        <v>4</v>
      </c>
      <c r="T11" s="2" t="str">
        <f>IF($D11="","",IFERROR(INDEX(DB_Artwork_Sizes_Export!$D:$D,MATCH($D11,DB_Artwork_Sizes_Export!$B:$B,0)),""))</f>
        <v>4" (set of 4)</v>
      </c>
      <c r="U11" s="2" t="str">
        <f>IF($D11="","",IFERROR(INDEX(DB_Artwork_Sizes_Export!$E:$E,MATCH($D11,DB_Artwork_Sizes_Export!$B:$B,0)),""))</f>
        <v>800.00</v>
      </c>
      <c r="V11" s="2" t="str">
        <f>IF($D11="","",IFERROR(INDEX(DB_Artwork_Sizes_Export!$F:$F,MATCH($D11,DB_Artwork_Sizes_Export!$B:$B,0)),""))</f>
        <v>15.00</v>
      </c>
      <c r="W11" s="2" t="str">
        <f t="shared" si="2"/>
        <v>REVIEW_SIZE_PRICING</v>
      </c>
      <c r="X11" s="2"/>
      <c r="Y11" s="2"/>
      <c r="Z11" s="2"/>
      <c r="AA11" s="2"/>
      <c r="AB11" s="2"/>
      <c r="AC11" s="2"/>
      <c r="AD11" s="2"/>
      <c r="AE11" s="2"/>
      <c r="AF11" s="2" t="str">
        <f t="shared" si="3"/>
        <v>Coaster Set (4 pieces)</v>
      </c>
      <c r="AG11" s="2" t="str">
        <f t="shared" si="4"/>
        <v>dot-mandala</v>
      </c>
      <c r="AH11" s="2" t="str">
        <f>IF($AG11="","",IFERROR(VLOOKUP($AG11,DB_Categories_Export!$A:$B,2,FALSE()),"INVALID CATEGORY"))</f>
        <v>Dot Mandala Art</v>
      </c>
      <c r="AI11" s="2" t="str">
        <f t="shared" si="5"/>
        <v>Add a touch of handcrafted elegance to your everyday moments with this hand-painted dot mandala coaster set. Each coaster is meticulously adorned with intricate dot patterns, radiating symmetry, balance, and calming energy. The rich colors and delicate detailing create a harmonious blend of art and function, protecting your surfaces while elevating your décor. Perfect for tea tables, coffee corners, or thoughtful gifting, this coaster set brings mindful beauty and artisanal charm into every sip.
Set of 4 - Rs 750
Set of 6 - Rs 1000</v>
      </c>
      <c r="AJ11" s="2" t="str">
        <f t="shared" si="6"/>
        <v>Wood</v>
      </c>
      <c r="AK11" s="2" t="str">
        <f t="shared" si="7"/>
        <v>800.00</v>
      </c>
      <c r="AL11" s="2" t="str">
        <f t="shared" si="8"/>
        <v>f</v>
      </c>
      <c r="AM11" s="2" t="str">
        <f t="shared" si="9"/>
        <v>https://chitrakalaarts-production.up.railway.app/api/images/artworks/art-1770778509370</v>
      </c>
      <c r="AN11" s="2"/>
      <c r="AO11" s="2" t="s">
        <v>911</v>
      </c>
    </row>
    <row r="12" spans="1:41" ht="54.6" customHeight="1" x14ac:dyDescent="0.3">
      <c r="A12" s="2" t="s">
        <v>567</v>
      </c>
      <c r="B12" s="2" t="str">
        <f t="shared" si="0"/>
        <v>NO_CHANGE</v>
      </c>
      <c r="C12" s="2" t="str">
        <f t="shared" si="1"/>
        <v>PASS</v>
      </c>
      <c r="D12" s="2" t="str">
        <f>IF(DB_Artworks_Export!A12="","",DB_Artworks_Export!A12)</f>
        <v>art-1770778808201</v>
      </c>
      <c r="E12" s="2" t="str">
        <f>IF(DB_Artworks_Export!B12="","",DB_Artworks_Export!B12)</f>
        <v>Serene Teal Floral Mandala Box</v>
      </c>
      <c r="F12" s="2" t="str">
        <f>IF(DB_Artworks_Export!C12="","",DB_Artworks_Export!C12)</f>
        <v>dot-mandala</v>
      </c>
      <c r="G12" s="2" t="str">
        <f>IF(DB_Artworks_Export!D12="","",DB_Artworks_Export!D12)</f>
        <v>Dot Mandala Art</v>
      </c>
      <c r="H12" s="2" t="str">
        <f>IF(DB_Artworks_Export!E12="","",DB_Artworks_Export!E12)</f>
        <v>Hand-painted dot mandala box in soothing teal and turquoise tones, adorned with intricate floral patterns. A perfect accent piece for storing jewelry, keys, or small keepsakes—bringing calm, color, and handmade charm to any space</v>
      </c>
      <c r="I12" s="2" t="str">
        <f>IF(DB_Artworks_Export!F12="","",DB_Artworks_Export!F12)</f>
        <v>Wood</v>
      </c>
      <c r="J12" s="2" t="str">
        <f>IF(DB_Artworks_Export!G12="","",DB_Artworks_Export!G12)</f>
        <v>1000.00</v>
      </c>
      <c r="K12" s="2" t="str">
        <f>IF(DB_Artworks_Export!H12="","",DB_Artworks_Export!H12)</f>
        <v>19.00</v>
      </c>
      <c r="L12" s="2" t="str">
        <f>IF(DB_Artworks_Export!I12="","",DB_Artworks_Export!I12)</f>
        <v>92.4000</v>
      </c>
      <c r="M12" s="2" t="str">
        <f>IF(DB_Artworks_Export!J12="","",DB_Artworks_Export!J12)</f>
        <v>1.7500</v>
      </c>
      <c r="N12" s="2" t="str">
        <f>IF(DB_Artworks_Export!K12="","",DB_Artworks_Export!K12)</f>
        <v>f</v>
      </c>
      <c r="O12" s="2" t="str">
        <f>IF(DB_Artworks_Export!L12="","",DB_Artworks_Export!L12)</f>
        <v>https://chitrakalaarts-production.up.railway.app/api/images/artworks/art-1770778808201</v>
      </c>
      <c r="P12" s="2" t="str">
        <f>IF(DB_Artworks_Export!M12="","",DB_Artworks_Export!M12)</f>
        <v>2026-02-11 03:00:08.235036</v>
      </c>
      <c r="Q12" s="2" t="str">
        <f>IF(DB_Artworks_Export!N12="","",DB_Artworks_Export!N12)</f>
        <v>2026-03-17 03:31:03.439328</v>
      </c>
      <c r="R12" s="2" t="str">
        <f>IF($D12="","",IF(COUNTIF(DB_Categories_Export!$A:$A,$F12)&gt;0,"OK","INVALID CATEGORY"))</f>
        <v>OK</v>
      </c>
      <c r="S12" s="2">
        <f>IF($D12="","",COUNTIF(DB_Artwork_Sizes_Export!$B:$B,$D12))</f>
        <v>0</v>
      </c>
      <c r="T12" s="2" t="str">
        <f>IF($D12="","",IFERROR(INDEX(DB_Artwork_Sizes_Export!$D:$D,MATCH($D12,DB_Artwork_Sizes_Export!$B:$B,0)),""))</f>
        <v/>
      </c>
      <c r="U12" s="2" t="str">
        <f>IF($D12="","",IFERROR(INDEX(DB_Artwork_Sizes_Export!$E:$E,MATCH($D12,DB_Artwork_Sizes_Export!$B:$B,0)),""))</f>
        <v/>
      </c>
      <c r="V12" s="2" t="str">
        <f>IF($D12="","",IFERROR(INDEX(DB_Artwork_Sizes_Export!$F:$F,MATCH($D12,DB_Artwork_Sizes_Export!$B:$B,0)),""))</f>
        <v/>
      </c>
      <c r="W12" s="2" t="str">
        <f t="shared" si="2"/>
        <v>OK</v>
      </c>
      <c r="X12" s="2"/>
      <c r="Y12" s="2"/>
      <c r="Z12" s="2"/>
      <c r="AA12" s="2"/>
      <c r="AB12" s="2"/>
      <c r="AC12" s="2"/>
      <c r="AD12" s="2"/>
      <c r="AE12" s="2"/>
      <c r="AF12" s="2" t="str">
        <f t="shared" si="3"/>
        <v>Serene Teal Floral Mandala Box</v>
      </c>
      <c r="AG12" s="2" t="str">
        <f t="shared" si="4"/>
        <v>dot-mandala</v>
      </c>
      <c r="AH12" s="2" t="str">
        <f>IF($AG12="","",IFERROR(VLOOKUP($AG12,DB_Categories_Export!$A:$B,2,FALSE()),"INVALID CATEGORY"))</f>
        <v>Dot Mandala Art</v>
      </c>
      <c r="AI12" s="2" t="str">
        <f t="shared" si="5"/>
        <v>Hand-painted dot mandala box in soothing teal and turquoise tones, adorned with intricate floral patterns. A perfect accent piece for storing jewelry, keys, or small keepsakes—bringing calm, color, and handmade charm to any space</v>
      </c>
      <c r="AJ12" s="2" t="str">
        <f t="shared" si="6"/>
        <v>Wood</v>
      </c>
      <c r="AK12" s="2" t="str">
        <f t="shared" si="7"/>
        <v>1000.00</v>
      </c>
      <c r="AL12" s="2" t="str">
        <f t="shared" si="8"/>
        <v>f</v>
      </c>
      <c r="AM12" s="2" t="str">
        <f t="shared" si="9"/>
        <v>https://chitrakalaarts-production.up.railway.app/api/images/artworks/art-1770778808201</v>
      </c>
      <c r="AN12" s="2"/>
      <c r="AO12" s="2"/>
    </row>
    <row r="13" spans="1:41" ht="97.8" customHeight="1" x14ac:dyDescent="0.3">
      <c r="A13" s="2" t="s">
        <v>567</v>
      </c>
      <c r="B13" s="2" t="str">
        <f t="shared" si="0"/>
        <v>NO_CHANGE</v>
      </c>
      <c r="C13" s="2" t="str">
        <f t="shared" si="1"/>
        <v>WARNING</v>
      </c>
      <c r="D13" s="2" t="str">
        <f>IF(DB_Artworks_Export!A13="","",DB_Artworks_Export!A13)</f>
        <v>art-1770779054676</v>
      </c>
      <c r="E13" s="2" t="str">
        <f>IF(DB_Artworks_Export!B13="","",DB_Artworks_Export!B13)</f>
        <v>Floral Rectangular Wooden Storage Box</v>
      </c>
      <c r="F13" s="2" t="str">
        <f>IF(DB_Artworks_Export!C13="","",DB_Artworks_Export!C13)</f>
        <v>dot-mandala</v>
      </c>
      <c r="G13" s="2" t="str">
        <f>IF(DB_Artworks_Export!D13="","",DB_Artworks_Export!D13)</f>
        <v>Dot Mandala Art</v>
      </c>
      <c r="H13" s="2" t="str">
        <f>IF(DB_Artworks_Export!E13="","",DB_Artworks_Export!E13)</f>
        <v>Bring vibrant artistry into your home with this beautifully hand‑painted rectangular wooden storage box. Featuring an intricate floral design in rich shades of orange, green, mustard, and white, the artwork is set against a deep, elegant background that makes every detail pop. The flowing patterns and delicate dot work create a striking centerpiece that reflects traditional craftsmanship with a modern touch.</v>
      </c>
      <c r="I13" s="2" t="str">
        <f>IF(DB_Artworks_Export!F13="","",DB_Artworks_Export!F13)</f>
        <v>Wood</v>
      </c>
      <c r="J13" s="2" t="str">
        <f>IF(DB_Artworks_Export!G13="","",DB_Artworks_Export!G13)</f>
        <v>1500.00</v>
      </c>
      <c r="K13" s="2" t="str">
        <f>IF(DB_Artworks_Export!H13="","",DB_Artworks_Export!H13)</f>
        <v>28.00</v>
      </c>
      <c r="L13" s="2" t="str">
        <f>IF(DB_Artworks_Export!I13="","",DB_Artworks_Export!I13)</f>
        <v>92.4000</v>
      </c>
      <c r="M13" s="2" t="str">
        <f>IF(DB_Artworks_Export!J13="","",DB_Artworks_Export!J13)</f>
        <v>1.7500</v>
      </c>
      <c r="N13" s="2" t="str">
        <f>IF(DB_Artworks_Export!K13="","",DB_Artworks_Export!K13)</f>
        <v>f</v>
      </c>
      <c r="O13" s="2" t="str">
        <f>IF(DB_Artworks_Export!L13="","",DB_Artworks_Export!L13)</f>
        <v>https://chitrakalaarts-production.up.railway.app/api/images/artworks/art-1770779054676</v>
      </c>
      <c r="P13" s="2" t="str">
        <f>IF(DB_Artworks_Export!M13="","",DB_Artworks_Export!M13)</f>
        <v>2026-02-11 03:04:14.712276</v>
      </c>
      <c r="Q13" s="2" t="str">
        <f>IF(DB_Artworks_Export!N13="","",DB_Artworks_Export!N13)</f>
        <v>2026-03-17 03:31:03.43306</v>
      </c>
      <c r="R13" s="2" t="str">
        <f>IF($D13="","",IF(COUNTIF(DB_Categories_Export!$A:$A,$F13)&gt;0,"OK","INVALID CATEGORY"))</f>
        <v>OK</v>
      </c>
      <c r="S13" s="2">
        <f>IF($D13="","",COUNTIF(DB_Artwork_Sizes_Export!$B:$B,$D13))</f>
        <v>2</v>
      </c>
      <c r="T13" s="2" t="str">
        <f>IF($D13="","",IFERROR(INDEX(DB_Artwork_Sizes_Export!$D:$D,MATCH($D13,DB_Artwork_Sizes_Export!$B:$B,0)),""))</f>
        <v>12" X 5" X 3" (2 partitions)</v>
      </c>
      <c r="U13" s="2" t="str">
        <f>IF($D13="","",IFERROR(INDEX(DB_Artwork_Sizes_Export!$E:$E,MATCH($D13,DB_Artwork_Sizes_Export!$B:$B,0)),""))</f>
        <v>1500.00</v>
      </c>
      <c r="V13" s="2" t="str">
        <f>IF($D13="","",IFERROR(INDEX(DB_Artwork_Sizes_Export!$F:$F,MATCH($D13,DB_Artwork_Sizes_Export!$B:$B,0)),""))</f>
        <v>28.00</v>
      </c>
      <c r="W13" s="2" t="str">
        <f t="shared" si="2"/>
        <v>REVIEW_SIZE_PRICING</v>
      </c>
      <c r="X13" s="2"/>
      <c r="Y13" s="2"/>
      <c r="Z13" s="2"/>
      <c r="AA13" s="2"/>
      <c r="AB13" s="2"/>
      <c r="AC13" s="2"/>
      <c r="AD13" s="2"/>
      <c r="AE13" s="2"/>
      <c r="AF13" s="2" t="str">
        <f t="shared" si="3"/>
        <v>Floral Rectangular Wooden Storage Box</v>
      </c>
      <c r="AG13" s="2" t="str">
        <f t="shared" si="4"/>
        <v>dot-mandala</v>
      </c>
      <c r="AH13" s="2" t="str">
        <f>IF($AG13="","",IFERROR(VLOOKUP($AG13,DB_Categories_Export!$A:$B,2,FALSE()),"INVALID CATEGORY"))</f>
        <v>Dot Mandala Art</v>
      </c>
      <c r="AI13" s="2" t="str">
        <f t="shared" si="5"/>
        <v>Bring vibrant artistry into your home with this beautifully hand‑painted rectangular wooden storage box. Featuring an intricate floral design in rich shades of orange, green, mustard, and white, the artwork is set against a deep, elegant background that makes every detail pop. The flowing patterns and delicate dot work create a striking centerpiece that reflects traditional craftsmanship with a modern touch.</v>
      </c>
      <c r="AJ13" s="2" t="str">
        <f t="shared" si="6"/>
        <v>Wood</v>
      </c>
      <c r="AK13" s="2" t="str">
        <f t="shared" si="7"/>
        <v>1500.00</v>
      </c>
      <c r="AL13" s="2" t="str">
        <f t="shared" si="8"/>
        <v>f</v>
      </c>
      <c r="AM13" s="2" t="str">
        <f t="shared" si="9"/>
        <v>https://chitrakalaarts-production.up.railway.app/api/images/artworks/art-1770779054676</v>
      </c>
      <c r="AN13" s="2"/>
      <c r="AO13" s="2" t="s">
        <v>911</v>
      </c>
    </row>
    <row r="14" spans="1:41" ht="87" customHeight="1" x14ac:dyDescent="0.3">
      <c r="A14" s="2" t="s">
        <v>567</v>
      </c>
      <c r="B14" s="2" t="str">
        <f t="shared" si="0"/>
        <v>NO_CHANGE</v>
      </c>
      <c r="C14" s="2" t="str">
        <f t="shared" si="1"/>
        <v>WARNING</v>
      </c>
      <c r="D14" s="2" t="str">
        <f>IF(DB_Artworks_Export!A14="","",DB_Artworks_Export!A14)</f>
        <v>art-1770779208267</v>
      </c>
      <c r="E14" s="2" t="str">
        <f>IF(DB_Artworks_Export!B14="","",DB_Artworks_Export!B14)</f>
        <v>Rectangular Wooden box</v>
      </c>
      <c r="F14" s="2" t="str">
        <f>IF(DB_Artworks_Export!C14="","",DB_Artworks_Export!C14)</f>
        <v>dot-mandala</v>
      </c>
      <c r="G14" s="2" t="str">
        <f>IF(DB_Artworks_Export!D14="","",DB_Artworks_Export!D14)</f>
        <v>Dot Mandala Art</v>
      </c>
      <c r="H14" s="2" t="str">
        <f>IF(DB_Artworks_Export!E14="","",DB_Artworks_Export!E14)</f>
        <v>Hand-painted rectangular wooden box featuring beautiful dot mandala artwork delicately painted along the top and bottom borders on all sides. The intricate detailing adds a touch of elegance while keeping the design balanced and timeless. Perfect for storing jewelry, incense, stationery, or small keepsakes, this handcrafted box makes a lovely décor accent</v>
      </c>
      <c r="I14" s="2" t="str">
        <f>IF(DB_Artworks_Export!F14="","",DB_Artworks_Export!F14)</f>
        <v>Wood</v>
      </c>
      <c r="J14" s="2" t="str">
        <f>IF(DB_Artworks_Export!G14="","",DB_Artworks_Export!G14)</f>
        <v>700.00</v>
      </c>
      <c r="K14" s="2" t="str">
        <f>IF(DB_Artworks_Export!H14="","",DB_Artworks_Export!H14)</f>
        <v>13.00</v>
      </c>
      <c r="L14" s="2" t="str">
        <f>IF(DB_Artworks_Export!I14="","",DB_Artworks_Export!I14)</f>
        <v>92.4000</v>
      </c>
      <c r="M14" s="2" t="str">
        <f>IF(DB_Artworks_Export!J14="","",DB_Artworks_Export!J14)</f>
        <v>1.7500</v>
      </c>
      <c r="N14" s="2" t="str">
        <f>IF(DB_Artworks_Export!K14="","",DB_Artworks_Export!K14)</f>
        <v>f</v>
      </c>
      <c r="O14" s="2" t="str">
        <f>IF(DB_Artworks_Export!L14="","",DB_Artworks_Export!L14)</f>
        <v>https://chitrakalaarts-production.up.railway.app/api/images/artworks/art-1770779208267</v>
      </c>
      <c r="P14" s="2" t="str">
        <f>IF(DB_Artworks_Export!M14="","",DB_Artworks_Export!M14)</f>
        <v>2026-02-11 03:06:48.303533</v>
      </c>
      <c r="Q14" s="2" t="str">
        <f>IF(DB_Artworks_Export!N14="","",DB_Artworks_Export!N14)</f>
        <v>2026-05-01 22:02:14.458598</v>
      </c>
      <c r="R14" s="2" t="str">
        <f>IF($D14="","",IF(COUNTIF(DB_Categories_Export!$A:$A,$F14)&gt;0,"OK","INVALID CATEGORY"))</f>
        <v>OK</v>
      </c>
      <c r="S14" s="2">
        <f>IF($D14="","",COUNTIF(DB_Artwork_Sizes_Export!$B:$B,$D14))</f>
        <v>2</v>
      </c>
      <c r="T14" s="2" t="str">
        <f>IF($D14="","",IFERROR(INDEX(DB_Artwork_Sizes_Export!$D:$D,MATCH($D14,DB_Artwork_Sizes_Export!$B:$B,0)),""))</f>
        <v>9" x 2.5" X 2.5" (single)</v>
      </c>
      <c r="U14" s="2" t="str">
        <f>IF($D14="","",IFERROR(INDEX(DB_Artwork_Sizes_Export!$E:$E,MATCH($D14,DB_Artwork_Sizes_Export!$B:$B,0)),""))</f>
        <v>700.00</v>
      </c>
      <c r="V14" s="2" t="str">
        <f>IF($D14="","",IFERROR(INDEX(DB_Artwork_Sizes_Export!$F:$F,MATCH($D14,DB_Artwork_Sizes_Export!$B:$B,0)),""))</f>
        <v>13.00</v>
      </c>
      <c r="W14" s="2" t="str">
        <f t="shared" si="2"/>
        <v>REVIEW_SIZE_PRICING</v>
      </c>
      <c r="X14" s="2"/>
      <c r="Y14" s="2"/>
      <c r="Z14" s="2"/>
      <c r="AA14" s="2"/>
      <c r="AB14" s="2"/>
      <c r="AC14" s="2"/>
      <c r="AD14" s="2"/>
      <c r="AE14" s="2"/>
      <c r="AF14" s="2" t="str">
        <f t="shared" si="3"/>
        <v>Rectangular Wooden box</v>
      </c>
      <c r="AG14" s="2" t="str">
        <f t="shared" si="4"/>
        <v>dot-mandala</v>
      </c>
      <c r="AH14" s="2" t="str">
        <f>IF($AG14="","",IFERROR(VLOOKUP($AG14,DB_Categories_Export!$A:$B,2,FALSE()),"INVALID CATEGORY"))</f>
        <v>Dot Mandala Art</v>
      </c>
      <c r="AI14" s="2" t="str">
        <f t="shared" si="5"/>
        <v>Hand-painted rectangular wooden box featuring beautiful dot mandala artwork delicately painted along the top and bottom borders on all sides. The intricate detailing adds a touch of elegance while keeping the design balanced and timeless. Perfect for storing jewelry, incense, stationery, or small keepsakes, this handcrafted box makes a lovely décor accent</v>
      </c>
      <c r="AJ14" s="2" t="str">
        <f t="shared" si="6"/>
        <v>Wood</v>
      </c>
      <c r="AK14" s="2" t="str">
        <f t="shared" si="7"/>
        <v>700.00</v>
      </c>
      <c r="AL14" s="2" t="str">
        <f t="shared" si="8"/>
        <v>f</v>
      </c>
      <c r="AM14" s="2" t="str">
        <f t="shared" si="9"/>
        <v>https://chitrakalaarts-production.up.railway.app/api/images/artworks/art-1770779208267</v>
      </c>
      <c r="AN14" s="2"/>
      <c r="AO14" s="2" t="s">
        <v>911</v>
      </c>
    </row>
    <row r="15" spans="1:41" ht="43.8" customHeight="1" x14ac:dyDescent="0.3">
      <c r="A15" s="2" t="s">
        <v>567</v>
      </c>
      <c r="B15" s="2" t="str">
        <f t="shared" si="0"/>
        <v>NO_CHANGE</v>
      </c>
      <c r="C15" s="2" t="str">
        <f t="shared" si="1"/>
        <v>WARNING</v>
      </c>
      <c r="D15" s="2" t="str">
        <f>IF(DB_Artworks_Export!A15="","",DB_Artworks_Export!A15)</f>
        <v>art-1770933508740</v>
      </c>
      <c r="E15" s="2" t="str">
        <f>IF(DB_Artworks_Export!B15="","",DB_Artworks_Export!B15)</f>
        <v>Canvas Bag - Birds</v>
      </c>
      <c r="F15" s="2" t="str">
        <f>IF(DB_Artworks_Export!C15="","",DB_Artworks_Export!C15)</f>
        <v>textile-design</v>
      </c>
      <c r="G15" s="2" t="str">
        <f>IF(DB_Artworks_Export!D15="","",DB_Artworks_Export!D15)</f>
        <v>Textile Art</v>
      </c>
      <c r="H15" s="2" t="str">
        <f>IF(DB_Artworks_Export!E15="","",DB_Artworks_Export!E15)</f>
        <v>Beautiful, colorful birds sitting on a tree branch.</v>
      </c>
      <c r="I15" s="2" t="str">
        <f>IF(DB_Artworks_Export!F15="","",DB_Artworks_Export!F15)</f>
        <v>Canvas Cloth</v>
      </c>
      <c r="J15" s="2" t="str">
        <f>IF(DB_Artworks_Export!G15="","",DB_Artworks_Export!G15)</f>
        <v>2000.00</v>
      </c>
      <c r="K15" s="2" t="str">
        <f>IF(DB_Artworks_Export!H15="","",DB_Artworks_Export!H15)</f>
        <v>38.00</v>
      </c>
      <c r="L15" s="2" t="str">
        <f>IF(DB_Artworks_Export!I15="","",DB_Artworks_Export!I15)</f>
        <v>92.4000</v>
      </c>
      <c r="M15" s="2" t="str">
        <f>IF(DB_Artworks_Export!J15="","",DB_Artworks_Export!J15)</f>
        <v>1.7500</v>
      </c>
      <c r="N15" s="2" t="str">
        <f>IF(DB_Artworks_Export!K15="","",DB_Artworks_Export!K15)</f>
        <v>t</v>
      </c>
      <c r="O15" s="2" t="str">
        <f>IF(DB_Artworks_Export!L15="","",DB_Artworks_Export!L15)</f>
        <v>https://chitrakalaarts-production.up.railway.app/api/images/artworks/art-1770933508740</v>
      </c>
      <c r="P15" s="2" t="str">
        <f>IF(DB_Artworks_Export!M15="","",DB_Artworks_Export!M15)</f>
        <v>2026-02-12 21:58:28.780157</v>
      </c>
      <c r="Q15" s="2" t="str">
        <f>IF(DB_Artworks_Export!N15="","",DB_Artworks_Export!N15)</f>
        <v>2026-03-17 03:31:03.42688</v>
      </c>
      <c r="R15" s="2" t="str">
        <f>IF($D15="","",IF(COUNTIF(DB_Categories_Export!$A:$A,$F15)&gt;0,"OK","INVALID CATEGORY"))</f>
        <v>OK</v>
      </c>
      <c r="S15" s="2">
        <f>IF($D15="","",COUNTIF(DB_Artwork_Sizes_Export!$B:$B,$D15))</f>
        <v>2</v>
      </c>
      <c r="T15" s="2" t="str">
        <f>IF($D15="","",IFERROR(INDEX(DB_Artwork_Sizes_Export!$D:$D,MATCH($D15,DB_Artwork_Sizes_Export!$B:$B,0)),""))</f>
        <v>10"x10"</v>
      </c>
      <c r="U15" s="2" t="str">
        <f>IF($D15="","",IFERROR(INDEX(DB_Artwork_Sizes_Export!$E:$E,MATCH($D15,DB_Artwork_Sizes_Export!$B:$B,0)),""))</f>
        <v>1500.00</v>
      </c>
      <c r="V15" s="2" t="str">
        <f>IF($D15="","",IFERROR(INDEX(DB_Artwork_Sizes_Export!$F:$F,MATCH($D15,DB_Artwork_Sizes_Export!$B:$B,0)),""))</f>
        <v>38.00</v>
      </c>
      <c r="W15" s="2" t="str">
        <f t="shared" si="2"/>
        <v>REVIEW_SIZE_PRICING</v>
      </c>
      <c r="X15" s="2"/>
      <c r="Y15" s="2"/>
      <c r="Z15" s="2"/>
      <c r="AA15" s="2"/>
      <c r="AB15" s="2"/>
      <c r="AC15" s="2"/>
      <c r="AD15" s="2"/>
      <c r="AE15" s="2"/>
      <c r="AF15" s="2" t="str">
        <f t="shared" si="3"/>
        <v>Canvas Bag - Birds</v>
      </c>
      <c r="AG15" s="2" t="str">
        <f t="shared" si="4"/>
        <v>textile-design</v>
      </c>
      <c r="AH15" s="2" t="str">
        <f>IF($AG15="","",IFERROR(VLOOKUP($AG15,DB_Categories_Export!$A:$B,2,FALSE()),"INVALID CATEGORY"))</f>
        <v>Textile Art</v>
      </c>
      <c r="AI15" s="2" t="str">
        <f t="shared" si="5"/>
        <v>Beautiful, colorful birds sitting on a tree branch.</v>
      </c>
      <c r="AJ15" s="2" t="str">
        <f t="shared" si="6"/>
        <v>Canvas Cloth</v>
      </c>
      <c r="AK15" s="2" t="str">
        <f t="shared" si="7"/>
        <v>2000.00</v>
      </c>
      <c r="AL15" s="2" t="str">
        <f t="shared" si="8"/>
        <v>t</v>
      </c>
      <c r="AM15" s="2" t="str">
        <f t="shared" si="9"/>
        <v>https://chitrakalaarts-production.up.railway.app/api/images/artworks/art-1770933508740</v>
      </c>
      <c r="AN15" s="2"/>
      <c r="AO15" s="2" t="s">
        <v>911</v>
      </c>
    </row>
    <row r="16" spans="1:41" ht="97.8" customHeight="1" x14ac:dyDescent="0.3">
      <c r="A16" s="2" t="s">
        <v>567</v>
      </c>
      <c r="B16" s="2" t="str">
        <f t="shared" si="0"/>
        <v>NO_CHANGE</v>
      </c>
      <c r="C16" s="2" t="str">
        <f t="shared" si="1"/>
        <v>WARNING</v>
      </c>
      <c r="D16" s="2" t="str">
        <f>IF(DB_Artworks_Export!A16="","",DB_Artworks_Export!A16)</f>
        <v>art-1771030266195</v>
      </c>
      <c r="E16" s="2" t="str">
        <f>IF(DB_Artworks_Export!B16="","",DB_Artworks_Export!B16)</f>
        <v>Hand-Painted Floral Saree</v>
      </c>
      <c r="F16" s="2" t="str">
        <f>IF(DB_Artworks_Export!C16="","",DB_Artworks_Export!C16)</f>
        <v>textile-design</v>
      </c>
      <c r="G16" s="2" t="str">
        <f>IF(DB_Artworks_Export!D16="","",DB_Artworks_Export!D16)</f>
        <v>Textile Art</v>
      </c>
      <c r="H16" s="2" t="str">
        <f>IF(DB_Artworks_Export!E16="","",DB_Artworks_Export!E16)</f>
        <v>Wrap yourself in art.
This exquisite hand‑painted saree is a celebration of craftsmanship, tradition, and delicate beauty. Designed on a soft, lightweight fabric that drapes effortlessly, it features intricate floral motifs painted by hand and accented with fine embroidery and shimmering embellishments. Every detail—each petal, each stitch—reflects hours of skilled artisan work.</v>
      </c>
      <c r="I16" s="2" t="str">
        <f>IF(DB_Artworks_Export!F16="","",DB_Artworks_Export!F16)</f>
        <v>Georgette</v>
      </c>
      <c r="J16" s="2" t="str">
        <f>IF(DB_Artworks_Export!G16="","",DB_Artworks_Export!G16)</f>
        <v>20000.00</v>
      </c>
      <c r="K16" s="2" t="str">
        <f>IF(DB_Artworks_Export!H16="","",DB_Artworks_Export!H16)</f>
        <v>379.00</v>
      </c>
      <c r="L16" s="2" t="str">
        <f>IF(DB_Artworks_Export!I16="","",DB_Artworks_Export!I16)</f>
        <v>92.4000</v>
      </c>
      <c r="M16" s="2" t="str">
        <f>IF(DB_Artworks_Export!J16="","",DB_Artworks_Export!J16)</f>
        <v>1.7500</v>
      </c>
      <c r="N16" s="2" t="str">
        <f>IF(DB_Artworks_Export!K16="","",DB_Artworks_Export!K16)</f>
        <v>t</v>
      </c>
      <c r="O16" s="2" t="str">
        <f>IF(DB_Artworks_Export!L16="","",DB_Artworks_Export!L16)</f>
        <v>https://chitrakalaarts-production.up.railway.app/api/images/artworks/art-1771030266195</v>
      </c>
      <c r="P16" s="2" t="str">
        <f>IF(DB_Artworks_Export!M16="","",DB_Artworks_Export!M16)</f>
        <v>2026-02-14 00:51:06.225062</v>
      </c>
      <c r="Q16" s="2" t="str">
        <f>IF(DB_Artworks_Export!N16="","",DB_Artworks_Export!N16)</f>
        <v>2026-03-17 03:31:03.418899</v>
      </c>
      <c r="R16" s="2" t="str">
        <f>IF($D16="","",IF(COUNTIF(DB_Categories_Export!$A:$A,$F16)&gt;0,"OK","INVALID CATEGORY"))</f>
        <v>OK</v>
      </c>
      <c r="S16" s="2">
        <f>IF($D16="","",COUNTIF(DB_Artwork_Sizes_Export!$B:$B,$D16))</f>
        <v>1</v>
      </c>
      <c r="T16" s="2" t="str">
        <f>IF($D16="","",IFERROR(INDEX(DB_Artwork_Sizes_Export!$D:$D,MATCH($D16,DB_Artwork_Sizes_Export!$B:$B,0)),""))</f>
        <v>Standard</v>
      </c>
      <c r="U16" s="2" t="str">
        <f>IF($D16="","",IFERROR(INDEX(DB_Artwork_Sizes_Export!$E:$E,MATCH($D16,DB_Artwork_Sizes_Export!$B:$B,0)),""))</f>
        <v>20000.00</v>
      </c>
      <c r="V16" s="2" t="str">
        <f>IF($D16="","",IFERROR(INDEX(DB_Artwork_Sizes_Export!$F:$F,MATCH($D16,DB_Artwork_Sizes_Export!$B:$B,0)),""))</f>
        <v>379.00</v>
      </c>
      <c r="W16" s="2" t="str">
        <f t="shared" si="2"/>
        <v>REVIEW_SIZE_PRICING</v>
      </c>
      <c r="X16" s="2"/>
      <c r="Y16" s="2"/>
      <c r="Z16" s="2"/>
      <c r="AA16" s="2"/>
      <c r="AB16" s="2"/>
      <c r="AC16" s="2"/>
      <c r="AD16" s="2"/>
      <c r="AE16" s="2"/>
      <c r="AF16" s="2" t="str">
        <f t="shared" si="3"/>
        <v>Hand-Painted Floral Saree</v>
      </c>
      <c r="AG16" s="2" t="str">
        <f t="shared" si="4"/>
        <v>textile-design</v>
      </c>
      <c r="AH16" s="2" t="str">
        <f>IF($AG16="","",IFERROR(VLOOKUP($AG16,DB_Categories_Export!$A:$B,2,FALSE()),"INVALID CATEGORY"))</f>
        <v>Textile Art</v>
      </c>
      <c r="AI16" s="2" t="str">
        <f t="shared" si="5"/>
        <v>Wrap yourself in art.
This exquisite hand‑painted saree is a celebration of craftsmanship, tradition, and delicate beauty. Designed on a soft, lightweight fabric that drapes effortlessly, it features intricate floral motifs painted by hand and accented with fine embroidery and shimmering embellishments. Every detail—each petal, each stitch—reflects hours of skilled artisan work.</v>
      </c>
      <c r="AJ16" s="2" t="str">
        <f t="shared" si="6"/>
        <v>Georgette</v>
      </c>
      <c r="AK16" s="2" t="str">
        <f t="shared" si="7"/>
        <v>20000.00</v>
      </c>
      <c r="AL16" s="2" t="str">
        <f t="shared" si="8"/>
        <v>t</v>
      </c>
      <c r="AM16" s="2" t="str">
        <f t="shared" si="9"/>
        <v>https://chitrakalaarts-production.up.railway.app/api/images/artworks/art-1771030266195</v>
      </c>
      <c r="AN16" s="2"/>
      <c r="AO16" s="2" t="s">
        <v>911</v>
      </c>
    </row>
    <row r="17" spans="1:41" ht="140.4" customHeight="1" x14ac:dyDescent="0.3">
      <c r="A17" s="2" t="s">
        <v>568</v>
      </c>
      <c r="B17" s="2" t="str">
        <f t="shared" si="0"/>
        <v>UPDATE</v>
      </c>
      <c r="C17" s="2" t="str">
        <f t="shared" si="1"/>
        <v>WARNING</v>
      </c>
      <c r="D17" s="2" t="str">
        <f>IF(DB_Artworks_Export!A17="","",DB_Artworks_Export!A17)</f>
        <v>art-1771030980031</v>
      </c>
      <c r="E17" s="2" t="str">
        <f>IF(DB_Artworks_Export!B17="","",DB_Artworks_Export!B17)</f>
        <v>Midnight Plum Hand-Painted Floral Saree</v>
      </c>
      <c r="F17" s="2" t="str">
        <f>IF(DB_Artworks_Export!C17="","",DB_Artworks_Export!C17)</f>
        <v>textile-design</v>
      </c>
      <c r="G17" s="2" t="str">
        <f>IF(DB_Artworks_Export!D17="","",DB_Artworks_Export!D17)</f>
        <v>Textile Art</v>
      </c>
      <c r="H17" s="2" t="str">
        <f>IF(DB_Artworks_Export!E17="","",DB_Artworks_Export!E17)</f>
        <v>Wrap yourself in effortless elegance with this stunning midnight plum saree, adorned with delicately hand-painted floral motifs. Each bloom unfolds in soft shades of lavender, blush, and muted gold, accented with graceful green leaves that dance across the rich, deep backdrop.
The artwork carries a romantic, almost vintage charm — subtle shimmer detailing adds depth and dimension, making the florals appear beautifully alive against the luxurious base. Perfect for evening gatherings, festive celebrations, cultural events, or intimate occasions where you want to make a refined yet unforgettable statement.</v>
      </c>
      <c r="I17" s="2" t="str">
        <f>IF(DB_Artworks_Export!F17="","",DB_Artworks_Export!F17)</f>
        <v>Pure Wrinkle Cr</v>
      </c>
      <c r="J17" s="2" t="str">
        <f>IF(DB_Artworks_Export!G17="","",DB_Artworks_Export!G17)</f>
        <v>18000.00</v>
      </c>
      <c r="K17" s="2" t="str">
        <f>IF(DB_Artworks_Export!H17="","",DB_Artworks_Export!H17)</f>
        <v>341.00</v>
      </c>
      <c r="L17" s="2" t="str">
        <f>IF(DB_Artworks_Export!I17="","",DB_Artworks_Export!I17)</f>
        <v>92.4000</v>
      </c>
      <c r="M17" s="2" t="str">
        <f>IF(DB_Artworks_Export!J17="","",DB_Artworks_Export!J17)</f>
        <v>1.7500</v>
      </c>
      <c r="N17" s="2" t="str">
        <f>IF(DB_Artworks_Export!K17="","",DB_Artworks_Export!K17)</f>
        <v>f</v>
      </c>
      <c r="O17" s="2" t="str">
        <f>IF(DB_Artworks_Export!L17="","",DB_Artworks_Export!L17)</f>
        <v>https://chitrakalaarts-production.up.railway.app/api/images/artworks/art-1771030980031</v>
      </c>
      <c r="P17" s="2" t="str">
        <f>IF(DB_Artworks_Export!M17="","",DB_Artworks_Export!M17)</f>
        <v>2026-02-14 01:03:00.070567</v>
      </c>
      <c r="Q17" s="2" t="str">
        <f>IF(DB_Artworks_Export!N17="","",DB_Artworks_Export!N17)</f>
        <v>2026-03-17 03:31:03.41179</v>
      </c>
      <c r="R17" s="2" t="str">
        <f>IF($D17="","",IF(COUNTIF(DB_Categories_Export!$A:$A,$F17)&gt;0,"OK","INVALID CATEGORY"))</f>
        <v>OK</v>
      </c>
      <c r="S17" s="2">
        <f>IF($D17="","",COUNTIF(DB_Artwork_Sizes_Export!$B:$B,$D17))</f>
        <v>1</v>
      </c>
      <c r="T17" s="2" t="str">
        <f>IF($D17="","",IFERROR(INDEX(DB_Artwork_Sizes_Export!$D:$D,MATCH($D17,DB_Artwork_Sizes_Export!$B:$B,0)),""))</f>
        <v>Standard</v>
      </c>
      <c r="U17" s="2" t="str">
        <f>IF($D17="","",IFERROR(INDEX(DB_Artwork_Sizes_Export!$E:$E,MATCH($D17,DB_Artwork_Sizes_Export!$B:$B,0)),""))</f>
        <v>18000.00</v>
      </c>
      <c r="V17" s="2" t="str">
        <f>IF($D17="","",IFERROR(INDEX(DB_Artwork_Sizes_Export!$F:$F,MATCH($D17,DB_Artwork_Sizes_Export!$B:$B,0)),""))</f>
        <v>341.00</v>
      </c>
      <c r="W17" s="2" t="str">
        <f t="shared" si="2"/>
        <v>REVIEW_SIZE_PRICING</v>
      </c>
      <c r="X17" s="2"/>
      <c r="Y17" s="2"/>
      <c r="Z17" s="2"/>
      <c r="AA17" s="2"/>
      <c r="AB17" s="5" t="s">
        <v>570</v>
      </c>
      <c r="AC17" s="2"/>
      <c r="AD17" s="2"/>
      <c r="AE17" s="2"/>
      <c r="AF17" s="2" t="str">
        <f t="shared" si="3"/>
        <v>Midnight Plum Hand-Painted Floral Saree</v>
      </c>
      <c r="AG17" s="2" t="str">
        <f t="shared" si="4"/>
        <v>textile-design</v>
      </c>
      <c r="AH17" s="2" t="str">
        <f>IF($AG17="","",IFERROR(VLOOKUP($AG17,DB_Categories_Export!$A:$B,2,FALSE()),"INVALID CATEGORY"))</f>
        <v>Textile Art</v>
      </c>
      <c r="AI17" s="2" t="str">
        <f t="shared" si="5"/>
        <v>Wrap yourself in effortless elegance with this stunning midnight plum saree, adorned with delicately hand-painted floral motifs. Each bloom unfolds in soft shades of lavender, blush, and muted gold, accented with graceful green leaves that dance across the rich, deep backdrop.
The artwork carries a romantic, almost vintage charm — subtle shimmer detailing adds depth and dimension, making the florals appear beautifully alive against the luxurious base. Perfect for evening gatherings, festive celebrations, cultural events, or intimate occasions where you want to make a refined yet unforgettable statement.</v>
      </c>
      <c r="AJ17" s="2" t="str">
        <f t="shared" si="6"/>
        <v>Pure Wrinkle Crepe</v>
      </c>
      <c r="AK17" s="2" t="str">
        <f t="shared" si="7"/>
        <v>18000.00</v>
      </c>
      <c r="AL17" s="2" t="str">
        <f t="shared" si="8"/>
        <v>f</v>
      </c>
      <c r="AM17" s="2" t="str">
        <f t="shared" si="9"/>
        <v>https://chitrakalaarts-production.up.railway.app/api/images/artworks/art-1771030980031</v>
      </c>
      <c r="AN17" s="2"/>
      <c r="AO17" s="2"/>
    </row>
    <row r="18" spans="1:41" ht="140.4" customHeight="1" x14ac:dyDescent="0.3">
      <c r="A18" s="2" t="s">
        <v>567</v>
      </c>
      <c r="B18" s="2" t="str">
        <f t="shared" si="0"/>
        <v>NO_CHANGE</v>
      </c>
      <c r="C18" s="2" t="str">
        <f t="shared" si="1"/>
        <v>WARNING</v>
      </c>
      <c r="D18" s="2" t="str">
        <f>IF(DB_Artworks_Export!A18="","",DB_Artworks_Export!A18)</f>
        <v>art-1771031213758</v>
      </c>
      <c r="E18" s="2" t="str">
        <f>IF(DB_Artworks_Export!B18="","",DB_Artworks_Export!B18)</f>
        <v>Soft Romantic Pastel Drape with Lavender Blooms</v>
      </c>
      <c r="F18" s="2" t="str">
        <f>IF(DB_Artworks_Export!C18="","",DB_Artworks_Export!C18)</f>
        <v>textile-design</v>
      </c>
      <c r="G18" s="2" t="str">
        <f>IF(DB_Artworks_Export!D18="","",DB_Artworks_Export!D18)</f>
        <v>Textile Art</v>
      </c>
      <c r="H18" s="2" t="str">
        <f>IF(DB_Artworks_Export!E18="","",DB_Artworks_Export!E18)</f>
        <v>Delicate, dreamy, and effortlessly graceful — this blush pink saree is a celebration of soft femininity and timeless artistry. Hand-painted with blooming lavender and rose-toned florals, the design flows gently across the fabric with elegant vine patterns and fresh green leaves.
The pastel base enhances the airy watercolor effect of the flowers, creating a light, romantic aesthetic that feels both classic and contemporary. The subtle shimmer accents add just the right hint of refinement, making it perfect for daytime celebrations, festive gatherings, brunch events, or intimate occasions.</v>
      </c>
      <c r="I18" s="2" t="str">
        <f>IF(DB_Artworks_Export!F18="","",DB_Artworks_Export!F18)</f>
        <v>Pure Chiffon</v>
      </c>
      <c r="J18" s="2" t="str">
        <f>IF(DB_Artworks_Export!G18="","",DB_Artworks_Export!G18)</f>
        <v>12000.00</v>
      </c>
      <c r="K18" s="2" t="str">
        <f>IF(DB_Artworks_Export!H18="","",DB_Artworks_Export!H18)</f>
        <v>227.00</v>
      </c>
      <c r="L18" s="2" t="str">
        <f>IF(DB_Artworks_Export!I18="","",DB_Artworks_Export!I18)</f>
        <v>92.4000</v>
      </c>
      <c r="M18" s="2" t="str">
        <f>IF(DB_Artworks_Export!J18="","",DB_Artworks_Export!J18)</f>
        <v>1.7500</v>
      </c>
      <c r="N18" s="2" t="str">
        <f>IF(DB_Artworks_Export!K18="","",DB_Artworks_Export!K18)</f>
        <v>f</v>
      </c>
      <c r="O18" s="2" t="str">
        <f>IF(DB_Artworks_Export!L18="","",DB_Artworks_Export!L18)</f>
        <v>https://chitrakalaarts-production.up.railway.app/api/images/artworks/art-1771031213758</v>
      </c>
      <c r="P18" s="2" t="str">
        <f>IF(DB_Artworks_Export!M18="","",DB_Artworks_Export!M18)</f>
        <v>2026-02-14 01:06:53.787794</v>
      </c>
      <c r="Q18" s="2" t="str">
        <f>IF(DB_Artworks_Export!N18="","",DB_Artworks_Export!N18)</f>
        <v>2026-03-17 03:31:03.406274</v>
      </c>
      <c r="R18" s="2" t="str">
        <f>IF($D18="","",IF(COUNTIF(DB_Categories_Export!$A:$A,$F18)&gt;0,"OK","INVALID CATEGORY"))</f>
        <v>OK</v>
      </c>
      <c r="S18" s="2">
        <f>IF($D18="","",COUNTIF(DB_Artwork_Sizes_Export!$B:$B,$D18))</f>
        <v>1</v>
      </c>
      <c r="T18" s="2" t="str">
        <f>IF($D18="","",IFERROR(INDEX(DB_Artwork_Sizes_Export!$D:$D,MATCH($D18,DB_Artwork_Sizes_Export!$B:$B,0)),""))</f>
        <v>Standard</v>
      </c>
      <c r="U18" s="2" t="str">
        <f>IF($D18="","",IFERROR(INDEX(DB_Artwork_Sizes_Export!$E:$E,MATCH($D18,DB_Artwork_Sizes_Export!$B:$B,0)),""))</f>
        <v>12000.00</v>
      </c>
      <c r="V18" s="2" t="str">
        <f>IF($D18="","",IFERROR(INDEX(DB_Artwork_Sizes_Export!$F:$F,MATCH($D18,DB_Artwork_Sizes_Export!$B:$B,0)),""))</f>
        <v>227.00</v>
      </c>
      <c r="W18" s="2" t="str">
        <f t="shared" si="2"/>
        <v>REVIEW_SIZE_PRICING</v>
      </c>
      <c r="X18" s="2"/>
      <c r="Y18" s="2"/>
      <c r="Z18" s="2"/>
      <c r="AA18" s="2"/>
      <c r="AB18" s="2"/>
      <c r="AC18" s="2"/>
      <c r="AD18" s="2"/>
      <c r="AE18" s="2"/>
      <c r="AF18" s="2" t="str">
        <f t="shared" si="3"/>
        <v>Soft Romantic Pastel Drape with Lavender Blooms</v>
      </c>
      <c r="AG18" s="2" t="str">
        <f t="shared" si="4"/>
        <v>textile-design</v>
      </c>
      <c r="AH18" s="2" t="str">
        <f>IF($AG18="","",IFERROR(VLOOKUP($AG18,DB_Categories_Export!$A:$B,2,FALSE()),"INVALID CATEGORY"))</f>
        <v>Textile Art</v>
      </c>
      <c r="AI18" s="2" t="str">
        <f t="shared" si="5"/>
        <v>Delicate, dreamy, and effortlessly graceful — this blush pink saree is a celebration of soft femininity and timeless artistry. Hand-painted with blooming lavender and rose-toned florals, the design flows gently across the fabric with elegant vine patterns and fresh green leaves.
The pastel base enhances the airy watercolor effect of the flowers, creating a light, romantic aesthetic that feels both classic and contemporary. The subtle shimmer accents add just the right hint of refinement, making it perfect for daytime celebrations, festive gatherings, brunch events, or intimate occasions.</v>
      </c>
      <c r="AJ18" s="2" t="str">
        <f t="shared" si="6"/>
        <v>Pure Chiffon</v>
      </c>
      <c r="AK18" s="2" t="str">
        <f t="shared" si="7"/>
        <v>12000.00</v>
      </c>
      <c r="AL18" s="2" t="str">
        <f t="shared" si="8"/>
        <v>f</v>
      </c>
      <c r="AM18" s="2" t="str">
        <f t="shared" si="9"/>
        <v>https://chitrakalaarts-production.up.railway.app/api/images/artworks/art-1771031213758</v>
      </c>
      <c r="AN18" s="2"/>
      <c r="AO18" s="2" t="s">
        <v>911</v>
      </c>
    </row>
    <row r="19" spans="1:41" ht="108.6" customHeight="1" x14ac:dyDescent="0.3">
      <c r="A19" s="2" t="s">
        <v>567</v>
      </c>
      <c r="B19" s="2" t="str">
        <f t="shared" si="0"/>
        <v>NO_CHANGE</v>
      </c>
      <c r="C19" s="2" t="str">
        <f t="shared" si="1"/>
        <v>WARNING</v>
      </c>
      <c r="D19" s="2" t="str">
        <f>IF(DB_Artworks_Export!A19="","",DB_Artworks_Export!A19)</f>
        <v>art-1771033398626</v>
      </c>
      <c r="E19" s="2" t="str">
        <f>IF(DB_Artworks_Export!B19="","",DB_Artworks_Export!B19)</f>
        <v>Teal &amp; Blue Boho Decorative Round</v>
      </c>
      <c r="F19" s="2" t="str">
        <f>IF(DB_Artworks_Export!C19="","",DB_Artworks_Export!C19)</f>
        <v>dot-mandala</v>
      </c>
      <c r="G19" s="2" t="str">
        <f>IF(DB_Artworks_Export!D19="","",DB_Artworks_Export!D19)</f>
        <v>Dot Mandala Art</v>
      </c>
      <c r="H19" s="2" t="str">
        <f>IF(DB_Artworks_Export!E19="","",DB_Artworks_Export!E19)</f>
        <v>A small piece with a powerful presence. Available as single piece or in set.
This mandala is more than décor — it’s a symbol of unity, mindfulness, and creative energy, crafted with patience and love.
Add a touch of vibrant harmony to your space with this beautifully hand-painted 6-inch round dot mandala artwork. Designed with intricate layers of carefully placed dots, this piece radiates balance, calm, and artistic elegance.</v>
      </c>
      <c r="I19" s="2" t="str">
        <f>IF(DB_Artworks_Export!F19="","",DB_Artworks_Export!F19)</f>
        <v>Wood</v>
      </c>
      <c r="J19" s="2" t="str">
        <f>IF(DB_Artworks_Export!G19="","",DB_Artworks_Export!G19)</f>
        <v>1000.00</v>
      </c>
      <c r="K19" s="2" t="str">
        <f>IF(DB_Artworks_Export!H19="","",DB_Artworks_Export!H19)</f>
        <v>19.00</v>
      </c>
      <c r="L19" s="2" t="str">
        <f>IF(DB_Artworks_Export!I19="","",DB_Artworks_Export!I19)</f>
        <v>92.4000</v>
      </c>
      <c r="M19" s="2" t="str">
        <f>IF(DB_Artworks_Export!J19="","",DB_Artworks_Export!J19)</f>
        <v>1.7500</v>
      </c>
      <c r="N19" s="2" t="str">
        <f>IF(DB_Artworks_Export!K19="","",DB_Artworks_Export!K19)</f>
        <v>f</v>
      </c>
      <c r="O19" s="2" t="str">
        <f>IF(DB_Artworks_Export!L19="","",DB_Artworks_Export!L19)</f>
        <v>https://chitrakalaarts-production.up.railway.app/api/images/artworks/art-1771033398626</v>
      </c>
      <c r="P19" s="2" t="str">
        <f>IF(DB_Artworks_Export!M19="","",DB_Artworks_Export!M19)</f>
        <v>2026-02-14 01:43:18.656885</v>
      </c>
      <c r="Q19" s="2" t="str">
        <f>IF(DB_Artworks_Export!N19="","",DB_Artworks_Export!N19)</f>
        <v>2026-03-17 03:31:03.400385</v>
      </c>
      <c r="R19" s="2" t="str">
        <f>IF($D19="","",IF(COUNTIF(DB_Categories_Export!$A:$A,$F19)&gt;0,"OK","INVALID CATEGORY"))</f>
        <v>OK</v>
      </c>
      <c r="S19" s="2">
        <f>IF($D19="","",COUNTIF(DB_Artwork_Sizes_Export!$B:$B,$D19))</f>
        <v>2</v>
      </c>
      <c r="T19" s="2" t="str">
        <f>IF($D19="","",IFERROR(INDEX(DB_Artwork_Sizes_Export!$D:$D,MATCH($D19,DB_Artwork_Sizes_Export!$B:$B,0)),""))</f>
        <v>6" (set of 2)</v>
      </c>
      <c r="U19" s="2" t="str">
        <f>IF($D19="","",IFERROR(INDEX(DB_Artwork_Sizes_Export!$E:$E,MATCH($D19,DB_Artwork_Sizes_Export!$B:$B,0)),""))</f>
        <v>1000.00</v>
      </c>
      <c r="V19" s="2" t="str">
        <f>IF($D19="","",IFERROR(INDEX(DB_Artwork_Sizes_Export!$F:$F,MATCH($D19,DB_Artwork_Sizes_Export!$B:$B,0)),""))</f>
        <v>19.00</v>
      </c>
      <c r="W19" s="2" t="str">
        <f t="shared" si="2"/>
        <v>REVIEW_SIZE_PRICING</v>
      </c>
      <c r="X19" s="2"/>
      <c r="Y19" s="2"/>
      <c r="Z19" s="2"/>
      <c r="AA19" s="2"/>
      <c r="AB19" s="2"/>
      <c r="AC19" s="2"/>
      <c r="AD19" s="2"/>
      <c r="AE19" s="2"/>
      <c r="AF19" s="2" t="str">
        <f t="shared" si="3"/>
        <v>Teal &amp; Blue Boho Decorative Round</v>
      </c>
      <c r="AG19" s="2" t="str">
        <f t="shared" si="4"/>
        <v>dot-mandala</v>
      </c>
      <c r="AH19" s="2" t="str">
        <f>IF($AG19="","",IFERROR(VLOOKUP($AG19,DB_Categories_Export!$A:$B,2,FALSE()),"INVALID CATEGORY"))</f>
        <v>Dot Mandala Art</v>
      </c>
      <c r="AI19" s="2" t="str">
        <f t="shared" si="5"/>
        <v>A small piece with a powerful presence. Available as single piece or in set.
This mandala is more than décor — it’s a symbol of unity, mindfulness, and creative energy, crafted with patience and love.
Add a touch of vibrant harmony to your space with this beautifully hand-painted 6-inch round dot mandala artwork. Designed with intricate layers of carefully placed dots, this piece radiates balance, calm, and artistic elegance.</v>
      </c>
      <c r="AJ19" s="2" t="str">
        <f t="shared" si="6"/>
        <v>Wood</v>
      </c>
      <c r="AK19" s="2" t="str">
        <f t="shared" si="7"/>
        <v>1000.00</v>
      </c>
      <c r="AL19" s="2" t="str">
        <f t="shared" si="8"/>
        <v>f</v>
      </c>
      <c r="AM19" s="2" t="str">
        <f t="shared" si="9"/>
        <v>https://chitrakalaarts-production.up.railway.app/api/images/artworks/art-1771033398626</v>
      </c>
      <c r="AN19" s="2"/>
      <c r="AO19" s="2" t="s">
        <v>911</v>
      </c>
    </row>
    <row r="20" spans="1:41" ht="140.4" customHeight="1" x14ac:dyDescent="0.3">
      <c r="A20" s="2" t="s">
        <v>567</v>
      </c>
      <c r="B20" s="2" t="str">
        <f t="shared" si="0"/>
        <v>NO_CHANGE</v>
      </c>
      <c r="C20" s="2" t="str">
        <f t="shared" si="1"/>
        <v>WARNING</v>
      </c>
      <c r="D20" s="2" t="str">
        <f>IF(DB_Artworks_Export!A20="","",DB_Artworks_Export!A20)</f>
        <v>art-1771101879286</v>
      </c>
      <c r="E20" s="2" t="str">
        <f>IF(DB_Artworks_Export!B20="","",DB_Artworks_Export!B20)</f>
        <v>Decorative Serving Board</v>
      </c>
      <c r="F20" s="2" t="str">
        <f>IF(DB_Artworks_Export!C20="","",DB_Artworks_Export!C20)</f>
        <v>dot-mandala</v>
      </c>
      <c r="G20" s="2" t="str">
        <f>IF(DB_Artworks_Export!D20="","",DB_Artworks_Export!D20)</f>
        <v>Dot Mandala Art</v>
      </c>
      <c r="H20" s="2" t="str">
        <f>IF(DB_Artworks_Export!E20="","",DB_Artworks_Export!E20)</f>
        <v>Elevate your kitchen and dining space with this exquisite hand-painted wooden serving board.
• Hand painted Durable wooden base with smooth finish
• Intricate dot mandala design – each piece is one-of-a-kind
• Sealed for light use and easy maintenance
✨ Perfect For:
• Housewarming gifts
• Wedding or anniversary presents
• Boho or rustic kitchen décor
• Art lovers and handmade collectors</v>
      </c>
      <c r="I20" s="2" t="str">
        <f>IF(DB_Artworks_Export!F20="","",DB_Artworks_Export!F20)</f>
        <v>Wood</v>
      </c>
      <c r="J20" s="2" t="str">
        <f>IF(DB_Artworks_Export!G20="","",DB_Artworks_Export!G20)</f>
        <v>800.00</v>
      </c>
      <c r="K20" s="2" t="str">
        <f>IF(DB_Artworks_Export!H20="","",DB_Artworks_Export!H20)</f>
        <v>15.00</v>
      </c>
      <c r="L20" s="2" t="str">
        <f>IF(DB_Artworks_Export!I20="","",DB_Artworks_Export!I20)</f>
        <v>92.4000</v>
      </c>
      <c r="M20" s="2" t="str">
        <f>IF(DB_Artworks_Export!J20="","",DB_Artworks_Export!J20)</f>
        <v>1.7500</v>
      </c>
      <c r="N20" s="2" t="str">
        <f>IF(DB_Artworks_Export!K20="","",DB_Artworks_Export!K20)</f>
        <v>f</v>
      </c>
      <c r="O20" s="2" t="str">
        <f>IF(DB_Artworks_Export!L20="","",DB_Artworks_Export!L20)</f>
        <v>https://chitrakalaarts-production.up.railway.app/api/images/artworks/art-1771101879286</v>
      </c>
      <c r="P20" s="2" t="str">
        <f>IF(DB_Artworks_Export!M20="","",DB_Artworks_Export!M20)</f>
        <v>2026-02-14 20:44:39.314116</v>
      </c>
      <c r="Q20" s="2" t="str">
        <f>IF(DB_Artworks_Export!N20="","",DB_Artworks_Export!N20)</f>
        <v>2026-03-22 14:12:58.425012</v>
      </c>
      <c r="R20" s="2" t="str">
        <f>IF($D20="","",IF(COUNTIF(DB_Categories_Export!$A:$A,$F20)&gt;0,"OK","INVALID CATEGORY"))</f>
        <v>OK</v>
      </c>
      <c r="S20" s="2">
        <f>IF($D20="","",COUNTIF(DB_Artwork_Sizes_Export!$B:$B,$D20))</f>
        <v>6</v>
      </c>
      <c r="T20" s="2" t="str">
        <f>IF($D20="","",IFERROR(INDEX(DB_Artwork_Sizes_Export!$D:$D,MATCH($D20,DB_Artwork_Sizes_Export!$B:$B,0)),""))</f>
        <v>9" (single)</v>
      </c>
      <c r="U20" s="2" t="str">
        <f>IF($D20="","",IFERROR(INDEX(DB_Artwork_Sizes_Export!$E:$E,MATCH($D20,DB_Artwork_Sizes_Export!$B:$B,0)),""))</f>
        <v>800.00</v>
      </c>
      <c r="V20" s="2" t="str">
        <f>IF($D20="","",IFERROR(INDEX(DB_Artwork_Sizes_Export!$F:$F,MATCH($D20,DB_Artwork_Sizes_Export!$B:$B,0)),""))</f>
        <v>15.00</v>
      </c>
      <c r="W20" s="2" t="str">
        <f t="shared" si="2"/>
        <v>REVIEW_SIZE_PRICING</v>
      </c>
      <c r="X20" s="2"/>
      <c r="Y20" s="2"/>
      <c r="Z20" s="2"/>
      <c r="AA20" s="2"/>
      <c r="AB20" s="2"/>
      <c r="AC20" s="2"/>
      <c r="AD20" s="2"/>
      <c r="AE20" s="2"/>
      <c r="AF20" s="2" t="str">
        <f t="shared" si="3"/>
        <v>Decorative Serving Board</v>
      </c>
      <c r="AG20" s="2" t="str">
        <f t="shared" si="4"/>
        <v>dot-mandala</v>
      </c>
      <c r="AH20" s="2" t="str">
        <f>IF($AG20="","",IFERROR(VLOOKUP($AG20,DB_Categories_Export!$A:$B,2,FALSE()),"INVALID CATEGORY"))</f>
        <v>Dot Mandala Art</v>
      </c>
      <c r="AI20" s="2" t="str">
        <f t="shared" si="5"/>
        <v>Elevate your kitchen and dining space with this exquisite hand-painted wooden serving board.
• Hand painted Durable wooden base with smooth finish
• Intricate dot mandala design – each piece is one-of-a-kind
• Sealed for light use and easy maintenance
✨ Perfect For:
• Housewarming gifts
• Wedding or anniversary presents
• Boho or rustic kitchen décor
• Art lovers and handmade collectors</v>
      </c>
      <c r="AJ20" s="2" t="str">
        <f t="shared" si="6"/>
        <v>Wood</v>
      </c>
      <c r="AK20" s="2" t="str">
        <f t="shared" si="7"/>
        <v>800.00</v>
      </c>
      <c r="AL20" s="2" t="str">
        <f t="shared" si="8"/>
        <v>f</v>
      </c>
      <c r="AM20" s="2" t="str">
        <f t="shared" si="9"/>
        <v>https://chitrakalaarts-production.up.railway.app/api/images/artworks/art-1771101879286</v>
      </c>
      <c r="AN20" s="2"/>
      <c r="AO20" s="2" t="s">
        <v>911</v>
      </c>
    </row>
    <row r="21" spans="1:41" ht="43.8" customHeight="1" x14ac:dyDescent="0.3">
      <c r="A21" s="2" t="s">
        <v>567</v>
      </c>
      <c r="B21" s="2" t="str">
        <f t="shared" si="0"/>
        <v>NO_CHANGE</v>
      </c>
      <c r="C21" s="2" t="str">
        <f t="shared" si="1"/>
        <v>WARNING</v>
      </c>
      <c r="D21" s="2" t="str">
        <f>IF(DB_Artworks_Export!A21="","",DB_Artworks_Export!A21)</f>
        <v>art-1771101978525</v>
      </c>
      <c r="E21" s="2" t="str">
        <f>IF(DB_Artworks_Export!B21="","",DB_Artworks_Export!B21)</f>
        <v>Hand painted Tussar Saree</v>
      </c>
      <c r="F21" s="2" t="str">
        <f>IF(DB_Artworks_Export!C21="","",DB_Artworks_Export!C21)</f>
        <v>textile-design</v>
      </c>
      <c r="G21" s="2" t="str">
        <f>IF(DB_Artworks_Export!D21="","",DB_Artworks_Export!D21)</f>
        <v>Textile Art</v>
      </c>
      <c r="H21" s="2" t="str">
        <f>IF(DB_Artworks_Export!E21="","",DB_Artworks_Export!E21)</f>
        <v>Beautiful hand painted saree with Ornamental design all over</v>
      </c>
      <c r="I21" s="2" t="str">
        <f>IF(DB_Artworks_Export!F21="","",DB_Artworks_Export!F21)</f>
        <v>Pure Tussar</v>
      </c>
      <c r="J21" s="2" t="str">
        <f>IF(DB_Artworks_Export!G21="","",DB_Artworks_Export!G21)</f>
        <v>22000.00</v>
      </c>
      <c r="K21" s="2" t="str">
        <f>IF(DB_Artworks_Export!H21="","",DB_Artworks_Export!H21)</f>
        <v>417.00</v>
      </c>
      <c r="L21" s="2" t="str">
        <f>IF(DB_Artworks_Export!I21="","",DB_Artworks_Export!I21)</f>
        <v>92.4000</v>
      </c>
      <c r="M21" s="2" t="str">
        <f>IF(DB_Artworks_Export!J21="","",DB_Artworks_Export!J21)</f>
        <v>1.7500</v>
      </c>
      <c r="N21" s="2" t="str">
        <f>IF(DB_Artworks_Export!K21="","",DB_Artworks_Export!K21)</f>
        <v>f</v>
      </c>
      <c r="O21" s="2" t="str">
        <f>IF(DB_Artworks_Export!L21="","",DB_Artworks_Export!L21)</f>
        <v>https://chitrakalaarts-production.up.railway.app/api/images/artworks/art-1771101978525</v>
      </c>
      <c r="P21" s="2" t="str">
        <f>IF(DB_Artworks_Export!M21="","",DB_Artworks_Export!M21)</f>
        <v>2026-02-14 20:46:18.553613</v>
      </c>
      <c r="Q21" s="2" t="str">
        <f>IF(DB_Artworks_Export!N21="","",DB_Artworks_Export!N21)</f>
        <v>2026-03-17 03:31:03.383394</v>
      </c>
      <c r="R21" s="2" t="str">
        <f>IF($D21="","",IF(COUNTIF(DB_Categories_Export!$A:$A,$F21)&gt;0,"OK","INVALID CATEGORY"))</f>
        <v>OK</v>
      </c>
      <c r="S21" s="2">
        <f>IF($D21="","",COUNTIF(DB_Artwork_Sizes_Export!$B:$B,$D21))</f>
        <v>1</v>
      </c>
      <c r="T21" s="2" t="str">
        <f>IF($D21="","",IFERROR(INDEX(DB_Artwork_Sizes_Export!$D:$D,MATCH($D21,DB_Artwork_Sizes_Export!$B:$B,0)),""))</f>
        <v>Standard</v>
      </c>
      <c r="U21" s="2" t="str">
        <f>IF($D21="","",IFERROR(INDEX(DB_Artwork_Sizes_Export!$E:$E,MATCH($D21,DB_Artwork_Sizes_Export!$B:$B,0)),""))</f>
        <v>22000.00</v>
      </c>
      <c r="V21" s="2" t="str">
        <f>IF($D21="","",IFERROR(INDEX(DB_Artwork_Sizes_Export!$F:$F,MATCH($D21,DB_Artwork_Sizes_Export!$B:$B,0)),""))</f>
        <v>417.00</v>
      </c>
      <c r="W21" s="2" t="str">
        <f t="shared" si="2"/>
        <v>REVIEW_SIZE_PRICING</v>
      </c>
      <c r="X21" s="2"/>
      <c r="Y21" s="2"/>
      <c r="Z21" s="2"/>
      <c r="AA21" s="2"/>
      <c r="AB21" s="2"/>
      <c r="AC21" s="2"/>
      <c r="AD21" s="2"/>
      <c r="AE21" s="2"/>
      <c r="AF21" s="2" t="str">
        <f t="shared" si="3"/>
        <v>Hand painted Tussar Saree</v>
      </c>
      <c r="AG21" s="2" t="str">
        <f t="shared" si="4"/>
        <v>textile-design</v>
      </c>
      <c r="AH21" s="2" t="str">
        <f>IF($AG21="","",IFERROR(VLOOKUP($AG21,DB_Categories_Export!$A:$B,2,FALSE()),"INVALID CATEGORY"))</f>
        <v>Textile Art</v>
      </c>
      <c r="AI21" s="2" t="str">
        <f t="shared" si="5"/>
        <v>Beautiful hand painted saree with Ornamental design all over</v>
      </c>
      <c r="AJ21" s="2" t="str">
        <f t="shared" si="6"/>
        <v>Pure Tussar</v>
      </c>
      <c r="AK21" s="2" t="str">
        <f t="shared" si="7"/>
        <v>22000.00</v>
      </c>
      <c r="AL21" s="2" t="str">
        <f t="shared" si="8"/>
        <v>f</v>
      </c>
      <c r="AM21" s="2" t="str">
        <f t="shared" si="9"/>
        <v>https://chitrakalaarts-production.up.railway.app/api/images/artworks/art-1771101978525</v>
      </c>
      <c r="AN21" s="2"/>
      <c r="AO21" s="2" t="s">
        <v>911</v>
      </c>
    </row>
    <row r="22" spans="1:41" ht="43.8" customHeight="1" x14ac:dyDescent="0.3">
      <c r="A22" s="2" t="s">
        <v>568</v>
      </c>
      <c r="B22" s="2" t="str">
        <f t="shared" si="0"/>
        <v>UPDATE</v>
      </c>
      <c r="C22" s="2" t="str">
        <f t="shared" si="1"/>
        <v>WARNING</v>
      </c>
      <c r="D22" s="2" t="str">
        <f>IF(DB_Artworks_Export!A22="","",DB_Artworks_Export!A22)</f>
        <v>art-1771102194181</v>
      </c>
      <c r="E22" s="2" t="str">
        <f>IF(DB_Artworks_Export!B22="","",DB_Artworks_Export!B22)</f>
        <v>Coaster Set (4 pieces)</v>
      </c>
      <c r="F22" s="2" t="str">
        <f>IF(DB_Artworks_Export!C22="","",DB_Artworks_Export!C22)</f>
        <v>dot-mandala</v>
      </c>
      <c r="G22" s="2" t="str">
        <f>IF(DB_Artworks_Export!D22="","",DB_Artworks_Export!D22)</f>
        <v>Dot Mandala Art</v>
      </c>
      <c r="H22" s="2" t="str">
        <f>IF(DB_Artworks_Export!E22="","",DB_Artworks_Export!E22)</f>
        <v>Beautiful dot mandala coaster set in variety of patterns and colors</v>
      </c>
      <c r="I22" s="2" t="str">
        <f>IF(DB_Artworks_Export!F22="","",DB_Artworks_Export!F22)</f>
        <v>Wood</v>
      </c>
      <c r="J22" s="2" t="str">
        <f>IF(DB_Artworks_Export!G22="","",DB_Artworks_Export!G22)</f>
        <v>800.00</v>
      </c>
      <c r="K22" s="2" t="str">
        <f>IF(DB_Artworks_Export!H22="","",DB_Artworks_Export!H22)</f>
        <v>15.00</v>
      </c>
      <c r="L22" s="2" t="str">
        <f>IF(DB_Artworks_Export!I22="","",DB_Artworks_Export!I22)</f>
        <v>92.4000</v>
      </c>
      <c r="M22" s="2" t="str">
        <f>IF(DB_Artworks_Export!J22="","",DB_Artworks_Export!J22)</f>
        <v>1.7500</v>
      </c>
      <c r="N22" s="2" t="str">
        <f>IF(DB_Artworks_Export!K22="","",DB_Artworks_Export!K22)</f>
        <v>f</v>
      </c>
      <c r="O22" s="2" t="str">
        <f>IF(DB_Artworks_Export!L22="","",DB_Artworks_Export!L22)</f>
        <v>https://chitrakalaarts-production.up.railway.app/api/images/artworks/art-1771102194181</v>
      </c>
      <c r="P22" s="2" t="str">
        <f>IF(DB_Artworks_Export!M22="","",DB_Artworks_Export!M22)</f>
        <v>2026-02-14 20:49:54.209497</v>
      </c>
      <c r="Q22" s="2" t="str">
        <f>IF(DB_Artworks_Export!N22="","",DB_Artworks_Export!N22)</f>
        <v>2026-03-20 01:19:53.847521</v>
      </c>
      <c r="R22" s="2" t="str">
        <f>IF($D22="","",IF(COUNTIF(DB_Categories_Export!$A:$A,$F22)&gt;0,"OK","INVALID CATEGORY"))</f>
        <v>OK</v>
      </c>
      <c r="S22" s="2">
        <f>IF($D22="","",COUNTIF(DB_Artwork_Sizes_Export!$B:$B,$D22))</f>
        <v>4</v>
      </c>
      <c r="T22" s="2" t="str">
        <f>IF($D22="","",IFERROR(INDEX(DB_Artwork_Sizes_Export!$D:$D,MATCH($D22,DB_Artwork_Sizes_Export!$B:$B,0)),""))</f>
        <v>4" (set of 4)</v>
      </c>
      <c r="U22" s="2" t="str">
        <f>IF($D22="","",IFERROR(INDEX(DB_Artwork_Sizes_Export!$E:$E,MATCH($D22,DB_Artwork_Sizes_Export!$B:$B,0)),""))</f>
        <v>800.00</v>
      </c>
      <c r="V22" s="2" t="str">
        <f>IF($D22="","",IFERROR(INDEX(DB_Artwork_Sizes_Export!$F:$F,MATCH($D22,DB_Artwork_Sizes_Export!$B:$B,0)),""))</f>
        <v>15.00</v>
      </c>
      <c r="W22" s="2" t="str">
        <f t="shared" si="2"/>
        <v>REVIEW_SIZE_PRICING</v>
      </c>
      <c r="X22" s="2"/>
      <c r="Y22" s="5" t="s">
        <v>571</v>
      </c>
      <c r="Z22" s="2"/>
      <c r="AA22" s="2"/>
      <c r="AB22" s="2"/>
      <c r="AC22" s="2"/>
      <c r="AD22" s="2"/>
      <c r="AE22" s="2"/>
      <c r="AF22" s="2" t="str">
        <f t="shared" si="3"/>
        <v>Dot Mandala Coaster Set – Variety Pack (4 pieces)</v>
      </c>
      <c r="AG22" s="2" t="str">
        <f t="shared" si="4"/>
        <v>dot-mandala</v>
      </c>
      <c r="AH22" s="2" t="str">
        <f>IF($AG22="","",IFERROR(VLOOKUP($AG22,DB_Categories_Export!$A:$B,2,FALSE()),"INVALID CATEGORY"))</f>
        <v>Dot Mandala Art</v>
      </c>
      <c r="AI22" s="2" t="str">
        <f t="shared" si="5"/>
        <v>Beautiful dot mandala coaster set in variety of patterns and colors</v>
      </c>
      <c r="AJ22" s="2" t="str">
        <f t="shared" si="6"/>
        <v>Wood</v>
      </c>
      <c r="AK22" s="2" t="str">
        <f t="shared" si="7"/>
        <v>800.00</v>
      </c>
      <c r="AL22" s="2" t="str">
        <f t="shared" si="8"/>
        <v>f</v>
      </c>
      <c r="AM22" s="2" t="str">
        <f t="shared" si="9"/>
        <v>https://chitrakalaarts-production.up.railway.app/api/images/artworks/art-1771102194181</v>
      </c>
      <c r="AN22" s="2"/>
      <c r="AO22" s="2"/>
    </row>
    <row r="23" spans="1:41" ht="43.8" customHeight="1" x14ac:dyDescent="0.3">
      <c r="A23" s="2" t="s">
        <v>568</v>
      </c>
      <c r="B23" s="2" t="str">
        <f t="shared" si="0"/>
        <v>UPDATE</v>
      </c>
      <c r="C23" s="2" t="str">
        <f t="shared" si="1"/>
        <v>WARNING</v>
      </c>
      <c r="D23" s="2" t="str">
        <f>IF(DB_Artworks_Export!A23="","",DB_Artworks_Export!A23)</f>
        <v>art-1771102482592</v>
      </c>
      <c r="E23" s="2" t="str">
        <f>IF(DB_Artworks_Export!B23="","",DB_Artworks_Export!B23)</f>
        <v>Decorative Wall Panel</v>
      </c>
      <c r="F23" s="2" t="str">
        <f>IF(DB_Artworks_Export!C23="","",DB_Artworks_Export!C23)</f>
        <v>lippan-art</v>
      </c>
      <c r="G23" s="2" t="str">
        <f>IF(DB_Artworks_Export!D23="","",DB_Artworks_Export!D23)</f>
        <v>Lippan Art</v>
      </c>
      <c r="H23" s="2" t="str">
        <f>IF(DB_Artworks_Export!E23="","",DB_Artworks_Export!E23)</f>
        <v>Beautiful piece decorated with clay and mirrors</v>
      </c>
      <c r="I23" s="2" t="str">
        <f>IF(DB_Artworks_Export!F23="","",DB_Artworks_Export!F23)</f>
        <v>Wood, Clay and Mirrors</v>
      </c>
      <c r="J23" s="2" t="str">
        <f>IF(DB_Artworks_Export!G23="","",DB_Artworks_Export!G23)</f>
        <v>3000.00</v>
      </c>
      <c r="K23" s="2" t="str">
        <f>IF(DB_Artworks_Export!H23="","",DB_Artworks_Export!H23)</f>
        <v>57.00</v>
      </c>
      <c r="L23" s="2" t="str">
        <f>IF(DB_Artworks_Export!I23="","",DB_Artworks_Export!I23)</f>
        <v>92.4000</v>
      </c>
      <c r="M23" s="2" t="str">
        <f>IF(DB_Artworks_Export!J23="","",DB_Artworks_Export!J23)</f>
        <v>1.7500</v>
      </c>
      <c r="N23" s="2" t="str">
        <f>IF(DB_Artworks_Export!K23="","",DB_Artworks_Export!K23)</f>
        <v>f</v>
      </c>
      <c r="O23" s="2" t="str">
        <f>IF(DB_Artworks_Export!L23="","",DB_Artworks_Export!L23)</f>
        <v>https://chitrakalaarts-production.up.railway.app/api/images/artworks/art-1771102482592</v>
      </c>
      <c r="P23" s="2" t="str">
        <f>IF(DB_Artworks_Export!M23="","",DB_Artworks_Export!M23)</f>
        <v>2026-02-14 20:54:42.622311</v>
      </c>
      <c r="Q23" s="2" t="str">
        <f>IF(DB_Artworks_Export!N23="","",DB_Artworks_Export!N23)</f>
        <v>2026-03-17 03:31:03.372791</v>
      </c>
      <c r="R23" s="2" t="str">
        <f>IF($D23="","",IF(COUNTIF(DB_Categories_Export!$A:$A,$F23)&gt;0,"OK","INVALID CATEGORY"))</f>
        <v>OK</v>
      </c>
      <c r="S23" s="2">
        <f>IF($D23="","",COUNTIF(DB_Artwork_Sizes_Export!$B:$B,$D23))</f>
        <v>3</v>
      </c>
      <c r="T23" s="2" t="str">
        <f>IF($D23="","",IFERROR(INDEX(DB_Artwork_Sizes_Export!$D:$D,MATCH($D23,DB_Artwork_Sizes_Export!$B:$B,0)),""))</f>
        <v>8" (round) or 8" (square)</v>
      </c>
      <c r="U23" s="2" t="str">
        <f>IF($D23="","",IFERROR(INDEX(DB_Artwork_Sizes_Export!$E:$E,MATCH($D23,DB_Artwork_Sizes_Export!$B:$B,0)),""))</f>
        <v>1600.00</v>
      </c>
      <c r="V23" s="2" t="str">
        <f>IF($D23="","",IFERROR(INDEX(DB_Artwork_Sizes_Export!$F:$F,MATCH($D23,DB_Artwork_Sizes_Export!$B:$B,0)),""))</f>
        <v>57.00</v>
      </c>
      <c r="W23" s="2" t="str">
        <f t="shared" si="2"/>
        <v>REVIEW_SIZE_PRICING</v>
      </c>
      <c r="X23" s="2"/>
      <c r="Y23" s="5" t="s">
        <v>572</v>
      </c>
      <c r="Z23" s="2"/>
      <c r="AA23" s="2"/>
      <c r="AB23" s="2"/>
      <c r="AC23" s="2"/>
      <c r="AD23" s="2"/>
      <c r="AE23" s="2"/>
      <c r="AF23" s="2" t="str">
        <f t="shared" si="3"/>
        <v>Lippan Decorative Wall Panel – Style A</v>
      </c>
      <c r="AG23" s="2" t="str">
        <f t="shared" si="4"/>
        <v>lippan-art</v>
      </c>
      <c r="AH23" s="2" t="str">
        <f>IF($AG23="","",IFERROR(VLOOKUP($AG23,DB_Categories_Export!$A:$B,2,FALSE()),"INVALID CATEGORY"))</f>
        <v>Lippan Art</v>
      </c>
      <c r="AI23" s="2" t="str">
        <f t="shared" si="5"/>
        <v>Beautiful piece decorated with clay and mirrors</v>
      </c>
      <c r="AJ23" s="2" t="str">
        <f t="shared" si="6"/>
        <v>Wood, Clay and Mirrors</v>
      </c>
      <c r="AK23" s="2" t="str">
        <f t="shared" si="7"/>
        <v>3000.00</v>
      </c>
      <c r="AL23" s="2" t="str">
        <f t="shared" si="8"/>
        <v>f</v>
      </c>
      <c r="AM23" s="2" t="str">
        <f t="shared" si="9"/>
        <v>https://chitrakalaarts-production.up.railway.app/api/images/artworks/art-1771102482592</v>
      </c>
      <c r="AN23" s="2"/>
      <c r="AO23" s="2"/>
    </row>
    <row r="24" spans="1:41" ht="43.8" customHeight="1" x14ac:dyDescent="0.3">
      <c r="A24" s="2" t="s">
        <v>568</v>
      </c>
      <c r="B24" s="2" t="str">
        <f t="shared" si="0"/>
        <v>UPDATE</v>
      </c>
      <c r="C24" s="2" t="str">
        <f t="shared" si="1"/>
        <v>WARNING</v>
      </c>
      <c r="D24" s="2" t="str">
        <f>IF(DB_Artworks_Export!A24="","",DB_Artworks_Export!A24)</f>
        <v>art-1771102578812</v>
      </c>
      <c r="E24" s="2" t="str">
        <f>IF(DB_Artworks_Export!B24="","",DB_Artworks_Export!B24)</f>
        <v>Decorative Wall Panel</v>
      </c>
      <c r="F24" s="2" t="str">
        <f>IF(DB_Artworks_Export!C24="","",DB_Artworks_Export!C24)</f>
        <v>lippan-art</v>
      </c>
      <c r="G24" s="2" t="str">
        <f>IF(DB_Artworks_Export!D24="","",DB_Artworks_Export!D24)</f>
        <v>Lippan Art</v>
      </c>
      <c r="H24" s="2" t="str">
        <f>IF(DB_Artworks_Export!E24="","",DB_Artworks_Export!E24)</f>
        <v>Beautiful arrangement with clay, colors and mirrors</v>
      </c>
      <c r="I24" s="2" t="str">
        <f>IF(DB_Artworks_Export!F24="","",DB_Artworks_Export!F24)</f>
        <v>Wood</v>
      </c>
      <c r="J24" s="2" t="str">
        <f>IF(DB_Artworks_Export!G24="","",DB_Artworks_Export!G24)</f>
        <v>1800.00</v>
      </c>
      <c r="K24" s="2" t="str">
        <f>IF(DB_Artworks_Export!H24="","",DB_Artworks_Export!H24)</f>
        <v>34.00</v>
      </c>
      <c r="L24" s="2" t="str">
        <f>IF(DB_Artworks_Export!I24="","",DB_Artworks_Export!I24)</f>
        <v>92.4000</v>
      </c>
      <c r="M24" s="2" t="str">
        <f>IF(DB_Artworks_Export!J24="","",DB_Artworks_Export!J24)</f>
        <v>1.7500</v>
      </c>
      <c r="N24" s="2" t="str">
        <f>IF(DB_Artworks_Export!K24="","",DB_Artworks_Export!K24)</f>
        <v>f</v>
      </c>
      <c r="O24" s="2" t="str">
        <f>IF(DB_Artworks_Export!L24="","",DB_Artworks_Export!L24)</f>
        <v>https://chitrakalaarts-production.up.railway.app/api/images/artworks/art-1771102578812</v>
      </c>
      <c r="P24" s="2" t="str">
        <f>IF(DB_Artworks_Export!M24="","",DB_Artworks_Export!M24)</f>
        <v>2026-02-14 20:56:18.840844</v>
      </c>
      <c r="Q24" s="2" t="str">
        <f>IF(DB_Artworks_Export!N24="","",DB_Artworks_Export!N24)</f>
        <v>2026-03-17 03:31:03.365304</v>
      </c>
      <c r="R24" s="2" t="str">
        <f>IF($D24="","",IF(COUNTIF(DB_Categories_Export!$A:$A,$F24)&gt;0,"OK","INVALID CATEGORY"))</f>
        <v>OK</v>
      </c>
      <c r="S24" s="2">
        <f>IF($D24="","",COUNTIF(DB_Artwork_Sizes_Export!$B:$B,$D24))</f>
        <v>3</v>
      </c>
      <c r="T24" s="2" t="str">
        <f>IF($D24="","",IFERROR(INDEX(DB_Artwork_Sizes_Export!$D:$D,MATCH($D24,DB_Artwork_Sizes_Export!$B:$B,0)),""))</f>
        <v>8"(round) or 8" (square)</v>
      </c>
      <c r="U24" s="2" t="str">
        <f>IF($D24="","",IFERROR(INDEX(DB_Artwork_Sizes_Export!$E:$E,MATCH($D24,DB_Artwork_Sizes_Export!$B:$B,0)),""))</f>
        <v>1600.00</v>
      </c>
      <c r="V24" s="2" t="str">
        <f>IF($D24="","",IFERROR(INDEX(DB_Artwork_Sizes_Export!$F:$F,MATCH($D24,DB_Artwork_Sizes_Export!$B:$B,0)),""))</f>
        <v>34.00</v>
      </c>
      <c r="W24" s="2" t="str">
        <f t="shared" si="2"/>
        <v>REVIEW_SIZE_PRICING</v>
      </c>
      <c r="X24" s="2"/>
      <c r="Y24" s="2"/>
      <c r="Z24" s="2"/>
      <c r="AA24" s="2"/>
      <c r="AB24" s="5" t="s">
        <v>229</v>
      </c>
      <c r="AC24" s="2"/>
      <c r="AD24" s="2"/>
      <c r="AE24" s="2"/>
      <c r="AF24" s="2" t="str">
        <f t="shared" si="3"/>
        <v>Decorative Wall Panel</v>
      </c>
      <c r="AG24" s="2" t="str">
        <f t="shared" si="4"/>
        <v>lippan-art</v>
      </c>
      <c r="AH24" s="2" t="str">
        <f>IF($AG24="","",IFERROR(VLOOKUP($AG24,DB_Categories_Export!$A:$B,2,FALSE()),"INVALID CATEGORY"))</f>
        <v>Lippan Art</v>
      </c>
      <c r="AI24" s="2" t="str">
        <f t="shared" si="5"/>
        <v>Beautiful arrangement with clay, colors and mirrors</v>
      </c>
      <c r="AJ24" s="2" t="str">
        <f t="shared" si="6"/>
        <v>Wood, Clay and Mirrors</v>
      </c>
      <c r="AK24" s="2" t="str">
        <f t="shared" si="7"/>
        <v>1800.00</v>
      </c>
      <c r="AL24" s="2" t="str">
        <f t="shared" si="8"/>
        <v>f</v>
      </c>
      <c r="AM24" s="2" t="str">
        <f t="shared" si="9"/>
        <v>https://chitrakalaarts-production.up.railway.app/api/images/artworks/art-1771102578812</v>
      </c>
      <c r="AN24" s="2"/>
      <c r="AO24" s="2"/>
    </row>
    <row r="25" spans="1:41" ht="43.8" customHeight="1" x14ac:dyDescent="0.3">
      <c r="A25" s="2" t="s">
        <v>568</v>
      </c>
      <c r="B25" s="2" t="str">
        <f t="shared" si="0"/>
        <v>UPDATE</v>
      </c>
      <c r="C25" s="2" t="str">
        <f t="shared" si="1"/>
        <v>WARNING</v>
      </c>
      <c r="D25" s="2" t="str">
        <f>IF(DB_Artworks_Export!A25="","",DB_Artworks_Export!A25)</f>
        <v>art-1771102688340</v>
      </c>
      <c r="E25" s="2" t="str">
        <f>IF(DB_Artworks_Export!B25="","",DB_Artworks_Export!B25)</f>
        <v>Small decorative Rounds (set of 5)</v>
      </c>
      <c r="F25" s="2" t="str">
        <f>IF(DB_Artworks_Export!C25="","",DB_Artworks_Export!C25)</f>
        <v>lippan-art</v>
      </c>
      <c r="G25" s="2" t="str">
        <f>IF(DB_Artworks_Export!D25="","",DB_Artworks_Export!D25)</f>
        <v>Lippan Art</v>
      </c>
      <c r="H25" s="2" t="str">
        <f>IF(DB_Artworks_Export!E25="","",DB_Artworks_Export!E25)</f>
        <v>Small accent pieces</v>
      </c>
      <c r="I25" s="2" t="str">
        <f>IF(DB_Artworks_Export!F25="","",DB_Artworks_Export!F25)</f>
        <v>Wood</v>
      </c>
      <c r="J25" s="2" t="str">
        <f>IF(DB_Artworks_Export!G25="","",DB_Artworks_Export!G25)</f>
        <v>1200.00</v>
      </c>
      <c r="K25" s="2" t="str">
        <f>IF(DB_Artworks_Export!H25="","",DB_Artworks_Export!H25)</f>
        <v>23.00</v>
      </c>
      <c r="L25" s="2" t="str">
        <f>IF(DB_Artworks_Export!I25="","",DB_Artworks_Export!I25)</f>
        <v>92.4000</v>
      </c>
      <c r="M25" s="2" t="str">
        <f>IF(DB_Artworks_Export!J25="","",DB_Artworks_Export!J25)</f>
        <v>1.7500</v>
      </c>
      <c r="N25" s="2" t="str">
        <f>IF(DB_Artworks_Export!K25="","",DB_Artworks_Export!K25)</f>
        <v>f</v>
      </c>
      <c r="O25" s="2" t="str">
        <f>IF(DB_Artworks_Export!L25="","",DB_Artworks_Export!L25)</f>
        <v>https://chitrakalaarts-production.up.railway.app/api/images/artworks/art-1771102688340</v>
      </c>
      <c r="P25" s="2" t="str">
        <f>IF(DB_Artworks_Export!M25="","",DB_Artworks_Export!M25)</f>
        <v>2026-02-14 20:58:08.369507</v>
      </c>
      <c r="Q25" s="2" t="str">
        <f>IF(DB_Artworks_Export!N25="","",DB_Artworks_Export!N25)</f>
        <v>2026-03-17 03:31:03.359987</v>
      </c>
      <c r="R25" s="2" t="str">
        <f>IF($D25="","",IF(COUNTIF(DB_Categories_Export!$A:$A,$F25)&gt;0,"OK","INVALID CATEGORY"))</f>
        <v>OK</v>
      </c>
      <c r="S25" s="2">
        <f>IF($D25="","",COUNTIF(DB_Artwork_Sizes_Export!$B:$B,$D25))</f>
        <v>1</v>
      </c>
      <c r="T25" s="2" t="str">
        <f>IF($D25="","",IFERROR(INDEX(DB_Artwork_Sizes_Export!$D:$D,MATCH($D25,DB_Artwork_Sizes_Export!$B:$B,0)),""))</f>
        <v>6" (set of 5)</v>
      </c>
      <c r="U25" s="2" t="str">
        <f>IF($D25="","",IFERROR(INDEX(DB_Artwork_Sizes_Export!$E:$E,MATCH($D25,DB_Artwork_Sizes_Export!$B:$B,0)),""))</f>
        <v>1500.00</v>
      </c>
      <c r="V25" s="2" t="str">
        <f>IF($D25="","",IFERROR(INDEX(DB_Artwork_Sizes_Export!$F:$F,MATCH($D25,DB_Artwork_Sizes_Export!$B:$B,0)),""))</f>
        <v>23.00</v>
      </c>
      <c r="W25" s="2" t="str">
        <f t="shared" si="2"/>
        <v>REVIEW_SIZE_PRICING</v>
      </c>
      <c r="X25" s="2"/>
      <c r="Y25" s="2"/>
      <c r="Z25" s="2"/>
      <c r="AA25" s="2"/>
      <c r="AB25" s="2"/>
      <c r="AC25" s="5">
        <v>1500</v>
      </c>
      <c r="AD25" s="2"/>
      <c r="AE25" s="2"/>
      <c r="AF25" s="2" t="str">
        <f t="shared" si="3"/>
        <v>Small decorative Rounds (set of 5)</v>
      </c>
      <c r="AG25" s="2" t="str">
        <f t="shared" si="4"/>
        <v>lippan-art</v>
      </c>
      <c r="AH25" s="2" t="str">
        <f>IF($AG25="","",IFERROR(VLOOKUP($AG25,DB_Categories_Export!$A:$B,2,FALSE()),"INVALID CATEGORY"))</f>
        <v>Lippan Art</v>
      </c>
      <c r="AI25" s="2" t="str">
        <f t="shared" si="5"/>
        <v>Small accent pieces</v>
      </c>
      <c r="AJ25" s="2" t="str">
        <f t="shared" si="6"/>
        <v>Wood</v>
      </c>
      <c r="AK25" s="2">
        <f t="shared" si="7"/>
        <v>1500</v>
      </c>
      <c r="AL25" s="2" t="str">
        <f t="shared" si="8"/>
        <v>f</v>
      </c>
      <c r="AM25" s="2" t="str">
        <f t="shared" si="9"/>
        <v>https://chitrakalaarts-production.up.railway.app/api/images/artworks/art-1771102688340</v>
      </c>
      <c r="AN25" s="2"/>
      <c r="AO25" s="2"/>
    </row>
    <row r="26" spans="1:41" ht="43.8" customHeight="1" x14ac:dyDescent="0.3">
      <c r="A26" s="2" t="s">
        <v>567</v>
      </c>
      <c r="B26" s="2" t="str">
        <f t="shared" si="0"/>
        <v>NO_CHANGE</v>
      </c>
      <c r="C26" s="2" t="str">
        <f t="shared" si="1"/>
        <v>WARNING</v>
      </c>
      <c r="D26" s="2" t="str">
        <f>IF(DB_Artworks_Export!A26="","",DB_Artworks_Export!A26)</f>
        <v>art-1771454920479</v>
      </c>
      <c r="E26" s="2" t="str">
        <f>IF(DB_Artworks_Export!B26="","",DB_Artworks_Export!B26)</f>
        <v>Canvas Bag - Flowers</v>
      </c>
      <c r="F26" s="2" t="str">
        <f>IF(DB_Artworks_Export!C26="","",DB_Artworks_Export!C26)</f>
        <v>textile-design</v>
      </c>
      <c r="G26" s="2" t="str">
        <f>IF(DB_Artworks_Export!D26="","",DB_Artworks_Export!D26)</f>
        <v>Textile Art</v>
      </c>
      <c r="H26" s="2" t="str">
        <f>IF(DB_Artworks_Export!E26="","",DB_Artworks_Export!E26)</f>
        <v>Beautiful flowers with a butterflies showcased on a canvas bag.</v>
      </c>
      <c r="I26" s="2" t="str">
        <f>IF(DB_Artworks_Export!F26="","",DB_Artworks_Export!F26)</f>
        <v>Canvas Cloth</v>
      </c>
      <c r="J26" s="2" t="str">
        <f>IF(DB_Artworks_Export!G26="","",DB_Artworks_Export!G26)</f>
        <v>1000.00</v>
      </c>
      <c r="K26" s="2" t="str">
        <f>IF(DB_Artworks_Export!H26="","",DB_Artworks_Export!H26)</f>
        <v>19.00</v>
      </c>
      <c r="L26" s="2" t="str">
        <f>IF(DB_Artworks_Export!I26="","",DB_Artworks_Export!I26)</f>
        <v>92.4000</v>
      </c>
      <c r="M26" s="2" t="str">
        <f>IF(DB_Artworks_Export!J26="","",DB_Artworks_Export!J26)</f>
        <v>1.7500</v>
      </c>
      <c r="N26" s="2" t="str">
        <f>IF(DB_Artworks_Export!K26="","",DB_Artworks_Export!K26)</f>
        <v>t</v>
      </c>
      <c r="O26" s="2" t="str">
        <f>IF(DB_Artworks_Export!L26="","",DB_Artworks_Export!L26)</f>
        <v>https://chitrakalaarts-production.up.railway.app/api/images/artworks/art-1771454920479</v>
      </c>
      <c r="P26" s="2" t="str">
        <f>IF(DB_Artworks_Export!M26="","",DB_Artworks_Export!M26)</f>
        <v>2026-02-18 22:48:40.514052</v>
      </c>
      <c r="Q26" s="2" t="str">
        <f>IF(DB_Artworks_Export!N26="","",DB_Artworks_Export!N26)</f>
        <v>2026-03-17 03:31:03.353663</v>
      </c>
      <c r="R26" s="2" t="str">
        <f>IF($D26="","",IF(COUNTIF(DB_Categories_Export!$A:$A,$F26)&gt;0,"OK","INVALID CATEGORY"))</f>
        <v>OK</v>
      </c>
      <c r="S26" s="2">
        <f>IF($D26="","",COUNTIF(DB_Artwork_Sizes_Export!$B:$B,$D26))</f>
        <v>2</v>
      </c>
      <c r="T26" s="2" t="str">
        <f>IF($D26="","",IFERROR(INDEX(DB_Artwork_Sizes_Export!$D:$D,MATCH($D26,DB_Artwork_Sizes_Export!$B:$B,0)),""))</f>
        <v>12" x 11"</v>
      </c>
      <c r="U26" s="2" t="str">
        <f>IF($D26="","",IFERROR(INDEX(DB_Artwork_Sizes_Export!$E:$E,MATCH($D26,DB_Artwork_Sizes_Export!$B:$B,0)),""))</f>
        <v>1000.00</v>
      </c>
      <c r="V26" s="2" t="str">
        <f>IF($D26="","",IFERROR(INDEX(DB_Artwork_Sizes_Export!$F:$F,MATCH($D26,DB_Artwork_Sizes_Export!$B:$B,0)),""))</f>
        <v>19.00</v>
      </c>
      <c r="W26" s="2" t="str">
        <f t="shared" si="2"/>
        <v>REVIEW_SIZE_PRICING</v>
      </c>
      <c r="X26" s="2"/>
      <c r="Y26" s="2"/>
      <c r="Z26" s="2"/>
      <c r="AA26" s="2"/>
      <c r="AB26" s="2"/>
      <c r="AC26" s="2"/>
      <c r="AD26" s="2"/>
      <c r="AE26" s="2"/>
      <c r="AF26" s="2" t="str">
        <f t="shared" si="3"/>
        <v>Canvas Bag - Flowers</v>
      </c>
      <c r="AG26" s="2" t="str">
        <f t="shared" si="4"/>
        <v>textile-design</v>
      </c>
      <c r="AH26" s="2" t="str">
        <f>IF($AG26="","",IFERROR(VLOOKUP($AG26,DB_Categories_Export!$A:$B,2,FALSE()),"INVALID CATEGORY"))</f>
        <v>Textile Art</v>
      </c>
      <c r="AI26" s="2" t="str">
        <f t="shared" si="5"/>
        <v>Beautiful flowers with a butterflies showcased on a canvas bag.</v>
      </c>
      <c r="AJ26" s="2" t="str">
        <f t="shared" si="6"/>
        <v>Canvas Cloth</v>
      </c>
      <c r="AK26" s="2" t="str">
        <f t="shared" si="7"/>
        <v>1000.00</v>
      </c>
      <c r="AL26" s="2" t="str">
        <f t="shared" si="8"/>
        <v>t</v>
      </c>
      <c r="AM26" s="2" t="str">
        <f t="shared" si="9"/>
        <v>https://chitrakalaarts-production.up.railway.app/api/images/artworks/art-1771454920479</v>
      </c>
      <c r="AN26" s="2"/>
      <c r="AO26" s="2" t="s">
        <v>911</v>
      </c>
    </row>
    <row r="27" spans="1:41" ht="151.19999999999999" customHeight="1" x14ac:dyDescent="0.3">
      <c r="A27" s="2" t="s">
        <v>567</v>
      </c>
      <c r="B27" s="2" t="str">
        <f t="shared" si="0"/>
        <v>NO_CHANGE</v>
      </c>
      <c r="C27" s="2" t="str">
        <f t="shared" si="1"/>
        <v>WARNING</v>
      </c>
      <c r="D27" s="2" t="str">
        <f>IF(DB_Artworks_Export!A27="","",DB_Artworks_Export!A27)</f>
        <v>art-1771902788998</v>
      </c>
      <c r="E27" s="2" t="str">
        <f>IF(DB_Artworks_Export!B27="","",DB_Artworks_Export!B27)</f>
        <v>Hand Painted Wooden Mandala Tray (fillable Round)</v>
      </c>
      <c r="F27" s="2" t="str">
        <f>IF(DB_Artworks_Export!C27="","",DB_Artworks_Export!C27)</f>
        <v>dot-mandala</v>
      </c>
      <c r="G27" s="2" t="str">
        <f>IF(DB_Artworks_Export!D27="","",DB_Artworks_Export!D27)</f>
        <v>Dot Mandala Art</v>
      </c>
      <c r="H27" s="2" t="str">
        <f>IF(DB_Artworks_Export!E27="","",DB_Artworks_Export!E27)</f>
        <v>An exquisite hand-painted wooden round mandala tray, designed to elevate your space with rich heritage and refined artistry. Set against a deep maroon base, intricate layers of radiant orange, green, and gold detailing form a beautifully balanced floral mandala — each element carefully painted by hand.
Crafted on a solid wooden base and sealed for durability, this piece is designed as a decorative table accent — perfect for styling on a coffee table, console, or festive setting.
Elegant, vibrant, and one-of-a-kind, it brings a touch of artisanal luxury and timeless craftsmanship into your home.</v>
      </c>
      <c r="I27" s="2" t="str">
        <f>IF(DB_Artworks_Export!F27="","",DB_Artworks_Export!F27)</f>
        <v>Wood</v>
      </c>
      <c r="J27" s="2" t="str">
        <f>IF(DB_Artworks_Export!G27="","",DB_Artworks_Export!G27)</f>
        <v>1100.00</v>
      </c>
      <c r="K27" s="2" t="str">
        <f>IF(DB_Artworks_Export!H27="","",DB_Artworks_Export!H27)</f>
        <v>21.00</v>
      </c>
      <c r="L27" s="2" t="str">
        <f>IF(DB_Artworks_Export!I27="","",DB_Artworks_Export!I27)</f>
        <v>92.4000</v>
      </c>
      <c r="M27" s="2" t="str">
        <f>IF(DB_Artworks_Export!J27="","",DB_Artworks_Export!J27)</f>
        <v>1.7500</v>
      </c>
      <c r="N27" s="2" t="str">
        <f>IF(DB_Artworks_Export!K27="","",DB_Artworks_Export!K27)</f>
        <v>f</v>
      </c>
      <c r="O27" s="2" t="str">
        <f>IF(DB_Artworks_Export!L27="","",DB_Artworks_Export!L27)</f>
        <v>https://chitrakalaarts-production.up.railway.app/api/images/artworks/art-1771902788998</v>
      </c>
      <c r="P27" s="2" t="str">
        <f>IF(DB_Artworks_Export!M27="","",DB_Artworks_Export!M27)</f>
        <v>2026-02-24 03:13:09.029351</v>
      </c>
      <c r="Q27" s="2" t="str">
        <f>IF(DB_Artworks_Export!N27="","",DB_Artworks_Export!N27)</f>
        <v>2026-03-17 03:31:03.34836</v>
      </c>
      <c r="R27" s="2" t="str">
        <f>IF($D27="","",IF(COUNTIF(DB_Categories_Export!$A:$A,$F27)&gt;0,"OK","INVALID CATEGORY"))</f>
        <v>OK</v>
      </c>
      <c r="S27" s="2">
        <f>IF($D27="","",COUNTIF(DB_Artwork_Sizes_Export!$B:$B,$D27))</f>
        <v>4</v>
      </c>
      <c r="T27" s="2" t="str">
        <f>IF($D27="","",IFERROR(INDEX(DB_Artwork_Sizes_Export!$D:$D,MATCH($D27,DB_Artwork_Sizes_Export!$B:$B,0)),""))</f>
        <v>4.5" round</v>
      </c>
      <c r="U27" s="2" t="str">
        <f>IF($D27="","",IFERROR(INDEX(DB_Artwork_Sizes_Export!$E:$E,MATCH($D27,DB_Artwork_Sizes_Export!$B:$B,0)),""))</f>
        <v>500.00</v>
      </c>
      <c r="V27" s="2" t="str">
        <f>IF($D27="","",IFERROR(INDEX(DB_Artwork_Sizes_Export!$F:$F,MATCH($D27,DB_Artwork_Sizes_Export!$B:$B,0)),""))</f>
        <v>21.00</v>
      </c>
      <c r="W27" s="2" t="str">
        <f t="shared" si="2"/>
        <v>REVIEW_SIZE_PRICING</v>
      </c>
      <c r="X27" s="2"/>
      <c r="Y27" s="2"/>
      <c r="Z27" s="2"/>
      <c r="AA27" s="2"/>
      <c r="AB27" s="2"/>
      <c r="AC27" s="2"/>
      <c r="AD27" s="2"/>
      <c r="AE27" s="2"/>
      <c r="AF27" s="2" t="str">
        <f t="shared" si="3"/>
        <v>Hand Painted Wooden Mandala Tray (fillable Round)</v>
      </c>
      <c r="AG27" s="2" t="str">
        <f t="shared" si="4"/>
        <v>dot-mandala</v>
      </c>
      <c r="AH27" s="2" t="str">
        <f>IF($AG27="","",IFERROR(VLOOKUP($AG27,DB_Categories_Export!$A:$B,2,FALSE()),"INVALID CATEGORY"))</f>
        <v>Dot Mandala Art</v>
      </c>
      <c r="AI27" s="2" t="str">
        <f t="shared" si="5"/>
        <v>An exquisite hand-painted wooden round mandala tray, designed to elevate your space with rich heritage and refined artistry. Set against a deep maroon base, intricate layers of radiant orange, green, and gold detailing form a beautifully balanced floral mandala — each element carefully painted by hand.
Crafted on a solid wooden base and sealed for durability, this piece is designed as a decorative table accent — perfect for styling on a coffee table, console, or festive setting.
Elegant, vibrant, and one-of-a-kind, it brings a touch of artisanal luxury and timeless craftsmanship into your home.</v>
      </c>
      <c r="AJ27" s="2" t="str">
        <f t="shared" si="6"/>
        <v>Wood</v>
      </c>
      <c r="AK27" s="2" t="str">
        <f t="shared" si="7"/>
        <v>1100.00</v>
      </c>
      <c r="AL27" s="2" t="str">
        <f t="shared" si="8"/>
        <v>f</v>
      </c>
      <c r="AM27" s="2" t="str">
        <f t="shared" si="9"/>
        <v>https://chitrakalaarts-production.up.railway.app/api/images/artworks/art-1771902788998</v>
      </c>
      <c r="AN27" s="2"/>
      <c r="AO27" s="2" t="s">
        <v>911</v>
      </c>
    </row>
    <row r="28" spans="1:41" ht="119.4" customHeight="1" x14ac:dyDescent="0.3">
      <c r="A28" s="2" t="s">
        <v>567</v>
      </c>
      <c r="B28" s="2" t="str">
        <f t="shared" si="0"/>
        <v>NO_CHANGE</v>
      </c>
      <c r="C28" s="2" t="str">
        <f t="shared" si="1"/>
        <v>WARNING</v>
      </c>
      <c r="D28" s="2" t="str">
        <f>IF(DB_Artworks_Export!A28="","",DB_Artworks_Export!A28)</f>
        <v>art-1771903158477</v>
      </c>
      <c r="E28" s="2" t="str">
        <f>IF(DB_Artworks_Export!B28="","",DB_Artworks_Export!B28)</f>
        <v>Luxury Lippan Art Wall Panel</v>
      </c>
      <c r="F28" s="2" t="str">
        <f>IF(DB_Artworks_Export!C28="","",DB_Artworks_Export!C28)</f>
        <v>lippan-art</v>
      </c>
      <c r="G28" s="2" t="str">
        <f>IF(DB_Artworks_Export!D28="","",DB_Artworks_Export!D28)</f>
        <v>Lippan Art</v>
      </c>
      <c r="H28" s="2" t="str">
        <f>IF(DB_Artworks_Export!E28="","",DB_Artworks_Export!E28)</f>
        <v>A harmonious blend of tradition and contemporary luxury — designed to bring texture, light, and artistry into your space.
The soft white tones, subtle metallic highlights, and reflective mirror detailing create a sophisticated statement — perfect for modern, minimal, or luxury interiors.
Each element is meticulously shaped and placed by hand, making every piece truly one of a kind.
Ideal for living rooms, entryways, meditation spaces, or as an elevated festive accent.</v>
      </c>
      <c r="I28" s="2" t="str">
        <f>IF(DB_Artworks_Export!F28="","",DB_Artworks_Export!F28)</f>
        <v>Wood, Clay and Mirrors</v>
      </c>
      <c r="J28" s="2" t="str">
        <f>IF(DB_Artworks_Export!G28="","",DB_Artworks_Export!G28)</f>
        <v>8000.00</v>
      </c>
      <c r="K28" s="2" t="str">
        <f>IF(DB_Artworks_Export!H28="","",DB_Artworks_Export!H28)</f>
        <v>152.00</v>
      </c>
      <c r="L28" s="2" t="str">
        <f>IF(DB_Artworks_Export!I28="","",DB_Artworks_Export!I28)</f>
        <v>92.4000</v>
      </c>
      <c r="M28" s="2" t="str">
        <f>IF(DB_Artworks_Export!J28="","",DB_Artworks_Export!J28)</f>
        <v>1.7500</v>
      </c>
      <c r="N28" s="2" t="str">
        <f>IF(DB_Artworks_Export!K28="","",DB_Artworks_Export!K28)</f>
        <v>f</v>
      </c>
      <c r="O28" s="2" t="str">
        <f>IF(DB_Artworks_Export!L28="","",DB_Artworks_Export!L28)</f>
        <v>https://chitrakalaarts-production.up.railway.app/api/images/artworks/art-1771903158477</v>
      </c>
      <c r="P28" s="2" t="str">
        <f>IF(DB_Artworks_Export!M28="","",DB_Artworks_Export!M28)</f>
        <v>2026-02-24 03:19:18.506343</v>
      </c>
      <c r="Q28" s="2" t="str">
        <f>IF(DB_Artworks_Export!N28="","",DB_Artworks_Export!N28)</f>
        <v>2026-04-28 17:53:57.339945</v>
      </c>
      <c r="R28" s="2" t="str">
        <f>IF($D28="","",IF(COUNTIF(DB_Categories_Export!$A:$A,$F28)&gt;0,"OK","INVALID CATEGORY"))</f>
        <v>OK</v>
      </c>
      <c r="S28" s="2">
        <f>IF($D28="","",COUNTIF(DB_Artwork_Sizes_Export!$B:$B,$D28))</f>
        <v>2</v>
      </c>
      <c r="T28" s="2" t="str">
        <f>IF($D28="","",IFERROR(INDEX(DB_Artwork_Sizes_Export!$D:$D,MATCH($D28,DB_Artwork_Sizes_Export!$B:$B,0)),""))</f>
        <v>18" X 18"</v>
      </c>
      <c r="U28" s="2" t="str">
        <f>IF($D28="","",IFERROR(INDEX(DB_Artwork_Sizes_Export!$E:$E,MATCH($D28,DB_Artwork_Sizes_Export!$B:$B,0)),""))</f>
        <v>8000.00</v>
      </c>
      <c r="V28" s="2" t="str">
        <f>IF($D28="","",IFERROR(INDEX(DB_Artwork_Sizes_Export!$F:$F,MATCH($D28,DB_Artwork_Sizes_Export!$B:$B,0)),""))</f>
        <v>152.00</v>
      </c>
      <c r="W28" s="2" t="str">
        <f t="shared" si="2"/>
        <v>REVIEW_SIZE_PRICING</v>
      </c>
      <c r="X28" s="2"/>
      <c r="Y28" s="2"/>
      <c r="Z28" s="2"/>
      <c r="AA28" s="2"/>
      <c r="AB28" s="2"/>
      <c r="AC28" s="2"/>
      <c r="AD28" s="2"/>
      <c r="AE28" s="2"/>
      <c r="AF28" s="2" t="str">
        <f t="shared" si="3"/>
        <v>Luxury Lippan Art Wall Panel</v>
      </c>
      <c r="AG28" s="2" t="str">
        <f t="shared" si="4"/>
        <v>lippan-art</v>
      </c>
      <c r="AH28" s="2" t="str">
        <f>IF($AG28="","",IFERROR(VLOOKUP($AG28,DB_Categories_Export!$A:$B,2,FALSE()),"INVALID CATEGORY"))</f>
        <v>Lippan Art</v>
      </c>
      <c r="AI28" s="2" t="str">
        <f t="shared" si="5"/>
        <v>A harmonious blend of tradition and contemporary luxury — designed to bring texture, light, and artistry into your space.
The soft white tones, subtle metallic highlights, and reflective mirror detailing create a sophisticated statement — perfect for modern, minimal, or luxury interiors.
Each element is meticulously shaped and placed by hand, making every piece truly one of a kind.
Ideal for living rooms, entryways, meditation spaces, or as an elevated festive accent.</v>
      </c>
      <c r="AJ28" s="2" t="str">
        <f t="shared" si="6"/>
        <v>Wood, Clay and Mirrors</v>
      </c>
      <c r="AK28" s="2" t="str">
        <f t="shared" si="7"/>
        <v>8000.00</v>
      </c>
      <c r="AL28" s="2" t="str">
        <f t="shared" si="8"/>
        <v>f</v>
      </c>
      <c r="AM28" s="2" t="str">
        <f t="shared" si="9"/>
        <v>https://chitrakalaarts-production.up.railway.app/api/images/artworks/art-1771903158477</v>
      </c>
      <c r="AN28" s="2"/>
      <c r="AO28" s="2" t="s">
        <v>911</v>
      </c>
    </row>
    <row r="29" spans="1:41" ht="140.4" customHeight="1" x14ac:dyDescent="0.3">
      <c r="A29" s="2" t="s">
        <v>567</v>
      </c>
      <c r="B29" s="2" t="str">
        <f t="shared" si="0"/>
        <v>NO_CHANGE</v>
      </c>
      <c r="C29" s="2" t="str">
        <f t="shared" si="1"/>
        <v>WARNING</v>
      </c>
      <c r="D29" s="2" t="str">
        <f>IF(DB_Artworks_Export!A29="","",DB_Artworks_Export!A29)</f>
        <v>art-1771903526915</v>
      </c>
      <c r="E29" s="2" t="str">
        <f>IF(DB_Artworks_Export!B29="","",DB_Artworks_Export!B29)</f>
        <v>Handcrafted Mud &amp; Mirror Floral Mandala</v>
      </c>
      <c r="F29" s="2" t="str">
        <f>IF(DB_Artworks_Export!C29="","",DB_Artworks_Export!C29)</f>
        <v>lippan-art</v>
      </c>
      <c r="G29" s="2" t="str">
        <f>IF(DB_Artworks_Export!D29="","",DB_Artworks_Export!D29)</f>
        <v>Lippan Art</v>
      </c>
      <c r="H29" s="2" t="str">
        <f>IF(DB_Artworks_Export!E29="","",DB_Artworks_Export!E29)</f>
        <v>A bold celebration of heritage and artistry, this handcrafted Lippan artwork features an exquisite floral mandala sculpted in raised mud work and adorned with delicate mirror accents. Set against a rich crimson backdrop, the intricate white relief detailing creates a striking contrast, while the central mirror reflects light beautifully, adding depth and dimension.
Inspired by the traditional mud and mirror art of Kutch, this piece blends cultural craftsmanship with refined elegance, making it a captivating statement for living rooms, entryways, or festive interiors.</v>
      </c>
      <c r="I29" s="2" t="str">
        <f>IF(DB_Artworks_Export!F29="","",DB_Artworks_Export!F29)</f>
        <v>Wood, Clay and Mirrors</v>
      </c>
      <c r="J29" s="2" t="str">
        <f>IF(DB_Artworks_Export!G29="","",DB_Artworks_Export!G29)</f>
        <v>2800.00</v>
      </c>
      <c r="K29" s="2" t="str">
        <f>IF(DB_Artworks_Export!H29="","",DB_Artworks_Export!H29)</f>
        <v>53.00</v>
      </c>
      <c r="L29" s="2" t="str">
        <f>IF(DB_Artworks_Export!I29="","",DB_Artworks_Export!I29)</f>
        <v>92.4000</v>
      </c>
      <c r="M29" s="2" t="str">
        <f>IF(DB_Artworks_Export!J29="","",DB_Artworks_Export!J29)</f>
        <v>1.7500</v>
      </c>
      <c r="N29" s="2" t="str">
        <f>IF(DB_Artworks_Export!K29="","",DB_Artworks_Export!K29)</f>
        <v>f</v>
      </c>
      <c r="O29" s="2" t="str">
        <f>IF(DB_Artworks_Export!L29="","",DB_Artworks_Export!L29)</f>
        <v>https://chitrakalaarts-production.up.railway.app/api/images/artworks/art-1771903526915</v>
      </c>
      <c r="P29" s="2" t="str">
        <f>IF(DB_Artworks_Export!M29="","",DB_Artworks_Export!M29)</f>
        <v>2026-02-24 03:25:26.943345</v>
      </c>
      <c r="Q29" s="2" t="str">
        <f>IF(DB_Artworks_Export!N29="","",DB_Artworks_Export!N29)</f>
        <v>2026-03-17 03:31:03.334012</v>
      </c>
      <c r="R29" s="2" t="str">
        <f>IF($D29="","",IF(COUNTIF(DB_Categories_Export!$A:$A,$F29)&gt;0,"OK","INVALID CATEGORY"))</f>
        <v>OK</v>
      </c>
      <c r="S29" s="2">
        <f>IF($D29="","",COUNTIF(DB_Artwork_Sizes_Export!$B:$B,$D29))</f>
        <v>3</v>
      </c>
      <c r="T29" s="2" t="str">
        <f>IF($D29="","",IFERROR(INDEX(DB_Artwork_Sizes_Export!$D:$D,MATCH($D29,DB_Artwork_Sizes_Export!$B:$B,0)),""))</f>
        <v>8"(round) or 8" (square)</v>
      </c>
      <c r="U29" s="2" t="str">
        <f>IF($D29="","",IFERROR(INDEX(DB_Artwork_Sizes_Export!$E:$E,MATCH($D29,DB_Artwork_Sizes_Export!$B:$B,0)),""))</f>
        <v>1600.00</v>
      </c>
      <c r="V29" s="2" t="str">
        <f>IF($D29="","",IFERROR(INDEX(DB_Artwork_Sizes_Export!$F:$F,MATCH($D29,DB_Artwork_Sizes_Export!$B:$B,0)),""))</f>
        <v>53.00</v>
      </c>
      <c r="W29" s="2" t="str">
        <f t="shared" si="2"/>
        <v>REVIEW_SIZE_PRICING</v>
      </c>
      <c r="X29" s="2"/>
      <c r="Y29" s="2"/>
      <c r="Z29" s="2"/>
      <c r="AA29" s="2"/>
      <c r="AB29" s="2"/>
      <c r="AC29" s="2"/>
      <c r="AD29" s="2"/>
      <c r="AE29" s="2"/>
      <c r="AF29" s="2" t="str">
        <f t="shared" si="3"/>
        <v>Handcrafted Mud &amp; Mirror Floral Mandala</v>
      </c>
      <c r="AG29" s="2" t="str">
        <f t="shared" si="4"/>
        <v>lippan-art</v>
      </c>
      <c r="AH29" s="2" t="str">
        <f>IF($AG29="","",IFERROR(VLOOKUP($AG29,DB_Categories_Export!$A:$B,2,FALSE()),"INVALID CATEGORY"))</f>
        <v>Lippan Art</v>
      </c>
      <c r="AI29" s="2" t="str">
        <f t="shared" si="5"/>
        <v>A bold celebration of heritage and artistry, this handcrafted Lippan artwork features an exquisite floral mandala sculpted in raised mud work and adorned with delicate mirror accents. Set against a rich crimson backdrop, the intricate white relief detailing creates a striking contrast, while the central mirror reflects light beautifully, adding depth and dimension.
Inspired by the traditional mud and mirror art of Kutch, this piece blends cultural craftsmanship with refined elegance, making it a captivating statement for living rooms, entryways, or festive interiors.</v>
      </c>
      <c r="AJ29" s="2" t="str">
        <f t="shared" si="6"/>
        <v>Wood, Clay and Mirrors</v>
      </c>
      <c r="AK29" s="2" t="str">
        <f t="shared" si="7"/>
        <v>2800.00</v>
      </c>
      <c r="AL29" s="2" t="str">
        <f t="shared" si="8"/>
        <v>f</v>
      </c>
      <c r="AM29" s="2" t="str">
        <f t="shared" si="9"/>
        <v>https://chitrakalaarts-production.up.railway.app/api/images/artworks/art-1771903526915</v>
      </c>
      <c r="AN29" s="2"/>
      <c r="AO29" s="2" t="s">
        <v>911</v>
      </c>
    </row>
    <row r="30" spans="1:41" ht="140.4" customHeight="1" x14ac:dyDescent="0.3">
      <c r="A30" s="2" t="s">
        <v>568</v>
      </c>
      <c r="B30" s="2" t="str">
        <f t="shared" si="0"/>
        <v>UPDATE</v>
      </c>
      <c r="C30" s="2" t="str">
        <f t="shared" si="1"/>
        <v>WARNING</v>
      </c>
      <c r="D30" s="2" t="str">
        <f>IF(DB_Artworks_Export!A30="","",DB_Artworks_Export!A30)</f>
        <v>art-1771903835260</v>
      </c>
      <c r="E30" s="2" t="str">
        <f>IF(DB_Artworks_Export!B30="","",DB_Artworks_Export!B30)</f>
        <v>Wooden Coaster Set</v>
      </c>
      <c r="F30" s="2" t="str">
        <f>IF(DB_Artworks_Export!C30="","",DB_Artworks_Export!C30)</f>
        <v>dot-mandala</v>
      </c>
      <c r="G30" s="2" t="str">
        <f>IF(DB_Artworks_Export!D30="","",DB_Artworks_Export!D30)</f>
        <v>Dot Mandala Art</v>
      </c>
      <c r="H30" s="2" t="str">
        <f>IF(DB_Artworks_Export!E30="","",DB_Artworks_Export!E30)</f>
        <v>Elevate your everyday moments with this exquisite set of hand-painted wooden coasters, adorned with intricate dot mandala artistry. Each coaster is carefully detailed with layered patterns of delicate dots, creating a harmonious design that feels both vibrant and meditative.
Crafted on sturdy wooden bases and sealed for durability, these coasters are as functional as they are beautiful — protecting your surfaces while adding an artistic touch to your coffee table, dining space, or work desk.
No two pieces are exactly alike, making your set truly one of a kind.</v>
      </c>
      <c r="I30" s="2" t="str">
        <f>IF(DB_Artworks_Export!F30="","",DB_Artworks_Export!F30)</f>
        <v>wood</v>
      </c>
      <c r="J30" s="2" t="str">
        <f>IF(DB_Artworks_Export!G30="","",DB_Artworks_Export!G30)</f>
        <v>800.00</v>
      </c>
      <c r="K30" s="2" t="str">
        <f>IF(DB_Artworks_Export!H30="","",DB_Artworks_Export!H30)</f>
        <v>15.00</v>
      </c>
      <c r="L30" s="2" t="str">
        <f>IF(DB_Artworks_Export!I30="","",DB_Artworks_Export!I30)</f>
        <v>92.4000</v>
      </c>
      <c r="M30" s="2" t="str">
        <f>IF(DB_Artworks_Export!J30="","",DB_Artworks_Export!J30)</f>
        <v>1.7500</v>
      </c>
      <c r="N30" s="2" t="str">
        <f>IF(DB_Artworks_Export!K30="","",DB_Artworks_Export!K30)</f>
        <v>f</v>
      </c>
      <c r="O30" s="2" t="str">
        <f>IF(DB_Artworks_Export!L30="","",DB_Artworks_Export!L30)</f>
        <v>https://chitrakalaarts-production.up.railway.app/api/images/artworks/art-1771903835260</v>
      </c>
      <c r="P30" s="2" t="str">
        <f>IF(DB_Artworks_Export!M30="","",DB_Artworks_Export!M30)</f>
        <v>2026-02-24 03:30:35.290121</v>
      </c>
      <c r="Q30" s="2" t="str">
        <f>IF(DB_Artworks_Export!N30="","",DB_Artworks_Export!N30)</f>
        <v>2026-03-22 13:54:44.573696</v>
      </c>
      <c r="R30" s="2" t="str">
        <f>IF($D30="","",IF(COUNTIF(DB_Categories_Export!$A:$A,$F30)&gt;0,"OK","INVALID CATEGORY"))</f>
        <v>OK</v>
      </c>
      <c r="S30" s="2">
        <f>IF($D30="","",COUNTIF(DB_Artwork_Sizes_Export!$B:$B,$D30))</f>
        <v>4</v>
      </c>
      <c r="T30" s="2" t="str">
        <f>IF($D30="","",IFERROR(INDEX(DB_Artwork_Sizes_Export!$D:$D,MATCH($D30,DB_Artwork_Sizes_Export!$B:$B,0)),""))</f>
        <v>4" (set of 4)</v>
      </c>
      <c r="U30" s="2" t="str">
        <f>IF($D30="","",IFERROR(INDEX(DB_Artwork_Sizes_Export!$E:$E,MATCH($D30,DB_Artwork_Sizes_Export!$B:$B,0)),""))</f>
        <v>800.00</v>
      </c>
      <c r="V30" s="2" t="str">
        <f>IF($D30="","",IFERROR(INDEX(DB_Artwork_Sizes_Export!$F:$F,MATCH($D30,DB_Artwork_Sizes_Export!$B:$B,0)),""))</f>
        <v>15.00</v>
      </c>
      <c r="W30" s="2" t="str">
        <f t="shared" si="2"/>
        <v>REVIEW_SIZE_PRICING</v>
      </c>
      <c r="X30" s="2"/>
      <c r="Y30" s="2"/>
      <c r="Z30" s="2"/>
      <c r="AA30" s="2"/>
      <c r="AB30" s="5" t="s">
        <v>67</v>
      </c>
      <c r="AC30" s="2"/>
      <c r="AD30" s="2"/>
      <c r="AE30" s="2"/>
      <c r="AF30" s="2" t="str">
        <f t="shared" si="3"/>
        <v>Wooden Coaster Set</v>
      </c>
      <c r="AG30" s="2" t="str">
        <f t="shared" si="4"/>
        <v>dot-mandala</v>
      </c>
      <c r="AH30" s="2" t="str">
        <f>IF($AG30="","",IFERROR(VLOOKUP($AG30,DB_Categories_Export!$A:$B,2,FALSE()),"INVALID CATEGORY"))</f>
        <v>Dot Mandala Art</v>
      </c>
      <c r="AI30" s="2" t="str">
        <f t="shared" si="5"/>
        <v>Elevate your everyday moments with this exquisite set of hand-painted wooden coasters, adorned with intricate dot mandala artistry. Each coaster is carefully detailed with layered patterns of delicate dots, creating a harmonious design that feels both vibrant and meditative.
Crafted on sturdy wooden bases and sealed for durability, these coasters are as functional as they are beautiful — protecting your surfaces while adding an artistic touch to your coffee table, dining space, or work desk.
No two pieces are exactly alike, making your set truly one of a kind.</v>
      </c>
      <c r="AJ30" s="2" t="str">
        <f t="shared" si="6"/>
        <v>Wood</v>
      </c>
      <c r="AK30" s="2" t="str">
        <f t="shared" si="7"/>
        <v>800.00</v>
      </c>
      <c r="AL30" s="2" t="str">
        <f t="shared" si="8"/>
        <v>f</v>
      </c>
      <c r="AM30" s="2" t="str">
        <f t="shared" si="9"/>
        <v>https://chitrakalaarts-production.up.railway.app/api/images/artworks/art-1771903835260</v>
      </c>
      <c r="AN30" s="2"/>
      <c r="AO30" s="2"/>
    </row>
    <row r="31" spans="1:41" ht="151.19999999999999" customHeight="1" x14ac:dyDescent="0.3">
      <c r="A31" s="2" t="s">
        <v>568</v>
      </c>
      <c r="B31" s="2" t="str">
        <f t="shared" si="0"/>
        <v>UPDATE</v>
      </c>
      <c r="C31" s="2" t="str">
        <f t="shared" si="1"/>
        <v>WARNING</v>
      </c>
      <c r="D31" s="2" t="str">
        <f>IF(DB_Artworks_Export!A31="","",DB_Artworks_Export!A31)</f>
        <v>art-1771904016600</v>
      </c>
      <c r="E31" s="2" t="str">
        <f>IF(DB_Artworks_Export!B31="","",DB_Artworks_Export!B31)</f>
        <v>Heart Shaped Wooden Coaster Set</v>
      </c>
      <c r="F31" s="2" t="str">
        <f>IF(DB_Artworks_Export!C31="","",DB_Artworks_Export!C31)</f>
        <v>dot-mandala</v>
      </c>
      <c r="G31" s="2" t="str">
        <f>IF(DB_Artworks_Export!D31="","",DB_Artworks_Export!D31)</f>
        <v>Dot Mandala Art</v>
      </c>
      <c r="H31" s="2" t="str">
        <f>IF(DB_Artworks_Export!E31="","",DB_Artworks_Export!E31)</f>
        <v>Add a touch of love and artistry to your space with this charming set of heart-shaped wooden coasters, delicately hand-painted in intricate dot mandala patterns. Each piece is thoughtfully crafted with fine detailing and harmonious color layers, creating a design that feels both romantic and refined.
Made on durable wooden bases and carefully sealed for protection, these coasters blend beauty with function — perfect for styling your coffee table, bedside, or intimate gatherings.
Their heart silhouette makes them a meaningful gift for weddings, anniversaries, housewarmings, or simply to celebrate everyday moments.</v>
      </c>
      <c r="I31" s="2" t="str">
        <f>IF(DB_Artworks_Export!F31="","",DB_Artworks_Export!F31)</f>
        <v>wood</v>
      </c>
      <c r="J31" s="2" t="str">
        <f>IF(DB_Artworks_Export!G31="","",DB_Artworks_Export!G31)</f>
        <v>800.00</v>
      </c>
      <c r="K31" s="2" t="str">
        <f>IF(DB_Artworks_Export!H31="","",DB_Artworks_Export!H31)</f>
        <v>15.00</v>
      </c>
      <c r="L31" s="2" t="str">
        <f>IF(DB_Artworks_Export!I31="","",DB_Artworks_Export!I31)</f>
        <v>92.4000</v>
      </c>
      <c r="M31" s="2" t="str">
        <f>IF(DB_Artworks_Export!J31="","",DB_Artworks_Export!J31)</f>
        <v>1.7500</v>
      </c>
      <c r="N31" s="2" t="str">
        <f>IF(DB_Artworks_Export!K31="","",DB_Artworks_Export!K31)</f>
        <v>f</v>
      </c>
      <c r="O31" s="2" t="str">
        <f>IF(DB_Artworks_Export!L31="","",DB_Artworks_Export!L31)</f>
        <v>https://chitrakalaarts-production.up.railway.app/api/images/artworks/art-1771904016600</v>
      </c>
      <c r="P31" s="2" t="str">
        <f>IF(DB_Artworks_Export!M31="","",DB_Artworks_Export!M31)</f>
        <v>2026-02-24 03:33:36.62971</v>
      </c>
      <c r="Q31" s="2" t="str">
        <f>IF(DB_Artworks_Export!N31="","",DB_Artworks_Export!N31)</f>
        <v>2026-03-17 03:31:03.310965</v>
      </c>
      <c r="R31" s="2" t="str">
        <f>IF($D31="","",IF(COUNTIF(DB_Categories_Export!$A:$A,$F31)&gt;0,"OK","INVALID CATEGORY"))</f>
        <v>OK</v>
      </c>
      <c r="S31" s="2">
        <f>IF($D31="","",COUNTIF(DB_Artwork_Sizes_Export!$B:$B,$D31))</f>
        <v>4</v>
      </c>
      <c r="T31" s="2" t="str">
        <f>IF($D31="","",IFERROR(INDEX(DB_Artwork_Sizes_Export!$D:$D,MATCH($D31,DB_Artwork_Sizes_Export!$B:$B,0)),""))</f>
        <v>4" (set of 4)</v>
      </c>
      <c r="U31" s="2" t="str">
        <f>IF($D31="","",IFERROR(INDEX(DB_Artwork_Sizes_Export!$E:$E,MATCH($D31,DB_Artwork_Sizes_Export!$B:$B,0)),""))</f>
        <v>800.00</v>
      </c>
      <c r="V31" s="2" t="str">
        <f>IF($D31="","",IFERROR(INDEX(DB_Artwork_Sizes_Export!$F:$F,MATCH($D31,DB_Artwork_Sizes_Export!$B:$B,0)),""))</f>
        <v>15.00</v>
      </c>
      <c r="W31" s="2" t="str">
        <f t="shared" si="2"/>
        <v>REVIEW_SIZE_PRICING</v>
      </c>
      <c r="X31" s="2"/>
      <c r="Y31" s="2"/>
      <c r="Z31" s="2"/>
      <c r="AA31" s="2"/>
      <c r="AB31" s="5" t="s">
        <v>67</v>
      </c>
      <c r="AC31" s="2"/>
      <c r="AD31" s="2"/>
      <c r="AE31" s="2"/>
      <c r="AF31" s="2" t="str">
        <f t="shared" si="3"/>
        <v>Heart Shaped Wooden Coaster Set</v>
      </c>
      <c r="AG31" s="2" t="str">
        <f t="shared" si="4"/>
        <v>dot-mandala</v>
      </c>
      <c r="AH31" s="2" t="str">
        <f>IF($AG31="","",IFERROR(VLOOKUP($AG31,DB_Categories_Export!$A:$B,2,FALSE()),"INVALID CATEGORY"))</f>
        <v>Dot Mandala Art</v>
      </c>
      <c r="AI31" s="2" t="str">
        <f t="shared" si="5"/>
        <v>Add a touch of love and artistry to your space with this charming set of heart-shaped wooden coasters, delicately hand-painted in intricate dot mandala patterns. Each piece is thoughtfully crafted with fine detailing and harmonious color layers, creating a design that feels both romantic and refined.
Made on durable wooden bases and carefully sealed for protection, these coasters blend beauty with function — perfect for styling your coffee table, bedside, or intimate gatherings.
Their heart silhouette makes them a meaningful gift for weddings, anniversaries, housewarmings, or simply to celebrate everyday moments.</v>
      </c>
      <c r="AJ31" s="2" t="str">
        <f t="shared" si="6"/>
        <v>Wood</v>
      </c>
      <c r="AK31" s="2" t="str">
        <f t="shared" si="7"/>
        <v>800.00</v>
      </c>
      <c r="AL31" s="2" t="str">
        <f t="shared" si="8"/>
        <v>f</v>
      </c>
      <c r="AM31" s="2" t="str">
        <f t="shared" si="9"/>
        <v>https://chitrakalaarts-production.up.railway.app/api/images/artworks/art-1771904016600</v>
      </c>
      <c r="AN31" s="2"/>
      <c r="AO31" s="2"/>
    </row>
    <row r="32" spans="1:41" ht="216" customHeight="1" x14ac:dyDescent="0.3">
      <c r="A32" s="2" t="s">
        <v>567</v>
      </c>
      <c r="B32" s="2" t="str">
        <f t="shared" si="0"/>
        <v>NO_CHANGE</v>
      </c>
      <c r="C32" s="2" t="str">
        <f t="shared" si="1"/>
        <v>WARNING</v>
      </c>
      <c r="D32" s="2" t="str">
        <f>IF(DB_Artworks_Export!A32="","",DB_Artworks_Export!A32)</f>
        <v>art-1772897507182</v>
      </c>
      <c r="E32" s="2" t="str">
        <f>IF(DB_Artworks_Export!B32="","",DB_Artworks_Export!B32)</f>
        <v>Peach &amp; Ivory Mirror Work Mandala</v>
      </c>
      <c r="F32" s="2" t="str">
        <f>IF(DB_Artworks_Export!C32="","",DB_Artworks_Export!C32)</f>
        <v>lippan-art</v>
      </c>
      <c r="G32" s="2" t="str">
        <f>IF(DB_Artworks_Export!D32="","",DB_Artworks_Export!D32)</f>
        <v>Lippan Art</v>
      </c>
      <c r="H32" s="2" t="str">
        <f>IF(DB_Artworks_Export!E32="","",DB_Artworks_Export!E32)</f>
        <v>Bring timeless elegance and traditional craftsmanship into your home with this exquisite handcrafted Lippan art wall décor. Created on a 24” x 24” panel, this stunning piece features an intricate mandala-inspired design highlighted with delicate mirror work and fine raised detailing.
Set against a soft peach background, the symmetrical patterns bloom outward with graceful floral and geometric motifs. Each tiny mirror and hand-sculpted element reflects light beautifully, creating a subtle shimmer that brings the artwork to life. The carefully detailed border frames the central mandala, giving the piece a royal and sophisticated presence.
Inspired by traditional Kutchi Lippan mud art of India, this modern interpretation blends heritage craftsmanship with contemporary elegance, making it a perfect statement piece for living rooms, entryways, meditation spaces, or luxury interiors.</v>
      </c>
      <c r="I32" s="2" t="str">
        <f>IF(DB_Artworks_Export!F32="","",DB_Artworks_Export!F32)</f>
        <v>Wood, Clay and Mirrors</v>
      </c>
      <c r="J32" s="2" t="str">
        <f>IF(DB_Artworks_Export!G32="","",DB_Artworks_Export!G32)</f>
        <v>8000.00</v>
      </c>
      <c r="K32" s="2" t="str">
        <f>IF(DB_Artworks_Export!H32="","",DB_Artworks_Export!H32)</f>
        <v>152.00</v>
      </c>
      <c r="L32" s="2" t="str">
        <f>IF(DB_Artworks_Export!I32="","",DB_Artworks_Export!I32)</f>
        <v>92.4000</v>
      </c>
      <c r="M32" s="2" t="str">
        <f>IF(DB_Artworks_Export!J32="","",DB_Artworks_Export!J32)</f>
        <v>1.7500</v>
      </c>
      <c r="N32" s="2" t="str">
        <f>IF(DB_Artworks_Export!K32="","",DB_Artworks_Export!K32)</f>
        <v>f</v>
      </c>
      <c r="O32" s="2" t="str">
        <f>IF(DB_Artworks_Export!L32="","",DB_Artworks_Export!L32)</f>
        <v>https://chitrakalaarts-production.up.railway.app/api/images/artworks/art-1772897507182</v>
      </c>
      <c r="P32" s="2" t="str">
        <f>IF(DB_Artworks_Export!M32="","",DB_Artworks_Export!M32)</f>
        <v>2026-03-07 15:31:47.212473</v>
      </c>
      <c r="Q32" s="2" t="str">
        <f>IF(DB_Artworks_Export!N32="","",DB_Artworks_Export!N32)</f>
        <v>2026-04-28 17:52:33.072909</v>
      </c>
      <c r="R32" s="2" t="str">
        <f>IF($D32="","",IF(COUNTIF(DB_Categories_Export!$A:$A,$F32)&gt;0,"OK","INVALID CATEGORY"))</f>
        <v>OK</v>
      </c>
      <c r="S32" s="2">
        <f>IF($D32="","",COUNTIF(DB_Artwork_Sizes_Export!$B:$B,$D32))</f>
        <v>2</v>
      </c>
      <c r="T32" s="2" t="str">
        <f>IF($D32="","",IFERROR(INDEX(DB_Artwork_Sizes_Export!$D:$D,MATCH($D32,DB_Artwork_Sizes_Export!$B:$B,0)),""))</f>
        <v>18" X 18"</v>
      </c>
      <c r="U32" s="2" t="str">
        <f>IF($D32="","",IFERROR(INDEX(DB_Artwork_Sizes_Export!$E:$E,MATCH($D32,DB_Artwork_Sizes_Export!$B:$B,0)),""))</f>
        <v>8000.00</v>
      </c>
      <c r="V32" s="2" t="str">
        <f>IF($D32="","",IFERROR(INDEX(DB_Artwork_Sizes_Export!$F:$F,MATCH($D32,DB_Artwork_Sizes_Export!$B:$B,0)),""))</f>
        <v>152.00</v>
      </c>
      <c r="W32" s="2" t="str">
        <f t="shared" si="2"/>
        <v>REVIEW_SIZE_PRICING</v>
      </c>
      <c r="X32" s="2"/>
      <c r="Y32" s="2"/>
      <c r="Z32" s="2"/>
      <c r="AA32" s="2"/>
      <c r="AB32" s="2"/>
      <c r="AC32" s="2"/>
      <c r="AD32" s="2"/>
      <c r="AE32" s="2"/>
      <c r="AF32" s="2" t="str">
        <f t="shared" si="3"/>
        <v>Peach &amp; Ivory Mirror Work Mandala</v>
      </c>
      <c r="AG32" s="2" t="str">
        <f t="shared" si="4"/>
        <v>lippan-art</v>
      </c>
      <c r="AH32" s="2" t="str">
        <f>IF($AG32="","",IFERROR(VLOOKUP($AG32,DB_Categories_Export!$A:$B,2,FALSE()),"INVALID CATEGORY"))</f>
        <v>Lippan Art</v>
      </c>
      <c r="AI32" s="2" t="str">
        <f t="shared" si="5"/>
        <v>Bring timeless elegance and traditional craftsmanship into your home with this exquisite handcrafted Lippan art wall décor. Created on a 24” x 24” panel, this stunning piece features an intricate mandala-inspired design highlighted with delicate mirror work and fine raised detailing.
Set against a soft peach background, the symmetrical patterns bloom outward with graceful floral and geometric motifs. Each tiny mirror and hand-sculpted element reflects light beautifully, creating a subtle shimmer that brings the artwork to life. The carefully detailed border frames the central mandala, giving the piece a royal and sophisticated presence.
Inspired by traditional Kutchi Lippan mud art of India, this modern interpretation blends heritage craftsmanship with contemporary elegance, making it a perfect statement piece for living rooms, entryways, meditation spaces, or luxury interiors.</v>
      </c>
      <c r="AJ32" s="2" t="str">
        <f t="shared" si="6"/>
        <v>Wood, Clay and Mirrors</v>
      </c>
      <c r="AK32" s="2" t="str">
        <f t="shared" si="7"/>
        <v>8000.00</v>
      </c>
      <c r="AL32" s="2" t="str">
        <f t="shared" si="8"/>
        <v>f</v>
      </c>
      <c r="AM32" s="2" t="str">
        <f t="shared" si="9"/>
        <v>https://chitrakalaarts-production.up.railway.app/api/images/artworks/art-1772897507182</v>
      </c>
      <c r="AN32" s="2"/>
      <c r="AO32" s="2" t="s">
        <v>911</v>
      </c>
    </row>
    <row r="33" spans="1:41" ht="43.8" customHeight="1" x14ac:dyDescent="0.3">
      <c r="A33" s="2" t="s">
        <v>567</v>
      </c>
      <c r="B33" s="2" t="str">
        <f t="shared" si="0"/>
        <v>NO_CHANGE</v>
      </c>
      <c r="C33" s="2" t="str">
        <f t="shared" si="1"/>
        <v>WARNING</v>
      </c>
      <c r="D33" s="2" t="str">
        <f>IF(DB_Artworks_Export!A33="","",DB_Artworks_Export!A33)</f>
        <v>art-1772899719136</v>
      </c>
      <c r="E33" s="2" t="str">
        <f>IF(DB_Artworks_Export!B33="","",DB_Artworks_Export!B33)</f>
        <v>Lippan Art Small decorative Squares (set of 5)</v>
      </c>
      <c r="F33" s="2" t="str">
        <f>IF(DB_Artworks_Export!C33="","",DB_Artworks_Export!C33)</f>
        <v>lippan-art</v>
      </c>
      <c r="G33" s="2" t="str">
        <f>IF(DB_Artworks_Export!D33="","",DB_Artworks_Export!D33)</f>
        <v>Lippan Art</v>
      </c>
      <c r="H33" s="2" t="str">
        <f>IF(DB_Artworks_Export!E33="","",DB_Artworks_Export!E33)</f>
        <v>Decorative squares and round in a set of 5</v>
      </c>
      <c r="I33" s="2" t="str">
        <f>IF(DB_Artworks_Export!F33="","",DB_Artworks_Export!F33)</f>
        <v>Wood</v>
      </c>
      <c r="J33" s="2" t="str">
        <f>IF(DB_Artworks_Export!G33="","",DB_Artworks_Export!G33)</f>
        <v>1000.00</v>
      </c>
      <c r="K33" s="2" t="str">
        <f>IF(DB_Artworks_Export!H33="","",DB_Artworks_Export!H33)</f>
        <v>19.00</v>
      </c>
      <c r="L33" s="2" t="str">
        <f>IF(DB_Artworks_Export!I33="","",DB_Artworks_Export!I33)</f>
        <v>92.4000</v>
      </c>
      <c r="M33" s="2" t="str">
        <f>IF(DB_Artworks_Export!J33="","",DB_Artworks_Export!J33)</f>
        <v>1.7500</v>
      </c>
      <c r="N33" s="2" t="str">
        <f>IF(DB_Artworks_Export!K33="","",DB_Artworks_Export!K33)</f>
        <v>f</v>
      </c>
      <c r="O33" s="2" t="str">
        <f>IF(DB_Artworks_Export!L33="","",DB_Artworks_Export!L33)</f>
        <v>https://chitrakalaarts-production.up.railway.app/api/images/artworks/art-1772899719136</v>
      </c>
      <c r="P33" s="2" t="str">
        <f>IF(DB_Artworks_Export!M33="","",DB_Artworks_Export!M33)</f>
        <v>2026-03-07 16:08:39.216183</v>
      </c>
      <c r="Q33" s="2" t="str">
        <f>IF(DB_Artworks_Export!N33="","",DB_Artworks_Export!N33)</f>
        <v>2026-03-22 13:52:52.683408</v>
      </c>
      <c r="R33" s="2" t="str">
        <f>IF($D33="","",IF(COUNTIF(DB_Categories_Export!$A:$A,$F33)&gt;0,"OK","INVALID CATEGORY"))</f>
        <v>OK</v>
      </c>
      <c r="S33" s="2">
        <f>IF($D33="","",COUNTIF(DB_Artwork_Sizes_Export!$B:$B,$D33))</f>
        <v>1</v>
      </c>
      <c r="T33" s="2" t="str">
        <f>IF($D33="","",IFERROR(INDEX(DB_Artwork_Sizes_Export!$D:$D,MATCH($D33,DB_Artwork_Sizes_Export!$B:$B,0)),""))</f>
        <v>4" (squares and round)</v>
      </c>
      <c r="U33" s="2" t="str">
        <f>IF($D33="","",IFERROR(INDEX(DB_Artwork_Sizes_Export!$E:$E,MATCH($D33,DB_Artwork_Sizes_Export!$B:$B,0)),""))</f>
        <v>1000.00</v>
      </c>
      <c r="V33" s="2" t="str">
        <f>IF($D33="","",IFERROR(INDEX(DB_Artwork_Sizes_Export!$F:$F,MATCH($D33,DB_Artwork_Sizes_Export!$B:$B,0)),""))</f>
        <v>19.00</v>
      </c>
      <c r="W33" s="2" t="str">
        <f t="shared" si="2"/>
        <v>REVIEW_SIZE_PRICING</v>
      </c>
      <c r="X33" s="2"/>
      <c r="Y33" s="2"/>
      <c r="Z33" s="2"/>
      <c r="AA33" s="2"/>
      <c r="AB33" s="2"/>
      <c r="AC33" s="2"/>
      <c r="AD33" s="2"/>
      <c r="AE33" s="2"/>
      <c r="AF33" s="2" t="str">
        <f t="shared" si="3"/>
        <v>Lippan Art Small decorative Squares (set of 5)</v>
      </c>
      <c r="AG33" s="2" t="str">
        <f t="shared" si="4"/>
        <v>lippan-art</v>
      </c>
      <c r="AH33" s="2" t="str">
        <f>IF($AG33="","",IFERROR(VLOOKUP($AG33,DB_Categories_Export!$A:$B,2,FALSE()),"INVALID CATEGORY"))</f>
        <v>Lippan Art</v>
      </c>
      <c r="AI33" s="2" t="str">
        <f t="shared" si="5"/>
        <v>Decorative squares and round in a set of 5</v>
      </c>
      <c r="AJ33" s="2" t="str">
        <f t="shared" si="6"/>
        <v>Wood</v>
      </c>
      <c r="AK33" s="2" t="str">
        <f t="shared" si="7"/>
        <v>1000.00</v>
      </c>
      <c r="AL33" s="2" t="str">
        <f t="shared" si="8"/>
        <v>f</v>
      </c>
      <c r="AM33" s="2" t="str">
        <f t="shared" si="9"/>
        <v>https://chitrakalaarts-production.up.railway.app/api/images/artworks/art-1772899719136</v>
      </c>
      <c r="AN33" s="2"/>
      <c r="AO33" s="2" t="s">
        <v>911</v>
      </c>
    </row>
    <row r="34" spans="1:41" ht="162" customHeight="1" x14ac:dyDescent="0.3">
      <c r="A34" s="2" t="s">
        <v>567</v>
      </c>
      <c r="B34" s="2" t="str">
        <f t="shared" si="0"/>
        <v>NO_CHANGE</v>
      </c>
      <c r="C34" s="2" t="str">
        <f t="shared" si="1"/>
        <v>WARNING</v>
      </c>
      <c r="D34" s="2" t="str">
        <f>IF(DB_Artworks_Export!A34="","",DB_Artworks_Export!A34)</f>
        <v>art-1772942427729</v>
      </c>
      <c r="E34" s="2" t="str">
        <f>IF(DB_Artworks_Export!B34="","",DB_Artworks_Export!B34)</f>
        <v>Hand-Painted Blue &amp; Green Dot Mandala Wall Art</v>
      </c>
      <c r="F34" s="2" t="str">
        <f>IF(DB_Artworks_Export!C34="","",DB_Artworks_Export!C34)</f>
        <v>dot-mandala</v>
      </c>
      <c r="G34" s="2" t="str">
        <f>IF(DB_Artworks_Export!D34="","",DB_Artworks_Export!D34)</f>
        <v>Dot Mandala Art</v>
      </c>
      <c r="H34" s="2" t="str">
        <f>IF(DB_Artworks_Export!E34="","",DB_Artworks_Export!E34)</f>
        <v>Bring harmony, color, and intricate beauty into your space with this hand-painted dot mandala artwork, created with meticulous layers of delicate dots and flowing patterns. This piece features soothing shades of deep blue, teal, and green, accented with subtle gold highlights, forming a mesmerizing mandala that radiates balance and symmetry.
Each dot is carefully placed by hand to create a stunning pattern that draws the eye toward the center, symbolizing calm, focus, and unity. The rich color palette and detailed design make it a striking statement piece for living rooms, meditation spaces, yoga studios, or boho-inspired interiors.</v>
      </c>
      <c r="I34" s="2" t="str">
        <f>IF(DB_Artworks_Export!F34="","",DB_Artworks_Export!F34)</f>
        <v>Wood</v>
      </c>
      <c r="J34" s="2" t="str">
        <f>IF(DB_Artworks_Export!G34="","",DB_Artworks_Export!G34)</f>
        <v>4000.00</v>
      </c>
      <c r="K34" s="2" t="str">
        <f>IF(DB_Artworks_Export!H34="","",DB_Artworks_Export!H34)</f>
        <v>76.00</v>
      </c>
      <c r="L34" s="2" t="str">
        <f>IF(DB_Artworks_Export!I34="","",DB_Artworks_Export!I34)</f>
        <v>92.4000</v>
      </c>
      <c r="M34" s="2" t="str">
        <f>IF(DB_Artworks_Export!J34="","",DB_Artworks_Export!J34)</f>
        <v>1.7500</v>
      </c>
      <c r="N34" s="2" t="str">
        <f>IF(DB_Artworks_Export!K34="","",DB_Artworks_Export!K34)</f>
        <v>f</v>
      </c>
      <c r="O34" s="2" t="str">
        <f>IF(DB_Artworks_Export!L34="","",DB_Artworks_Export!L34)</f>
        <v>https://chitrakalaarts-production.up.railway.app/api/images/artworks/art-1772942427729</v>
      </c>
      <c r="P34" s="2" t="str">
        <f>IF(DB_Artworks_Export!M34="","",DB_Artworks_Export!M34)</f>
        <v>2026-03-08 04:00:27.794878</v>
      </c>
      <c r="Q34" s="2" t="str">
        <f>IF(DB_Artworks_Export!N34="","",DB_Artworks_Export!N34)</f>
        <v>2026-03-17 15:17:48.809019</v>
      </c>
      <c r="R34" s="2" t="str">
        <f>IF($D34="","",IF(COUNTIF(DB_Categories_Export!$A:$A,$F34)&gt;0,"OK","INVALID CATEGORY"))</f>
        <v>OK</v>
      </c>
      <c r="S34" s="2">
        <f>IF($D34="","",COUNTIF(DB_Artwork_Sizes_Export!$B:$B,$D34))</f>
        <v>1</v>
      </c>
      <c r="T34" s="2" t="str">
        <f>IF($D34="","",IFERROR(INDEX(DB_Artwork_Sizes_Export!$D:$D,MATCH($D34,DB_Artwork_Sizes_Export!$B:$B,0)),""))</f>
        <v>12” x 12”</v>
      </c>
      <c r="U34" s="2" t="str">
        <f>IF($D34="","",IFERROR(INDEX(DB_Artwork_Sizes_Export!$E:$E,MATCH($D34,DB_Artwork_Sizes_Export!$B:$B,0)),""))</f>
        <v>4000.00</v>
      </c>
      <c r="V34" s="2" t="str">
        <f>IF($D34="","",IFERROR(INDEX(DB_Artwork_Sizes_Export!$F:$F,MATCH($D34,DB_Artwork_Sizes_Export!$B:$B,0)),""))</f>
        <v>76.00</v>
      </c>
      <c r="W34" s="2" t="str">
        <f t="shared" si="2"/>
        <v>REVIEW_SIZE_PRICING</v>
      </c>
      <c r="X34" s="2"/>
      <c r="Y34" s="2"/>
      <c r="Z34" s="2"/>
      <c r="AA34" s="2"/>
      <c r="AB34" s="2"/>
      <c r="AC34" s="2"/>
      <c r="AD34" s="2"/>
      <c r="AE34" s="2"/>
      <c r="AF34" s="2" t="str">
        <f t="shared" si="3"/>
        <v>Hand-Painted Blue &amp; Green Dot Mandala Wall Art</v>
      </c>
      <c r="AG34" s="2" t="str">
        <f t="shared" si="4"/>
        <v>dot-mandala</v>
      </c>
      <c r="AH34" s="2" t="str">
        <f>IF($AG34="","",IFERROR(VLOOKUP($AG34,DB_Categories_Export!$A:$B,2,FALSE()),"INVALID CATEGORY"))</f>
        <v>Dot Mandala Art</v>
      </c>
      <c r="AI34" s="2" t="str">
        <f t="shared" si="5"/>
        <v>Bring harmony, color, and intricate beauty into your space with this hand-painted dot mandala artwork, created with meticulous layers of delicate dots and flowing patterns. This piece features soothing shades of deep blue, teal, and green, accented with subtle gold highlights, forming a mesmerizing mandala that radiates balance and symmetry.
Each dot is carefully placed by hand to create a stunning pattern that draws the eye toward the center, symbolizing calm, focus, and unity. The rich color palette and detailed design make it a striking statement piece for living rooms, meditation spaces, yoga studios, or boho-inspired interiors.</v>
      </c>
      <c r="AJ34" s="2" t="str">
        <f t="shared" si="6"/>
        <v>Wood</v>
      </c>
      <c r="AK34" s="2" t="str">
        <f t="shared" si="7"/>
        <v>4000.00</v>
      </c>
      <c r="AL34" s="2" t="str">
        <f t="shared" si="8"/>
        <v>f</v>
      </c>
      <c r="AM34" s="2" t="str">
        <f t="shared" si="9"/>
        <v>https://chitrakalaarts-production.up.railway.app/api/images/artworks/art-1772942427729</v>
      </c>
      <c r="AN34" s="2"/>
      <c r="AO34" s="2" t="s">
        <v>911</v>
      </c>
    </row>
    <row r="35" spans="1:41" ht="216" customHeight="1" x14ac:dyDescent="0.3">
      <c r="A35" s="2" t="s">
        <v>567</v>
      </c>
      <c r="B35" s="2" t="str">
        <f t="shared" si="0"/>
        <v>NO_CHANGE</v>
      </c>
      <c r="C35" s="2" t="str">
        <f t="shared" si="1"/>
        <v>WARNING</v>
      </c>
      <c r="D35" s="2" t="str">
        <f>IF(DB_Artworks_Export!A35="","",DB_Artworks_Export!A35)</f>
        <v>art-1772991773037</v>
      </c>
      <c r="E35" s="2" t="str">
        <f>IF(DB_Artworks_Export!B35="","",DB_Artworks_Export!B35)</f>
        <v>Elegant Pink Floral Texture Wall Art – 4 Panel Canvas Set</v>
      </c>
      <c r="F35" s="2" t="str">
        <f>IF(DB_Artworks_Export!C35="","",DB_Artworks_Export!C35)</f>
        <v>texture-art</v>
      </c>
      <c r="G35" s="2" t="str">
        <f>IF(DB_Artworks_Export!D35="","",DB_Artworks_Export!D35)</f>
        <v>Texture Art</v>
      </c>
      <c r="H35" s="2" t="str">
        <f>IF(DB_Artworks_Export!E35="","",DB_Artworks_Export!E35)</f>
        <v>A refined expression of elegance, this hand-painted textured floral artwork unfolds across four graceful panels, forming a continuous composition of soft pink blossoms and delicate botanical stems. Subtle texture and gentle gold accents add depth and sophistication, while the neutral background enhances its timeless beauty.
Designed to bring a sense of calm luxury and botanical charm, this piece creates a stunning focal point for living rooms, bedrooms, or serene interior spaces.
Details:
• Hand-painted textured floral artwork
• 4-panel canvas set
• Each panel: 24” x 12”
• Elegant pink blossoms with subtle gold accents
• A sophisticated statement piece for modern interiors ✨</v>
      </c>
      <c r="I35" s="2" t="str">
        <f>IF(DB_Artworks_Export!F35="","",DB_Artworks_Export!F35)</f>
        <v>Canvas, Clay</v>
      </c>
      <c r="J35" s="2" t="str">
        <f>IF(DB_Artworks_Export!G35="","",DB_Artworks_Export!G35)</f>
        <v>25000.00</v>
      </c>
      <c r="K35" s="2" t="str">
        <f>IF(DB_Artworks_Export!H35="","",DB_Artworks_Export!H35)</f>
        <v>473.00</v>
      </c>
      <c r="L35" s="2" t="str">
        <f>IF(DB_Artworks_Export!I35="","",DB_Artworks_Export!I35)</f>
        <v>92.4000</v>
      </c>
      <c r="M35" s="2" t="str">
        <f>IF(DB_Artworks_Export!J35="","",DB_Artworks_Export!J35)</f>
        <v>1.7500</v>
      </c>
      <c r="N35" s="2" t="str">
        <f>IF(DB_Artworks_Export!K35="","",DB_Artworks_Export!K35)</f>
        <v>t</v>
      </c>
      <c r="O35" s="2" t="str">
        <f>IF(DB_Artworks_Export!L35="","",DB_Artworks_Export!L35)</f>
        <v>https://chitrakalaarts-production.up.railway.app/api/images/artworks/art-1772991773037</v>
      </c>
      <c r="P35" s="2" t="str">
        <f>IF(DB_Artworks_Export!M35="","",DB_Artworks_Export!M35)</f>
        <v>2026-03-08 17:42:53.0658</v>
      </c>
      <c r="Q35" s="2" t="str">
        <f>IF(DB_Artworks_Export!N35="","",DB_Artworks_Export!N35)</f>
        <v>2026-05-10 03:46:19.596409</v>
      </c>
      <c r="R35" s="2" t="str">
        <f>IF($D35="","",IF(COUNTIF(DB_Categories_Export!$A:$A,$F35)&gt;0,"OK","INVALID CATEGORY"))</f>
        <v>OK</v>
      </c>
      <c r="S35" s="2">
        <f>IF($D35="","",COUNTIF(DB_Artwork_Sizes_Export!$B:$B,$D35))</f>
        <v>1</v>
      </c>
      <c r="T35" s="2" t="str">
        <f>IF($D35="","",IFERROR(INDEX(DB_Artwork_Sizes_Export!$D:$D,MATCH($D35,DB_Artwork_Sizes_Export!$B:$B,0)),""))</f>
        <v>Each Panel - 24” x 12”  (4 panels)</v>
      </c>
      <c r="U35" s="2" t="str">
        <f>IF($D35="","",IFERROR(INDEX(DB_Artwork_Sizes_Export!$E:$E,MATCH($D35,DB_Artwork_Sizes_Export!$B:$B,0)),""))</f>
        <v>25000.00</v>
      </c>
      <c r="V35" s="2" t="str">
        <f>IF($D35="","",IFERROR(INDEX(DB_Artwork_Sizes_Export!$F:$F,MATCH($D35,DB_Artwork_Sizes_Export!$B:$B,0)),""))</f>
        <v>473.00</v>
      </c>
      <c r="W35" s="2" t="str">
        <f t="shared" si="2"/>
        <v>REVIEW_SIZE_PRICING</v>
      </c>
      <c r="X35" s="2"/>
      <c r="Y35" s="2"/>
      <c r="Z35" s="2"/>
      <c r="AA35" s="2"/>
      <c r="AB35" s="2"/>
      <c r="AC35" s="2"/>
      <c r="AD35" s="2"/>
      <c r="AE35" s="2"/>
      <c r="AF35" s="2" t="str">
        <f t="shared" si="3"/>
        <v>Elegant Pink Floral Texture Wall Art – 4 Panel Canvas Set</v>
      </c>
      <c r="AG35" s="2" t="str">
        <f t="shared" si="4"/>
        <v>texture-art</v>
      </c>
      <c r="AH35" s="2" t="str">
        <f>IF($AG35="","",IFERROR(VLOOKUP($AG35,DB_Categories_Export!$A:$B,2,FALSE()),"INVALID CATEGORY"))</f>
        <v>Texture Art</v>
      </c>
      <c r="AI35" s="2" t="str">
        <f t="shared" si="5"/>
        <v>A refined expression of elegance, this hand-painted textured floral artwork unfolds across four graceful panels, forming a continuous composition of soft pink blossoms and delicate botanical stems. Subtle texture and gentle gold accents add depth and sophistication, while the neutral background enhances its timeless beauty.
Designed to bring a sense of calm luxury and botanical charm, this piece creates a stunning focal point for living rooms, bedrooms, or serene interior spaces.
Details:
• Hand-painted textured floral artwork
• 4-panel canvas set
• Each panel: 24” x 12”
• Elegant pink blossoms with subtle gold accents
• A sophisticated statement piece for modern interiors ✨</v>
      </c>
      <c r="AJ35" s="2" t="str">
        <f t="shared" si="6"/>
        <v>Canvas, Clay</v>
      </c>
      <c r="AK35" s="2" t="str">
        <f t="shared" si="7"/>
        <v>25000.00</v>
      </c>
      <c r="AL35" s="2" t="str">
        <f t="shared" si="8"/>
        <v>t</v>
      </c>
      <c r="AM35" s="2" t="str">
        <f t="shared" si="9"/>
        <v>https://chitrakalaarts-production.up.railway.app/api/images/artworks/art-1772991773037</v>
      </c>
      <c r="AN35" s="2"/>
      <c r="AO35" s="2" t="s">
        <v>911</v>
      </c>
    </row>
    <row r="36" spans="1:41" ht="140.4" customHeight="1" x14ac:dyDescent="0.3">
      <c r="A36" s="2" t="s">
        <v>567</v>
      </c>
      <c r="B36" s="2" t="str">
        <f t="shared" si="0"/>
        <v>NO_CHANGE</v>
      </c>
      <c r="C36" s="2" t="str">
        <f t="shared" si="1"/>
        <v>WARNING</v>
      </c>
      <c r="D36" s="2" t="str">
        <f>IF(DB_Artworks_Export!A36="","",DB_Artworks_Export!A36)</f>
        <v>art-1778384480649</v>
      </c>
      <c r="E36" s="2" t="str">
        <f>IF(DB_Artworks_Export!B36="","",DB_Artworks_Export!B36)</f>
        <v>Rhythms of Heritage – Blue Mirror Mosaic Art Work</v>
      </c>
      <c r="F36" s="2" t="str">
        <f>IF(DB_Artworks_Export!C36="","",DB_Artworks_Export!C36)</f>
        <v>mirror-mosaic</v>
      </c>
      <c r="G36" s="2" t="str">
        <f>IF(DB_Artworks_Export!D36="","",DB_Artworks_Export!D36)</f>
        <v>Mirror Mosaic</v>
      </c>
      <c r="H36" s="2" t="str">
        <f>IF(DB_Artworks_Export!E36="","",DB_Artworks_Export!E36)</f>
        <v>A striking fusion of tribal rhythm and contemporary elegance, this handcrafted blue mirror mosaic artwork is inspired by traditional Indian folk motifs arranged in mesmerizing concentric patterns. The deep royal blue tones paired with reflective mirror accents create a captivating visual balance that instantly elevates any space. Every detail is carefully handcrafted, bringing texture, symmetry, and cultural artistry together into a timeless statement piece. Perfect for living rooms, entryways, meditation corners, or modern interiors seeking a touch of heritage and sophistication.</v>
      </c>
      <c r="I36" s="2" t="str">
        <f>IF(DB_Artworks_Export!F36="","",DB_Artworks_Export!F36)</f>
        <v>Glass Mirrors Cuttings</v>
      </c>
      <c r="J36" s="2" t="str">
        <f>IF(DB_Artworks_Export!G36="","",DB_Artworks_Export!G36)</f>
        <v>11500.00</v>
      </c>
      <c r="K36" s="2" t="str">
        <f>IF(DB_Artworks_Export!H36="","",DB_Artworks_Export!H36)</f>
        <v>218.00</v>
      </c>
      <c r="L36" s="2" t="str">
        <f>IF(DB_Artworks_Export!I36="","",DB_Artworks_Export!I36)</f>
        <v>92.4000</v>
      </c>
      <c r="M36" s="2" t="str">
        <f>IF(DB_Artworks_Export!J36="","",DB_Artworks_Export!J36)</f>
        <v>1.7500</v>
      </c>
      <c r="N36" s="2" t="str">
        <f>IF(DB_Artworks_Export!K36="","",DB_Artworks_Export!K36)</f>
        <v>t</v>
      </c>
      <c r="O36" s="2" t="str">
        <f>IF(DB_Artworks_Export!L36="","",DB_Artworks_Export!L36)</f>
        <v>https://chitrakalaarts-production.up.railway.app/api/images/artworks/art-1778384480649</v>
      </c>
      <c r="P36" s="2" t="str">
        <f>IF(DB_Artworks_Export!M36="","",DB_Artworks_Export!M36)</f>
        <v>2026-05-10 03:41:20.683837</v>
      </c>
      <c r="Q36" s="2" t="str">
        <f>IF(DB_Artworks_Export!N36="","",DB_Artworks_Export!N36)</f>
        <v>2026-05-10 03:41:20.877234</v>
      </c>
      <c r="R36" s="2" t="str">
        <f>IF($D36="","",IF(COUNTIF(DB_Categories_Export!$A:$A,$F36)&gt;0,"OK","INVALID CATEGORY"))</f>
        <v>OK</v>
      </c>
      <c r="S36" s="2">
        <f>IF($D36="","",COUNTIF(DB_Artwork_Sizes_Export!$B:$B,$D36))</f>
        <v>1</v>
      </c>
      <c r="T36" s="2" t="str">
        <f>IF($D36="","",IFERROR(INDEX(DB_Artwork_Sizes_Export!$D:$D,MATCH($D36,DB_Artwork_Sizes_Export!$B:$B,0)),""))</f>
        <v>12"x12"</v>
      </c>
      <c r="U36" s="2" t="str">
        <f>IF($D36="","",IFERROR(INDEX(DB_Artwork_Sizes_Export!$E:$E,MATCH($D36,DB_Artwork_Sizes_Export!$B:$B,0)),""))</f>
        <v>11500.00</v>
      </c>
      <c r="V36" s="2" t="str">
        <f>IF($D36="","",IFERROR(INDEX(DB_Artwork_Sizes_Export!$F:$F,MATCH($D36,DB_Artwork_Sizes_Export!$B:$B,0)),""))</f>
        <v>218.00</v>
      </c>
      <c r="W36" s="2" t="str">
        <f t="shared" si="2"/>
        <v>REVIEW_SIZE_PRICING</v>
      </c>
      <c r="X36" s="2"/>
      <c r="Y36" s="2"/>
      <c r="Z36" s="2"/>
      <c r="AA36" s="2"/>
      <c r="AB36" s="2"/>
      <c r="AC36" s="2"/>
      <c r="AD36" s="2"/>
      <c r="AE36" s="2"/>
      <c r="AF36" s="2" t="str">
        <f t="shared" si="3"/>
        <v>Rhythms of Heritage – Blue Mirror Mosaic Art Work</v>
      </c>
      <c r="AG36" s="2" t="str">
        <f t="shared" si="4"/>
        <v>mirror-mosaic</v>
      </c>
      <c r="AH36" s="2" t="str">
        <f>IF($AG36="","",IFERROR(VLOOKUP($AG36,DB_Categories_Export!$A:$B,2,FALSE()),"INVALID CATEGORY"))</f>
        <v>Mirror Mosaic</v>
      </c>
      <c r="AI36" s="2" t="str">
        <f t="shared" si="5"/>
        <v>A striking fusion of tribal rhythm and contemporary elegance, this handcrafted blue mirror mosaic artwork is inspired by traditional Indian folk motifs arranged in mesmerizing concentric patterns. The deep royal blue tones paired with reflective mirror accents create a captivating visual balance that instantly elevates any space. Every detail is carefully handcrafted, bringing texture, symmetry, and cultural artistry together into a timeless statement piece. Perfect for living rooms, entryways, meditation corners, or modern interiors seeking a touch of heritage and sophistication.</v>
      </c>
      <c r="AJ36" s="2" t="str">
        <f t="shared" si="6"/>
        <v>Glass Mirrors Cuttings</v>
      </c>
      <c r="AK36" s="2" t="str">
        <f t="shared" si="7"/>
        <v>11500.00</v>
      </c>
      <c r="AL36" s="2" t="str">
        <f t="shared" si="8"/>
        <v>t</v>
      </c>
      <c r="AM36" s="2" t="str">
        <f t="shared" si="9"/>
        <v>https://chitrakalaarts-production.up.railway.app/api/images/artworks/art-1778384480649</v>
      </c>
      <c r="AN36" s="2"/>
      <c r="AO36" s="2" t="s">
        <v>911</v>
      </c>
    </row>
    <row r="37" spans="1:41" ht="129.6" customHeight="1" x14ac:dyDescent="0.3">
      <c r="A37" s="2" t="s">
        <v>567</v>
      </c>
      <c r="B37" s="2" t="str">
        <f t="shared" si="0"/>
        <v>NO_CHANGE</v>
      </c>
      <c r="C37" s="2" t="str">
        <f t="shared" si="1"/>
        <v>WARNING</v>
      </c>
      <c r="D37" s="2" t="str">
        <f>IF(DB_Artworks_Export!A37="","",DB_Artworks_Export!A37)</f>
        <v>art-1778384550442</v>
      </c>
      <c r="E37" s="2" t="str">
        <f>IF(DB_Artworks_Export!B37="","",DB_Artworks_Export!B37)</f>
        <v>Moonlit Lotus – White Mirror Mosaic Art Work</v>
      </c>
      <c r="F37" s="2" t="str">
        <f>IF(DB_Artworks_Export!C37="","",DB_Artworks_Export!C37)</f>
        <v>mirror-mosaic</v>
      </c>
      <c r="G37" s="2" t="str">
        <f>IF(DB_Artworks_Export!D37="","",DB_Artworks_Export!D37)</f>
        <v>Mirror Mosaic</v>
      </c>
      <c r="H37" s="2" t="str">
        <f>IF(DB_Artworks_Export!E37="","",DB_Artworks_Export!E37)</f>
        <v>Delicate, luminous, and intricately detailed, this white mirror mosaic artwork draws inspiration from blooming lotus patterns and traditional mandala artistry. The soft textured white finish combined with shimmering mirror inlays creates a serene yet luxurious presence, reflecting light beautifully from every angle. Handcrafted with precision, this elegant piece symbolizes harmony, purity, and balance, making it a perfect addition to contemporary, minimal, or spiritual interiors. Its timeless design brings calm sophistication and artistic depth to any wall or décor setting.</v>
      </c>
      <c r="I37" s="2" t="str">
        <f>IF(DB_Artworks_Export!F37="","",DB_Artworks_Export!F37)</f>
        <v>Glass Mirrors Cuttings</v>
      </c>
      <c r="J37" s="2" t="str">
        <f>IF(DB_Artworks_Export!G37="","",DB_Artworks_Export!G37)</f>
        <v>13500.00</v>
      </c>
      <c r="K37" s="2" t="str">
        <f>IF(DB_Artworks_Export!H37="","",DB_Artworks_Export!H37)</f>
        <v>256.00</v>
      </c>
      <c r="L37" s="2" t="str">
        <f>IF(DB_Artworks_Export!I37="","",DB_Artworks_Export!I37)</f>
        <v>92.4000</v>
      </c>
      <c r="M37" s="2" t="str">
        <f>IF(DB_Artworks_Export!J37="","",DB_Artworks_Export!J37)</f>
        <v>1.7500</v>
      </c>
      <c r="N37" s="2" t="str">
        <f>IF(DB_Artworks_Export!K37="","",DB_Artworks_Export!K37)</f>
        <v>f</v>
      </c>
      <c r="O37" s="2" t="str">
        <f>IF(DB_Artworks_Export!L37="","",DB_Artworks_Export!L37)</f>
        <v>https://chitrakalaarts-production.up.railway.app/api/images/artworks/art-1778384550442</v>
      </c>
      <c r="P37" s="2" t="str">
        <f>IF(DB_Artworks_Export!M37="","",DB_Artworks_Export!M37)</f>
        <v>2026-05-10 03:42:30.476539</v>
      </c>
      <c r="Q37" s="2" t="str">
        <f>IF(DB_Artworks_Export!N37="","",DB_Artworks_Export!N37)</f>
        <v>2026-05-10 03:42:30.676559</v>
      </c>
      <c r="R37" s="2" t="str">
        <f>IF($D37="","",IF(COUNTIF(DB_Categories_Export!$A:$A,$F37)&gt;0,"OK","INVALID CATEGORY"))</f>
        <v>OK</v>
      </c>
      <c r="S37" s="2">
        <f>IF($D37="","",COUNTIF(DB_Artwork_Sizes_Export!$B:$B,$D37))</f>
        <v>1</v>
      </c>
      <c r="T37" s="2" t="str">
        <f>IF($D37="","",IFERROR(INDEX(DB_Artwork_Sizes_Export!$D:$D,MATCH($D37,DB_Artwork_Sizes_Export!$B:$B,0)),""))</f>
        <v>12"x12"</v>
      </c>
      <c r="U37" s="2" t="str">
        <f>IF($D37="","",IFERROR(INDEX(DB_Artwork_Sizes_Export!$E:$E,MATCH($D37,DB_Artwork_Sizes_Export!$B:$B,0)),""))</f>
        <v>13500.00</v>
      </c>
      <c r="V37" s="2" t="str">
        <f>IF($D37="","",IFERROR(INDEX(DB_Artwork_Sizes_Export!$F:$F,MATCH($D37,DB_Artwork_Sizes_Export!$B:$B,0)),""))</f>
        <v>256.00</v>
      </c>
      <c r="W37" s="2" t="str">
        <f t="shared" si="2"/>
        <v>REVIEW_SIZE_PRICING</v>
      </c>
      <c r="X37" s="2"/>
      <c r="Y37" s="2"/>
      <c r="Z37" s="2"/>
      <c r="AA37" s="2"/>
      <c r="AB37" s="2"/>
      <c r="AC37" s="2"/>
      <c r="AD37" s="2"/>
      <c r="AE37" s="2"/>
      <c r="AF37" s="2" t="str">
        <f t="shared" si="3"/>
        <v>Moonlit Lotus – White Mirror Mosaic Art Work</v>
      </c>
      <c r="AG37" s="2" t="str">
        <f t="shared" si="4"/>
        <v>mirror-mosaic</v>
      </c>
      <c r="AH37" s="2" t="str">
        <f>IF($AG37="","",IFERROR(VLOOKUP($AG37,DB_Categories_Export!$A:$B,2,FALSE()),"INVALID CATEGORY"))</f>
        <v>Mirror Mosaic</v>
      </c>
      <c r="AI37" s="2" t="str">
        <f t="shared" si="5"/>
        <v>Delicate, luminous, and intricately detailed, this white mirror mosaic artwork draws inspiration from blooming lotus patterns and traditional mandala artistry. The soft textured white finish combined with shimmering mirror inlays creates a serene yet luxurious presence, reflecting light beautifully from every angle. Handcrafted with precision, this elegant piece symbolizes harmony, purity, and balance, making it a perfect addition to contemporary, minimal, or spiritual interiors. Its timeless design brings calm sophistication and artistic depth to any wall or décor setting.</v>
      </c>
      <c r="AJ37" s="2" t="str">
        <f t="shared" si="6"/>
        <v>Glass Mirrors Cuttings</v>
      </c>
      <c r="AK37" s="2" t="str">
        <f t="shared" si="7"/>
        <v>13500.00</v>
      </c>
      <c r="AL37" s="2" t="str">
        <f t="shared" si="8"/>
        <v>f</v>
      </c>
      <c r="AM37" s="2" t="str">
        <f t="shared" si="9"/>
        <v>https://chitrakalaarts-production.up.railway.app/api/images/artworks/art-1778384550442</v>
      </c>
      <c r="AN37" s="2"/>
      <c r="AO37" s="2" t="s">
        <v>911</v>
      </c>
    </row>
    <row r="38" spans="1:41" ht="12" customHeight="1" x14ac:dyDescent="0.3">
      <c r="A38" s="2"/>
      <c r="B38" s="2" t="str">
        <f t="shared" si="0"/>
        <v/>
      </c>
      <c r="C38" s="2" t="str">
        <f t="shared" si="1"/>
        <v/>
      </c>
      <c r="D38" s="2" t="str">
        <f>IF(DB_Artworks_Export!A38="","",DB_Artworks_Export!A38)</f>
        <v/>
      </c>
      <c r="E38" s="2" t="str">
        <f>IF(DB_Artworks_Export!B38="","",DB_Artworks_Export!B38)</f>
        <v/>
      </c>
      <c r="F38" s="2" t="str">
        <f>IF(DB_Artworks_Export!C38="","",DB_Artworks_Export!C38)</f>
        <v/>
      </c>
      <c r="G38" s="2" t="str">
        <f>IF(DB_Artworks_Export!D38="","",DB_Artworks_Export!D38)</f>
        <v/>
      </c>
      <c r="H38" s="2" t="str">
        <f>IF(DB_Artworks_Export!E38="","",DB_Artworks_Export!E38)</f>
        <v/>
      </c>
      <c r="I38" s="2" t="str">
        <f>IF(DB_Artworks_Export!F38="","",DB_Artworks_Export!F38)</f>
        <v/>
      </c>
      <c r="J38" s="2" t="str">
        <f>IF(DB_Artworks_Export!G38="","",DB_Artworks_Export!G38)</f>
        <v/>
      </c>
      <c r="K38" s="2" t="str">
        <f>IF(DB_Artworks_Export!H38="","",DB_Artworks_Export!H38)</f>
        <v/>
      </c>
      <c r="L38" s="2" t="str">
        <f>IF(DB_Artworks_Export!I38="","",DB_Artworks_Export!I38)</f>
        <v/>
      </c>
      <c r="M38" s="2" t="str">
        <f>IF(DB_Artworks_Export!J38="","",DB_Artworks_Export!J38)</f>
        <v/>
      </c>
      <c r="N38" s="2" t="str">
        <f>IF(DB_Artworks_Export!K38="","",DB_Artworks_Export!K38)</f>
        <v/>
      </c>
      <c r="O38" s="2" t="str">
        <f>IF(DB_Artworks_Export!L38="","",DB_Artworks_Export!L38)</f>
        <v/>
      </c>
      <c r="P38" s="2" t="str">
        <f>IF(DB_Artworks_Export!M38="","",DB_Artworks_Export!M38)</f>
        <v/>
      </c>
      <c r="Q38" s="2" t="str">
        <f>IF(DB_Artworks_Export!N38="","",DB_Artworks_Export!N38)</f>
        <v/>
      </c>
      <c r="R38" s="2" t="str">
        <f>IF($D38="","",IF(COUNTIF(DB_Categories_Export!$A:$A,$F38)&gt;0,"OK","INVALID CATEGORY"))</f>
        <v/>
      </c>
      <c r="S38" s="2" t="str">
        <f>IF($D38="","",COUNTIF(DB_Artwork_Sizes_Export!$B:$B,$D38))</f>
        <v/>
      </c>
      <c r="T38" s="2" t="str">
        <f>IF($D38="","",IFERROR(INDEX(DB_Artwork_Sizes_Export!$D:$D,MATCH($D38,DB_Artwork_Sizes_Export!$B:$B,0)),""))</f>
        <v/>
      </c>
      <c r="U38" s="2" t="str">
        <f>IF($D38="","",IFERROR(INDEX(DB_Artwork_Sizes_Export!$E:$E,MATCH($D38,DB_Artwork_Sizes_Export!$B:$B,0)),""))</f>
        <v/>
      </c>
      <c r="V38" s="2" t="str">
        <f>IF($D38="","",IFERROR(INDEX(DB_Artwork_Sizes_Export!$F:$F,MATCH($D38,DB_Artwork_Sizes_Export!$B:$B,0)),""))</f>
        <v/>
      </c>
      <c r="W38" s="2" t="str">
        <f t="shared" si="2"/>
        <v/>
      </c>
      <c r="X38" s="2"/>
      <c r="Y38" s="2"/>
      <c r="Z38" s="2"/>
      <c r="AA38" s="2"/>
      <c r="AB38" s="2"/>
      <c r="AC38" s="2"/>
      <c r="AD38" s="2"/>
      <c r="AE38" s="2"/>
      <c r="AF38" s="2" t="str">
        <f t="shared" si="3"/>
        <v/>
      </c>
      <c r="AG38" s="2" t="str">
        <f t="shared" si="4"/>
        <v/>
      </c>
      <c r="AH38" s="2" t="str">
        <f>IF($AG38="","",IFERROR(VLOOKUP($AG38,DB_Categories_Export!$A:$B,2,FALSE()),"INVALID CATEGORY"))</f>
        <v/>
      </c>
      <c r="AI38" s="2" t="str">
        <f t="shared" si="5"/>
        <v/>
      </c>
      <c r="AJ38" s="2" t="str">
        <f t="shared" si="6"/>
        <v/>
      </c>
      <c r="AK38" s="2" t="str">
        <f t="shared" si="7"/>
        <v/>
      </c>
      <c r="AL38" s="2" t="str">
        <f t="shared" si="8"/>
        <v/>
      </c>
      <c r="AM38" s="2" t="str">
        <f t="shared" si="9"/>
        <v/>
      </c>
      <c r="AN38" s="2"/>
      <c r="AO38" s="2"/>
    </row>
    <row r="39" spans="1:41" ht="12" customHeight="1" x14ac:dyDescent="0.3">
      <c r="A39" s="2"/>
      <c r="B39" s="2" t="str">
        <f t="shared" si="0"/>
        <v/>
      </c>
      <c r="C39" s="2" t="str">
        <f t="shared" si="1"/>
        <v/>
      </c>
      <c r="D39" s="2" t="str">
        <f>IF(DB_Artworks_Export!A39="","",DB_Artworks_Export!A39)</f>
        <v/>
      </c>
      <c r="E39" s="2" t="str">
        <f>IF(DB_Artworks_Export!B39="","",DB_Artworks_Export!B39)</f>
        <v/>
      </c>
      <c r="F39" s="2" t="str">
        <f>IF(DB_Artworks_Export!C39="","",DB_Artworks_Export!C39)</f>
        <v/>
      </c>
      <c r="G39" s="2" t="str">
        <f>IF(DB_Artworks_Export!D39="","",DB_Artworks_Export!D39)</f>
        <v/>
      </c>
      <c r="H39" s="2" t="str">
        <f>IF(DB_Artworks_Export!E39="","",DB_Artworks_Export!E39)</f>
        <v/>
      </c>
      <c r="I39" s="2" t="str">
        <f>IF(DB_Artworks_Export!F39="","",DB_Artworks_Export!F39)</f>
        <v/>
      </c>
      <c r="J39" s="2" t="str">
        <f>IF(DB_Artworks_Export!G39="","",DB_Artworks_Export!G39)</f>
        <v/>
      </c>
      <c r="K39" s="2" t="str">
        <f>IF(DB_Artworks_Export!H39="","",DB_Artworks_Export!H39)</f>
        <v/>
      </c>
      <c r="L39" s="2" t="str">
        <f>IF(DB_Artworks_Export!I39="","",DB_Artworks_Export!I39)</f>
        <v/>
      </c>
      <c r="M39" s="2" t="str">
        <f>IF(DB_Artworks_Export!J39="","",DB_Artworks_Export!J39)</f>
        <v/>
      </c>
      <c r="N39" s="2" t="str">
        <f>IF(DB_Artworks_Export!K39="","",DB_Artworks_Export!K39)</f>
        <v/>
      </c>
      <c r="O39" s="2" t="str">
        <f>IF(DB_Artworks_Export!L39="","",DB_Artworks_Export!L39)</f>
        <v/>
      </c>
      <c r="P39" s="2" t="str">
        <f>IF(DB_Artworks_Export!M39="","",DB_Artworks_Export!M39)</f>
        <v/>
      </c>
      <c r="Q39" s="2" t="str">
        <f>IF(DB_Artworks_Export!N39="","",DB_Artworks_Export!N39)</f>
        <v/>
      </c>
      <c r="R39" s="2" t="str">
        <f>IF($D39="","",IF(COUNTIF(DB_Categories_Export!$A:$A,$F39)&gt;0,"OK","INVALID CATEGORY"))</f>
        <v/>
      </c>
      <c r="S39" s="2" t="str">
        <f>IF($D39="","",COUNTIF(DB_Artwork_Sizes_Export!$B:$B,$D39))</f>
        <v/>
      </c>
      <c r="T39" s="2" t="str">
        <f>IF($D39="","",IFERROR(INDEX(DB_Artwork_Sizes_Export!$D:$D,MATCH($D39,DB_Artwork_Sizes_Export!$B:$B,0)),""))</f>
        <v/>
      </c>
      <c r="U39" s="2" t="str">
        <f>IF($D39="","",IFERROR(INDEX(DB_Artwork_Sizes_Export!$E:$E,MATCH($D39,DB_Artwork_Sizes_Export!$B:$B,0)),""))</f>
        <v/>
      </c>
      <c r="V39" s="2" t="str">
        <f>IF($D39="","",IFERROR(INDEX(DB_Artwork_Sizes_Export!$F:$F,MATCH($D39,DB_Artwork_Sizes_Export!$B:$B,0)),""))</f>
        <v/>
      </c>
      <c r="W39" s="2" t="str">
        <f t="shared" si="2"/>
        <v/>
      </c>
      <c r="X39" s="2"/>
      <c r="Y39" s="2"/>
      <c r="Z39" s="2"/>
      <c r="AA39" s="2"/>
      <c r="AB39" s="2"/>
      <c r="AC39" s="2"/>
      <c r="AD39" s="2"/>
      <c r="AE39" s="2"/>
      <c r="AF39" s="2" t="str">
        <f t="shared" si="3"/>
        <v/>
      </c>
      <c r="AG39" s="2" t="str">
        <f t="shared" si="4"/>
        <v/>
      </c>
      <c r="AH39" s="2" t="str">
        <f>IF($AG39="","",IFERROR(VLOOKUP($AG39,DB_Categories_Export!$A:$B,2,FALSE()),"INVALID CATEGORY"))</f>
        <v/>
      </c>
      <c r="AI39" s="2" t="str">
        <f t="shared" si="5"/>
        <v/>
      </c>
      <c r="AJ39" s="2" t="str">
        <f t="shared" si="6"/>
        <v/>
      </c>
      <c r="AK39" s="2" t="str">
        <f t="shared" si="7"/>
        <v/>
      </c>
      <c r="AL39" s="2" t="str">
        <f t="shared" si="8"/>
        <v/>
      </c>
      <c r="AM39" s="2" t="str">
        <f t="shared" si="9"/>
        <v/>
      </c>
      <c r="AN39" s="2"/>
      <c r="AO39" s="2"/>
    </row>
    <row r="40" spans="1:41" ht="12" customHeight="1" x14ac:dyDescent="0.3">
      <c r="A40" s="2"/>
      <c r="B40" s="2" t="str">
        <f t="shared" si="0"/>
        <v/>
      </c>
      <c r="C40" s="2" t="str">
        <f t="shared" si="1"/>
        <v/>
      </c>
      <c r="D40" s="2" t="str">
        <f>IF(DB_Artworks_Export!A40="","",DB_Artworks_Export!A40)</f>
        <v/>
      </c>
      <c r="E40" s="2" t="str">
        <f>IF(DB_Artworks_Export!B40="","",DB_Artworks_Export!B40)</f>
        <v/>
      </c>
      <c r="F40" s="2" t="str">
        <f>IF(DB_Artworks_Export!C40="","",DB_Artworks_Export!C40)</f>
        <v/>
      </c>
      <c r="G40" s="2" t="str">
        <f>IF(DB_Artworks_Export!D40="","",DB_Artworks_Export!D40)</f>
        <v/>
      </c>
      <c r="H40" s="2" t="str">
        <f>IF(DB_Artworks_Export!E40="","",DB_Artworks_Export!E40)</f>
        <v/>
      </c>
      <c r="I40" s="2" t="str">
        <f>IF(DB_Artworks_Export!F40="","",DB_Artworks_Export!F40)</f>
        <v/>
      </c>
      <c r="J40" s="2" t="str">
        <f>IF(DB_Artworks_Export!G40="","",DB_Artworks_Export!G40)</f>
        <v/>
      </c>
      <c r="K40" s="2" t="str">
        <f>IF(DB_Artworks_Export!H40="","",DB_Artworks_Export!H40)</f>
        <v/>
      </c>
      <c r="L40" s="2" t="str">
        <f>IF(DB_Artworks_Export!I40="","",DB_Artworks_Export!I40)</f>
        <v/>
      </c>
      <c r="M40" s="2" t="str">
        <f>IF(DB_Artworks_Export!J40="","",DB_Artworks_Export!J40)</f>
        <v/>
      </c>
      <c r="N40" s="2" t="str">
        <f>IF(DB_Artworks_Export!K40="","",DB_Artworks_Export!K40)</f>
        <v/>
      </c>
      <c r="O40" s="2" t="str">
        <f>IF(DB_Artworks_Export!L40="","",DB_Artworks_Export!L40)</f>
        <v/>
      </c>
      <c r="P40" s="2" t="str">
        <f>IF(DB_Artworks_Export!M40="","",DB_Artworks_Export!M40)</f>
        <v/>
      </c>
      <c r="Q40" s="2" t="str">
        <f>IF(DB_Artworks_Export!N40="","",DB_Artworks_Export!N40)</f>
        <v/>
      </c>
      <c r="R40" s="2" t="str">
        <f>IF($D40="","",IF(COUNTIF(DB_Categories_Export!$A:$A,$F40)&gt;0,"OK","INVALID CATEGORY"))</f>
        <v/>
      </c>
      <c r="S40" s="2" t="str">
        <f>IF($D40="","",COUNTIF(DB_Artwork_Sizes_Export!$B:$B,$D40))</f>
        <v/>
      </c>
      <c r="T40" s="2" t="str">
        <f>IF($D40="","",IFERROR(INDEX(DB_Artwork_Sizes_Export!$D:$D,MATCH($D40,DB_Artwork_Sizes_Export!$B:$B,0)),""))</f>
        <v/>
      </c>
      <c r="U40" s="2" t="str">
        <f>IF($D40="","",IFERROR(INDEX(DB_Artwork_Sizes_Export!$E:$E,MATCH($D40,DB_Artwork_Sizes_Export!$B:$B,0)),""))</f>
        <v/>
      </c>
      <c r="V40" s="2" t="str">
        <f>IF($D40="","",IFERROR(INDEX(DB_Artwork_Sizes_Export!$F:$F,MATCH($D40,DB_Artwork_Sizes_Export!$B:$B,0)),""))</f>
        <v/>
      </c>
      <c r="W40" s="2" t="str">
        <f t="shared" si="2"/>
        <v/>
      </c>
      <c r="X40" s="2"/>
      <c r="Y40" s="2"/>
      <c r="Z40" s="2"/>
      <c r="AA40" s="2"/>
      <c r="AB40" s="2"/>
      <c r="AC40" s="2"/>
      <c r="AD40" s="2"/>
      <c r="AE40" s="2"/>
      <c r="AF40" s="2" t="str">
        <f t="shared" si="3"/>
        <v/>
      </c>
      <c r="AG40" s="2" t="str">
        <f t="shared" si="4"/>
        <v/>
      </c>
      <c r="AH40" s="2" t="str">
        <f>IF($AG40="","",IFERROR(VLOOKUP($AG40,DB_Categories_Export!$A:$B,2,FALSE()),"INVALID CATEGORY"))</f>
        <v/>
      </c>
      <c r="AI40" s="2" t="str">
        <f t="shared" si="5"/>
        <v/>
      </c>
      <c r="AJ40" s="2" t="str">
        <f t="shared" si="6"/>
        <v/>
      </c>
      <c r="AK40" s="2" t="str">
        <f t="shared" si="7"/>
        <v/>
      </c>
      <c r="AL40" s="2" t="str">
        <f t="shared" si="8"/>
        <v/>
      </c>
      <c r="AM40" s="2" t="str">
        <f t="shared" si="9"/>
        <v/>
      </c>
      <c r="AN40" s="2"/>
      <c r="AO40" s="2"/>
    </row>
    <row r="41" spans="1:41" ht="12" customHeight="1" x14ac:dyDescent="0.3">
      <c r="A41" s="2"/>
      <c r="B41" s="2" t="str">
        <f t="shared" si="0"/>
        <v/>
      </c>
      <c r="C41" s="2" t="str">
        <f t="shared" si="1"/>
        <v/>
      </c>
      <c r="D41" s="2" t="str">
        <f>IF(DB_Artworks_Export!A41="","",DB_Artworks_Export!A41)</f>
        <v/>
      </c>
      <c r="E41" s="2" t="str">
        <f>IF(DB_Artworks_Export!B41="","",DB_Artworks_Export!B41)</f>
        <v/>
      </c>
      <c r="F41" s="2" t="str">
        <f>IF(DB_Artworks_Export!C41="","",DB_Artworks_Export!C41)</f>
        <v/>
      </c>
      <c r="G41" s="2" t="str">
        <f>IF(DB_Artworks_Export!D41="","",DB_Artworks_Export!D41)</f>
        <v/>
      </c>
      <c r="H41" s="2" t="str">
        <f>IF(DB_Artworks_Export!E41="","",DB_Artworks_Export!E41)</f>
        <v/>
      </c>
      <c r="I41" s="2" t="str">
        <f>IF(DB_Artworks_Export!F41="","",DB_Artworks_Export!F41)</f>
        <v/>
      </c>
      <c r="J41" s="2" t="str">
        <f>IF(DB_Artworks_Export!G41="","",DB_Artworks_Export!G41)</f>
        <v/>
      </c>
      <c r="K41" s="2" t="str">
        <f>IF(DB_Artworks_Export!H41="","",DB_Artworks_Export!H41)</f>
        <v/>
      </c>
      <c r="L41" s="2" t="str">
        <f>IF(DB_Artworks_Export!I41="","",DB_Artworks_Export!I41)</f>
        <v/>
      </c>
      <c r="M41" s="2" t="str">
        <f>IF(DB_Artworks_Export!J41="","",DB_Artworks_Export!J41)</f>
        <v/>
      </c>
      <c r="N41" s="2" t="str">
        <f>IF(DB_Artworks_Export!K41="","",DB_Artworks_Export!K41)</f>
        <v/>
      </c>
      <c r="O41" s="2" t="str">
        <f>IF(DB_Artworks_Export!L41="","",DB_Artworks_Export!L41)</f>
        <v/>
      </c>
      <c r="P41" s="2" t="str">
        <f>IF(DB_Artworks_Export!M41="","",DB_Artworks_Export!M41)</f>
        <v/>
      </c>
      <c r="Q41" s="2" t="str">
        <f>IF(DB_Artworks_Export!N41="","",DB_Artworks_Export!N41)</f>
        <v/>
      </c>
      <c r="R41" s="2" t="str">
        <f>IF($D41="","",IF(COUNTIF(DB_Categories_Export!$A:$A,$F41)&gt;0,"OK","INVALID CATEGORY"))</f>
        <v/>
      </c>
      <c r="S41" s="2" t="str">
        <f>IF($D41="","",COUNTIF(DB_Artwork_Sizes_Export!$B:$B,$D41))</f>
        <v/>
      </c>
      <c r="T41" s="2" t="str">
        <f>IF($D41="","",IFERROR(INDEX(DB_Artwork_Sizes_Export!$D:$D,MATCH($D41,DB_Artwork_Sizes_Export!$B:$B,0)),""))</f>
        <v/>
      </c>
      <c r="U41" s="2" t="str">
        <f>IF($D41="","",IFERROR(INDEX(DB_Artwork_Sizes_Export!$E:$E,MATCH($D41,DB_Artwork_Sizes_Export!$B:$B,0)),""))</f>
        <v/>
      </c>
      <c r="V41" s="2" t="str">
        <f>IF($D41="","",IFERROR(INDEX(DB_Artwork_Sizes_Export!$F:$F,MATCH($D41,DB_Artwork_Sizes_Export!$B:$B,0)),""))</f>
        <v/>
      </c>
      <c r="W41" s="2" t="str">
        <f t="shared" si="2"/>
        <v/>
      </c>
      <c r="X41" s="2"/>
      <c r="Y41" s="2"/>
      <c r="Z41" s="2"/>
      <c r="AA41" s="2"/>
      <c r="AB41" s="2"/>
      <c r="AC41" s="2"/>
      <c r="AD41" s="2"/>
      <c r="AE41" s="2"/>
      <c r="AF41" s="2" t="str">
        <f t="shared" si="3"/>
        <v/>
      </c>
      <c r="AG41" s="2" t="str">
        <f t="shared" si="4"/>
        <v/>
      </c>
      <c r="AH41" s="2" t="str">
        <f>IF($AG41="","",IFERROR(VLOOKUP($AG41,DB_Categories_Export!$A:$B,2,FALSE()),"INVALID CATEGORY"))</f>
        <v/>
      </c>
      <c r="AI41" s="2" t="str">
        <f t="shared" si="5"/>
        <v/>
      </c>
      <c r="AJ41" s="2" t="str">
        <f t="shared" si="6"/>
        <v/>
      </c>
      <c r="AK41" s="2" t="str">
        <f t="shared" si="7"/>
        <v/>
      </c>
      <c r="AL41" s="2" t="str">
        <f t="shared" si="8"/>
        <v/>
      </c>
      <c r="AM41" s="2" t="str">
        <f t="shared" si="9"/>
        <v/>
      </c>
      <c r="AN41" s="2"/>
      <c r="AO41" s="2"/>
    </row>
    <row r="42" spans="1:41" ht="12" customHeight="1" x14ac:dyDescent="0.3">
      <c r="A42" s="2"/>
      <c r="B42" s="2" t="str">
        <f t="shared" si="0"/>
        <v/>
      </c>
      <c r="C42" s="2" t="str">
        <f t="shared" si="1"/>
        <v/>
      </c>
      <c r="D42" s="2" t="str">
        <f>IF(DB_Artworks_Export!A42="","",DB_Artworks_Export!A42)</f>
        <v/>
      </c>
      <c r="E42" s="2" t="str">
        <f>IF(DB_Artworks_Export!B42="","",DB_Artworks_Export!B42)</f>
        <v/>
      </c>
      <c r="F42" s="2" t="str">
        <f>IF(DB_Artworks_Export!C42="","",DB_Artworks_Export!C42)</f>
        <v/>
      </c>
      <c r="G42" s="2" t="str">
        <f>IF(DB_Artworks_Export!D42="","",DB_Artworks_Export!D42)</f>
        <v/>
      </c>
      <c r="H42" s="2" t="str">
        <f>IF(DB_Artworks_Export!E42="","",DB_Artworks_Export!E42)</f>
        <v/>
      </c>
      <c r="I42" s="2" t="str">
        <f>IF(DB_Artworks_Export!F42="","",DB_Artworks_Export!F42)</f>
        <v/>
      </c>
      <c r="J42" s="2" t="str">
        <f>IF(DB_Artworks_Export!G42="","",DB_Artworks_Export!G42)</f>
        <v/>
      </c>
      <c r="K42" s="2" t="str">
        <f>IF(DB_Artworks_Export!H42="","",DB_Artworks_Export!H42)</f>
        <v/>
      </c>
      <c r="L42" s="2" t="str">
        <f>IF(DB_Artworks_Export!I42="","",DB_Artworks_Export!I42)</f>
        <v/>
      </c>
      <c r="M42" s="2" t="str">
        <f>IF(DB_Artworks_Export!J42="","",DB_Artworks_Export!J42)</f>
        <v/>
      </c>
      <c r="N42" s="2" t="str">
        <f>IF(DB_Artworks_Export!K42="","",DB_Artworks_Export!K42)</f>
        <v/>
      </c>
      <c r="O42" s="2" t="str">
        <f>IF(DB_Artworks_Export!L42="","",DB_Artworks_Export!L42)</f>
        <v/>
      </c>
      <c r="P42" s="2" t="str">
        <f>IF(DB_Artworks_Export!M42="","",DB_Artworks_Export!M42)</f>
        <v/>
      </c>
      <c r="Q42" s="2" t="str">
        <f>IF(DB_Artworks_Export!N42="","",DB_Artworks_Export!N42)</f>
        <v/>
      </c>
      <c r="R42" s="2" t="str">
        <f>IF($D42="","",IF(COUNTIF(DB_Categories_Export!$A:$A,$F42)&gt;0,"OK","INVALID CATEGORY"))</f>
        <v/>
      </c>
      <c r="S42" s="2" t="str">
        <f>IF($D42="","",COUNTIF(DB_Artwork_Sizes_Export!$B:$B,$D42))</f>
        <v/>
      </c>
      <c r="T42" s="2" t="str">
        <f>IF($D42="","",IFERROR(INDEX(DB_Artwork_Sizes_Export!$D:$D,MATCH($D42,DB_Artwork_Sizes_Export!$B:$B,0)),""))</f>
        <v/>
      </c>
      <c r="U42" s="2" t="str">
        <f>IF($D42="","",IFERROR(INDEX(DB_Artwork_Sizes_Export!$E:$E,MATCH($D42,DB_Artwork_Sizes_Export!$B:$B,0)),""))</f>
        <v/>
      </c>
      <c r="V42" s="2" t="str">
        <f>IF($D42="","",IFERROR(INDEX(DB_Artwork_Sizes_Export!$F:$F,MATCH($D42,DB_Artwork_Sizes_Export!$B:$B,0)),""))</f>
        <v/>
      </c>
      <c r="W42" s="2" t="str">
        <f t="shared" si="2"/>
        <v/>
      </c>
      <c r="X42" s="2"/>
      <c r="Y42" s="2"/>
      <c r="Z42" s="2"/>
      <c r="AA42" s="2"/>
      <c r="AB42" s="2"/>
      <c r="AC42" s="2"/>
      <c r="AD42" s="2"/>
      <c r="AE42" s="2"/>
      <c r="AF42" s="2" t="str">
        <f t="shared" si="3"/>
        <v/>
      </c>
      <c r="AG42" s="2" t="str">
        <f t="shared" si="4"/>
        <v/>
      </c>
      <c r="AH42" s="2" t="str">
        <f>IF($AG42="","",IFERROR(VLOOKUP($AG42,DB_Categories_Export!$A:$B,2,FALSE()),"INVALID CATEGORY"))</f>
        <v/>
      </c>
      <c r="AI42" s="2" t="str">
        <f t="shared" si="5"/>
        <v/>
      </c>
      <c r="AJ42" s="2" t="str">
        <f t="shared" si="6"/>
        <v/>
      </c>
      <c r="AK42" s="2" t="str">
        <f t="shared" si="7"/>
        <v/>
      </c>
      <c r="AL42" s="2" t="str">
        <f t="shared" si="8"/>
        <v/>
      </c>
      <c r="AM42" s="2" t="str">
        <f t="shared" si="9"/>
        <v/>
      </c>
      <c r="AN42" s="2"/>
      <c r="AO42" s="2"/>
    </row>
    <row r="43" spans="1:41" ht="12" customHeight="1" x14ac:dyDescent="0.3">
      <c r="A43" s="2"/>
      <c r="B43" s="2" t="str">
        <f t="shared" si="0"/>
        <v/>
      </c>
      <c r="C43" s="2" t="str">
        <f t="shared" si="1"/>
        <v/>
      </c>
      <c r="D43" s="2" t="str">
        <f>IF(DB_Artworks_Export!A43="","",DB_Artworks_Export!A43)</f>
        <v/>
      </c>
      <c r="E43" s="2" t="str">
        <f>IF(DB_Artworks_Export!B43="","",DB_Artworks_Export!B43)</f>
        <v/>
      </c>
      <c r="F43" s="2" t="str">
        <f>IF(DB_Artworks_Export!C43="","",DB_Artworks_Export!C43)</f>
        <v/>
      </c>
      <c r="G43" s="2" t="str">
        <f>IF(DB_Artworks_Export!D43="","",DB_Artworks_Export!D43)</f>
        <v/>
      </c>
      <c r="H43" s="2" t="str">
        <f>IF(DB_Artworks_Export!E43="","",DB_Artworks_Export!E43)</f>
        <v/>
      </c>
      <c r="I43" s="2" t="str">
        <f>IF(DB_Artworks_Export!F43="","",DB_Artworks_Export!F43)</f>
        <v/>
      </c>
      <c r="J43" s="2" t="str">
        <f>IF(DB_Artworks_Export!G43="","",DB_Artworks_Export!G43)</f>
        <v/>
      </c>
      <c r="K43" s="2" t="str">
        <f>IF(DB_Artworks_Export!H43="","",DB_Artworks_Export!H43)</f>
        <v/>
      </c>
      <c r="L43" s="2" t="str">
        <f>IF(DB_Artworks_Export!I43="","",DB_Artworks_Export!I43)</f>
        <v/>
      </c>
      <c r="M43" s="2" t="str">
        <f>IF(DB_Artworks_Export!J43="","",DB_Artworks_Export!J43)</f>
        <v/>
      </c>
      <c r="N43" s="2" t="str">
        <f>IF(DB_Artworks_Export!K43="","",DB_Artworks_Export!K43)</f>
        <v/>
      </c>
      <c r="O43" s="2" t="str">
        <f>IF(DB_Artworks_Export!L43="","",DB_Artworks_Export!L43)</f>
        <v/>
      </c>
      <c r="P43" s="2" t="str">
        <f>IF(DB_Artworks_Export!M43="","",DB_Artworks_Export!M43)</f>
        <v/>
      </c>
      <c r="Q43" s="2" t="str">
        <f>IF(DB_Artworks_Export!N43="","",DB_Artworks_Export!N43)</f>
        <v/>
      </c>
      <c r="R43" s="2" t="str">
        <f>IF($D43="","",IF(COUNTIF(DB_Categories_Export!$A:$A,$F43)&gt;0,"OK","INVALID CATEGORY"))</f>
        <v/>
      </c>
      <c r="S43" s="2" t="str">
        <f>IF($D43="","",COUNTIF(DB_Artwork_Sizes_Export!$B:$B,$D43))</f>
        <v/>
      </c>
      <c r="T43" s="2" t="str">
        <f>IF($D43="","",IFERROR(INDEX(DB_Artwork_Sizes_Export!$D:$D,MATCH($D43,DB_Artwork_Sizes_Export!$B:$B,0)),""))</f>
        <v/>
      </c>
      <c r="U43" s="2" t="str">
        <f>IF($D43="","",IFERROR(INDEX(DB_Artwork_Sizes_Export!$E:$E,MATCH($D43,DB_Artwork_Sizes_Export!$B:$B,0)),""))</f>
        <v/>
      </c>
      <c r="V43" s="2" t="str">
        <f>IF($D43="","",IFERROR(INDEX(DB_Artwork_Sizes_Export!$F:$F,MATCH($D43,DB_Artwork_Sizes_Export!$B:$B,0)),""))</f>
        <v/>
      </c>
      <c r="W43" s="2" t="str">
        <f t="shared" si="2"/>
        <v/>
      </c>
      <c r="X43" s="2"/>
      <c r="Y43" s="2"/>
      <c r="Z43" s="2"/>
      <c r="AA43" s="2"/>
      <c r="AB43" s="2"/>
      <c r="AC43" s="2"/>
      <c r="AD43" s="2"/>
      <c r="AE43" s="2"/>
      <c r="AF43" s="2" t="str">
        <f t="shared" si="3"/>
        <v/>
      </c>
      <c r="AG43" s="2" t="str">
        <f t="shared" si="4"/>
        <v/>
      </c>
      <c r="AH43" s="2" t="str">
        <f>IF($AG43="","",IFERROR(VLOOKUP($AG43,DB_Categories_Export!$A:$B,2,FALSE()),"INVALID CATEGORY"))</f>
        <v/>
      </c>
      <c r="AI43" s="2" t="str">
        <f t="shared" si="5"/>
        <v/>
      </c>
      <c r="AJ43" s="2" t="str">
        <f t="shared" si="6"/>
        <v/>
      </c>
      <c r="AK43" s="2" t="str">
        <f t="shared" si="7"/>
        <v/>
      </c>
      <c r="AL43" s="2" t="str">
        <f t="shared" si="8"/>
        <v/>
      </c>
      <c r="AM43" s="2" t="str">
        <f t="shared" si="9"/>
        <v/>
      </c>
      <c r="AN43" s="2"/>
      <c r="AO43" s="2"/>
    </row>
    <row r="44" spans="1:41" ht="12" customHeight="1" x14ac:dyDescent="0.3">
      <c r="A44" s="2"/>
      <c r="B44" s="2" t="str">
        <f t="shared" si="0"/>
        <v/>
      </c>
      <c r="C44" s="2" t="str">
        <f t="shared" si="1"/>
        <v/>
      </c>
      <c r="D44" s="2" t="str">
        <f>IF(DB_Artworks_Export!A44="","",DB_Artworks_Export!A44)</f>
        <v/>
      </c>
      <c r="E44" s="2" t="str">
        <f>IF(DB_Artworks_Export!B44="","",DB_Artworks_Export!B44)</f>
        <v/>
      </c>
      <c r="F44" s="2" t="str">
        <f>IF(DB_Artworks_Export!C44="","",DB_Artworks_Export!C44)</f>
        <v/>
      </c>
      <c r="G44" s="2" t="str">
        <f>IF(DB_Artworks_Export!D44="","",DB_Artworks_Export!D44)</f>
        <v/>
      </c>
      <c r="H44" s="2" t="str">
        <f>IF(DB_Artworks_Export!E44="","",DB_Artworks_Export!E44)</f>
        <v/>
      </c>
      <c r="I44" s="2" t="str">
        <f>IF(DB_Artworks_Export!F44="","",DB_Artworks_Export!F44)</f>
        <v/>
      </c>
      <c r="J44" s="2" t="str">
        <f>IF(DB_Artworks_Export!G44="","",DB_Artworks_Export!G44)</f>
        <v/>
      </c>
      <c r="K44" s="2" t="str">
        <f>IF(DB_Artworks_Export!H44="","",DB_Artworks_Export!H44)</f>
        <v/>
      </c>
      <c r="L44" s="2" t="str">
        <f>IF(DB_Artworks_Export!I44="","",DB_Artworks_Export!I44)</f>
        <v/>
      </c>
      <c r="M44" s="2" t="str">
        <f>IF(DB_Artworks_Export!J44="","",DB_Artworks_Export!J44)</f>
        <v/>
      </c>
      <c r="N44" s="2" t="str">
        <f>IF(DB_Artworks_Export!K44="","",DB_Artworks_Export!K44)</f>
        <v/>
      </c>
      <c r="O44" s="2" t="str">
        <f>IF(DB_Artworks_Export!L44="","",DB_Artworks_Export!L44)</f>
        <v/>
      </c>
      <c r="P44" s="2" t="str">
        <f>IF(DB_Artworks_Export!M44="","",DB_Artworks_Export!M44)</f>
        <v/>
      </c>
      <c r="Q44" s="2" t="str">
        <f>IF(DB_Artworks_Export!N44="","",DB_Artworks_Export!N44)</f>
        <v/>
      </c>
      <c r="R44" s="2" t="str">
        <f>IF($D44="","",IF(COUNTIF(DB_Categories_Export!$A:$A,$F44)&gt;0,"OK","INVALID CATEGORY"))</f>
        <v/>
      </c>
      <c r="S44" s="2" t="str">
        <f>IF($D44="","",COUNTIF(DB_Artwork_Sizes_Export!$B:$B,$D44))</f>
        <v/>
      </c>
      <c r="T44" s="2" t="str">
        <f>IF($D44="","",IFERROR(INDEX(DB_Artwork_Sizes_Export!$D:$D,MATCH($D44,DB_Artwork_Sizes_Export!$B:$B,0)),""))</f>
        <v/>
      </c>
      <c r="U44" s="2" t="str">
        <f>IF($D44="","",IFERROR(INDEX(DB_Artwork_Sizes_Export!$E:$E,MATCH($D44,DB_Artwork_Sizes_Export!$B:$B,0)),""))</f>
        <v/>
      </c>
      <c r="V44" s="2" t="str">
        <f>IF($D44="","",IFERROR(INDEX(DB_Artwork_Sizes_Export!$F:$F,MATCH($D44,DB_Artwork_Sizes_Export!$B:$B,0)),""))</f>
        <v/>
      </c>
      <c r="W44" s="2" t="str">
        <f t="shared" si="2"/>
        <v/>
      </c>
      <c r="X44" s="2"/>
      <c r="Y44" s="2"/>
      <c r="Z44" s="2"/>
      <c r="AA44" s="2"/>
      <c r="AB44" s="2"/>
      <c r="AC44" s="2"/>
      <c r="AD44" s="2"/>
      <c r="AE44" s="2"/>
      <c r="AF44" s="2" t="str">
        <f t="shared" si="3"/>
        <v/>
      </c>
      <c r="AG44" s="2" t="str">
        <f t="shared" si="4"/>
        <v/>
      </c>
      <c r="AH44" s="2" t="str">
        <f>IF($AG44="","",IFERROR(VLOOKUP($AG44,DB_Categories_Export!$A:$B,2,FALSE()),"INVALID CATEGORY"))</f>
        <v/>
      </c>
      <c r="AI44" s="2" t="str">
        <f t="shared" si="5"/>
        <v/>
      </c>
      <c r="AJ44" s="2" t="str">
        <f t="shared" si="6"/>
        <v/>
      </c>
      <c r="AK44" s="2" t="str">
        <f t="shared" si="7"/>
        <v/>
      </c>
      <c r="AL44" s="2" t="str">
        <f t="shared" si="8"/>
        <v/>
      </c>
      <c r="AM44" s="2" t="str">
        <f t="shared" si="9"/>
        <v/>
      </c>
      <c r="AN44" s="2"/>
      <c r="AO44" s="2"/>
    </row>
    <row r="45" spans="1:41" ht="12" customHeight="1" x14ac:dyDescent="0.3">
      <c r="A45" s="2"/>
      <c r="B45" s="2" t="str">
        <f t="shared" si="0"/>
        <v/>
      </c>
      <c r="C45" s="2" t="str">
        <f t="shared" si="1"/>
        <v/>
      </c>
      <c r="D45" s="2" t="str">
        <f>IF(DB_Artworks_Export!A45="","",DB_Artworks_Export!A45)</f>
        <v/>
      </c>
      <c r="E45" s="2" t="str">
        <f>IF(DB_Artworks_Export!B45="","",DB_Artworks_Export!B45)</f>
        <v/>
      </c>
      <c r="F45" s="2" t="str">
        <f>IF(DB_Artworks_Export!C45="","",DB_Artworks_Export!C45)</f>
        <v/>
      </c>
      <c r="G45" s="2" t="str">
        <f>IF(DB_Artworks_Export!D45="","",DB_Artworks_Export!D45)</f>
        <v/>
      </c>
      <c r="H45" s="2" t="str">
        <f>IF(DB_Artworks_Export!E45="","",DB_Artworks_Export!E45)</f>
        <v/>
      </c>
      <c r="I45" s="2" t="str">
        <f>IF(DB_Artworks_Export!F45="","",DB_Artworks_Export!F45)</f>
        <v/>
      </c>
      <c r="J45" s="2" t="str">
        <f>IF(DB_Artworks_Export!G45="","",DB_Artworks_Export!G45)</f>
        <v/>
      </c>
      <c r="K45" s="2" t="str">
        <f>IF(DB_Artworks_Export!H45="","",DB_Artworks_Export!H45)</f>
        <v/>
      </c>
      <c r="L45" s="2" t="str">
        <f>IF(DB_Artworks_Export!I45="","",DB_Artworks_Export!I45)</f>
        <v/>
      </c>
      <c r="M45" s="2" t="str">
        <f>IF(DB_Artworks_Export!J45="","",DB_Artworks_Export!J45)</f>
        <v/>
      </c>
      <c r="N45" s="2" t="str">
        <f>IF(DB_Artworks_Export!K45="","",DB_Artworks_Export!K45)</f>
        <v/>
      </c>
      <c r="O45" s="2" t="str">
        <f>IF(DB_Artworks_Export!L45="","",DB_Artworks_Export!L45)</f>
        <v/>
      </c>
      <c r="P45" s="2" t="str">
        <f>IF(DB_Artworks_Export!M45="","",DB_Artworks_Export!M45)</f>
        <v/>
      </c>
      <c r="Q45" s="2" t="str">
        <f>IF(DB_Artworks_Export!N45="","",DB_Artworks_Export!N45)</f>
        <v/>
      </c>
      <c r="R45" s="2" t="str">
        <f>IF($D45="","",IF(COUNTIF(DB_Categories_Export!$A:$A,$F45)&gt;0,"OK","INVALID CATEGORY"))</f>
        <v/>
      </c>
      <c r="S45" s="2" t="str">
        <f>IF($D45="","",COUNTIF(DB_Artwork_Sizes_Export!$B:$B,$D45))</f>
        <v/>
      </c>
      <c r="T45" s="2" t="str">
        <f>IF($D45="","",IFERROR(INDEX(DB_Artwork_Sizes_Export!$D:$D,MATCH($D45,DB_Artwork_Sizes_Export!$B:$B,0)),""))</f>
        <v/>
      </c>
      <c r="U45" s="2" t="str">
        <f>IF($D45="","",IFERROR(INDEX(DB_Artwork_Sizes_Export!$E:$E,MATCH($D45,DB_Artwork_Sizes_Export!$B:$B,0)),""))</f>
        <v/>
      </c>
      <c r="V45" s="2" t="str">
        <f>IF($D45="","",IFERROR(INDEX(DB_Artwork_Sizes_Export!$F:$F,MATCH($D45,DB_Artwork_Sizes_Export!$B:$B,0)),""))</f>
        <v/>
      </c>
      <c r="W45" s="2" t="str">
        <f t="shared" si="2"/>
        <v/>
      </c>
      <c r="X45" s="2"/>
      <c r="Y45" s="2"/>
      <c r="Z45" s="2"/>
      <c r="AA45" s="2"/>
      <c r="AB45" s="2"/>
      <c r="AC45" s="2"/>
      <c r="AD45" s="2"/>
      <c r="AE45" s="2"/>
      <c r="AF45" s="2" t="str">
        <f t="shared" si="3"/>
        <v/>
      </c>
      <c r="AG45" s="2" t="str">
        <f t="shared" si="4"/>
        <v/>
      </c>
      <c r="AH45" s="2" t="str">
        <f>IF($AG45="","",IFERROR(VLOOKUP($AG45,DB_Categories_Export!$A:$B,2,FALSE()),"INVALID CATEGORY"))</f>
        <v/>
      </c>
      <c r="AI45" s="2" t="str">
        <f t="shared" si="5"/>
        <v/>
      </c>
      <c r="AJ45" s="2" t="str">
        <f t="shared" si="6"/>
        <v/>
      </c>
      <c r="AK45" s="2" t="str">
        <f t="shared" si="7"/>
        <v/>
      </c>
      <c r="AL45" s="2" t="str">
        <f t="shared" si="8"/>
        <v/>
      </c>
      <c r="AM45" s="2" t="str">
        <f t="shared" si="9"/>
        <v/>
      </c>
      <c r="AN45" s="2"/>
      <c r="AO45" s="2"/>
    </row>
    <row r="46" spans="1:41" ht="12" customHeight="1" x14ac:dyDescent="0.3">
      <c r="A46" s="2"/>
      <c r="B46" s="2" t="str">
        <f t="shared" si="0"/>
        <v/>
      </c>
      <c r="C46" s="2" t="str">
        <f t="shared" si="1"/>
        <v/>
      </c>
      <c r="D46" s="2" t="str">
        <f>IF(DB_Artworks_Export!A46="","",DB_Artworks_Export!A46)</f>
        <v/>
      </c>
      <c r="E46" s="2" t="str">
        <f>IF(DB_Artworks_Export!B46="","",DB_Artworks_Export!B46)</f>
        <v/>
      </c>
      <c r="F46" s="2" t="str">
        <f>IF(DB_Artworks_Export!C46="","",DB_Artworks_Export!C46)</f>
        <v/>
      </c>
      <c r="G46" s="2" t="str">
        <f>IF(DB_Artworks_Export!D46="","",DB_Artworks_Export!D46)</f>
        <v/>
      </c>
      <c r="H46" s="2" t="str">
        <f>IF(DB_Artworks_Export!E46="","",DB_Artworks_Export!E46)</f>
        <v/>
      </c>
      <c r="I46" s="2" t="str">
        <f>IF(DB_Artworks_Export!F46="","",DB_Artworks_Export!F46)</f>
        <v/>
      </c>
      <c r="J46" s="2" t="str">
        <f>IF(DB_Artworks_Export!G46="","",DB_Artworks_Export!G46)</f>
        <v/>
      </c>
      <c r="K46" s="2" t="str">
        <f>IF(DB_Artworks_Export!H46="","",DB_Artworks_Export!H46)</f>
        <v/>
      </c>
      <c r="L46" s="2" t="str">
        <f>IF(DB_Artworks_Export!I46="","",DB_Artworks_Export!I46)</f>
        <v/>
      </c>
      <c r="M46" s="2" t="str">
        <f>IF(DB_Artworks_Export!J46="","",DB_Artworks_Export!J46)</f>
        <v/>
      </c>
      <c r="N46" s="2" t="str">
        <f>IF(DB_Artworks_Export!K46="","",DB_Artworks_Export!K46)</f>
        <v/>
      </c>
      <c r="O46" s="2" t="str">
        <f>IF(DB_Artworks_Export!L46="","",DB_Artworks_Export!L46)</f>
        <v/>
      </c>
      <c r="P46" s="2" t="str">
        <f>IF(DB_Artworks_Export!M46="","",DB_Artworks_Export!M46)</f>
        <v/>
      </c>
      <c r="Q46" s="2" t="str">
        <f>IF(DB_Artworks_Export!N46="","",DB_Artworks_Export!N46)</f>
        <v/>
      </c>
      <c r="R46" s="2" t="str">
        <f>IF($D46="","",IF(COUNTIF(DB_Categories_Export!$A:$A,$F46)&gt;0,"OK","INVALID CATEGORY"))</f>
        <v/>
      </c>
      <c r="S46" s="2" t="str">
        <f>IF($D46="","",COUNTIF(DB_Artwork_Sizes_Export!$B:$B,$D46))</f>
        <v/>
      </c>
      <c r="T46" s="2" t="str">
        <f>IF($D46="","",IFERROR(INDEX(DB_Artwork_Sizes_Export!$D:$D,MATCH($D46,DB_Artwork_Sizes_Export!$B:$B,0)),""))</f>
        <v/>
      </c>
      <c r="U46" s="2" t="str">
        <f>IF($D46="","",IFERROR(INDEX(DB_Artwork_Sizes_Export!$E:$E,MATCH($D46,DB_Artwork_Sizes_Export!$B:$B,0)),""))</f>
        <v/>
      </c>
      <c r="V46" s="2" t="str">
        <f>IF($D46="","",IFERROR(INDEX(DB_Artwork_Sizes_Export!$F:$F,MATCH($D46,DB_Artwork_Sizes_Export!$B:$B,0)),""))</f>
        <v/>
      </c>
      <c r="W46" s="2" t="str">
        <f t="shared" si="2"/>
        <v/>
      </c>
      <c r="X46" s="2"/>
      <c r="Y46" s="2"/>
      <c r="Z46" s="2"/>
      <c r="AA46" s="2"/>
      <c r="AB46" s="2"/>
      <c r="AC46" s="2"/>
      <c r="AD46" s="2"/>
      <c r="AE46" s="2"/>
      <c r="AF46" s="2" t="str">
        <f t="shared" si="3"/>
        <v/>
      </c>
      <c r="AG46" s="2" t="str">
        <f t="shared" si="4"/>
        <v/>
      </c>
      <c r="AH46" s="2" t="str">
        <f>IF($AG46="","",IFERROR(VLOOKUP($AG46,DB_Categories_Export!$A:$B,2,FALSE()),"INVALID CATEGORY"))</f>
        <v/>
      </c>
      <c r="AI46" s="2" t="str">
        <f t="shared" si="5"/>
        <v/>
      </c>
      <c r="AJ46" s="2" t="str">
        <f t="shared" si="6"/>
        <v/>
      </c>
      <c r="AK46" s="2" t="str">
        <f t="shared" si="7"/>
        <v/>
      </c>
      <c r="AL46" s="2" t="str">
        <f t="shared" si="8"/>
        <v/>
      </c>
      <c r="AM46" s="2" t="str">
        <f t="shared" si="9"/>
        <v/>
      </c>
      <c r="AN46" s="2"/>
      <c r="AO46" s="2"/>
    </row>
    <row r="47" spans="1:41" ht="12" customHeight="1" x14ac:dyDescent="0.3">
      <c r="A47" s="2"/>
      <c r="B47" s="2" t="str">
        <f t="shared" si="0"/>
        <v/>
      </c>
      <c r="C47" s="2" t="str">
        <f t="shared" si="1"/>
        <v/>
      </c>
      <c r="D47" s="2" t="str">
        <f>IF(DB_Artworks_Export!A47="","",DB_Artworks_Export!A47)</f>
        <v/>
      </c>
      <c r="E47" s="2" t="str">
        <f>IF(DB_Artworks_Export!B47="","",DB_Artworks_Export!B47)</f>
        <v/>
      </c>
      <c r="F47" s="2" t="str">
        <f>IF(DB_Artworks_Export!C47="","",DB_Artworks_Export!C47)</f>
        <v/>
      </c>
      <c r="G47" s="2" t="str">
        <f>IF(DB_Artworks_Export!D47="","",DB_Artworks_Export!D47)</f>
        <v/>
      </c>
      <c r="H47" s="2" t="str">
        <f>IF(DB_Artworks_Export!E47="","",DB_Artworks_Export!E47)</f>
        <v/>
      </c>
      <c r="I47" s="2" t="str">
        <f>IF(DB_Artworks_Export!F47="","",DB_Artworks_Export!F47)</f>
        <v/>
      </c>
      <c r="J47" s="2" t="str">
        <f>IF(DB_Artworks_Export!G47="","",DB_Artworks_Export!G47)</f>
        <v/>
      </c>
      <c r="K47" s="2" t="str">
        <f>IF(DB_Artworks_Export!H47="","",DB_Artworks_Export!H47)</f>
        <v/>
      </c>
      <c r="L47" s="2" t="str">
        <f>IF(DB_Artworks_Export!I47="","",DB_Artworks_Export!I47)</f>
        <v/>
      </c>
      <c r="M47" s="2" t="str">
        <f>IF(DB_Artworks_Export!J47="","",DB_Artworks_Export!J47)</f>
        <v/>
      </c>
      <c r="N47" s="2" t="str">
        <f>IF(DB_Artworks_Export!K47="","",DB_Artworks_Export!K47)</f>
        <v/>
      </c>
      <c r="O47" s="2" t="str">
        <f>IF(DB_Artworks_Export!L47="","",DB_Artworks_Export!L47)</f>
        <v/>
      </c>
      <c r="P47" s="2" t="str">
        <f>IF(DB_Artworks_Export!M47="","",DB_Artworks_Export!M47)</f>
        <v/>
      </c>
      <c r="Q47" s="2" t="str">
        <f>IF(DB_Artworks_Export!N47="","",DB_Artworks_Export!N47)</f>
        <v/>
      </c>
      <c r="R47" s="2" t="str">
        <f>IF($D47="","",IF(COUNTIF(DB_Categories_Export!$A:$A,$F47)&gt;0,"OK","INVALID CATEGORY"))</f>
        <v/>
      </c>
      <c r="S47" s="2" t="str">
        <f>IF($D47="","",COUNTIF(DB_Artwork_Sizes_Export!$B:$B,$D47))</f>
        <v/>
      </c>
      <c r="T47" s="2" t="str">
        <f>IF($D47="","",IFERROR(INDEX(DB_Artwork_Sizes_Export!$D:$D,MATCH($D47,DB_Artwork_Sizes_Export!$B:$B,0)),""))</f>
        <v/>
      </c>
      <c r="U47" s="2" t="str">
        <f>IF($D47="","",IFERROR(INDEX(DB_Artwork_Sizes_Export!$E:$E,MATCH($D47,DB_Artwork_Sizes_Export!$B:$B,0)),""))</f>
        <v/>
      </c>
      <c r="V47" s="2" t="str">
        <f>IF($D47="","",IFERROR(INDEX(DB_Artwork_Sizes_Export!$F:$F,MATCH($D47,DB_Artwork_Sizes_Export!$B:$B,0)),""))</f>
        <v/>
      </c>
      <c r="W47" s="2" t="str">
        <f t="shared" si="2"/>
        <v/>
      </c>
      <c r="X47" s="2"/>
      <c r="Y47" s="2"/>
      <c r="Z47" s="2"/>
      <c r="AA47" s="2"/>
      <c r="AB47" s="2"/>
      <c r="AC47" s="2"/>
      <c r="AD47" s="2"/>
      <c r="AE47" s="2"/>
      <c r="AF47" s="2" t="str">
        <f t="shared" si="3"/>
        <v/>
      </c>
      <c r="AG47" s="2" t="str">
        <f t="shared" si="4"/>
        <v/>
      </c>
      <c r="AH47" s="2" t="str">
        <f>IF($AG47="","",IFERROR(VLOOKUP($AG47,DB_Categories_Export!$A:$B,2,FALSE()),"INVALID CATEGORY"))</f>
        <v/>
      </c>
      <c r="AI47" s="2" t="str">
        <f t="shared" si="5"/>
        <v/>
      </c>
      <c r="AJ47" s="2" t="str">
        <f t="shared" si="6"/>
        <v/>
      </c>
      <c r="AK47" s="2" t="str">
        <f t="shared" si="7"/>
        <v/>
      </c>
      <c r="AL47" s="2" t="str">
        <f t="shared" si="8"/>
        <v/>
      </c>
      <c r="AM47" s="2" t="str">
        <f t="shared" si="9"/>
        <v/>
      </c>
      <c r="AN47" s="2"/>
      <c r="AO47" s="2"/>
    </row>
    <row r="48" spans="1:41" ht="12" customHeight="1" x14ac:dyDescent="0.3">
      <c r="A48" s="2"/>
      <c r="B48" s="2" t="str">
        <f t="shared" si="0"/>
        <v/>
      </c>
      <c r="C48" s="2" t="str">
        <f t="shared" si="1"/>
        <v/>
      </c>
      <c r="D48" s="2" t="str">
        <f>IF(DB_Artworks_Export!A48="","",DB_Artworks_Export!A48)</f>
        <v/>
      </c>
      <c r="E48" s="2" t="str">
        <f>IF(DB_Artworks_Export!B48="","",DB_Artworks_Export!B48)</f>
        <v/>
      </c>
      <c r="F48" s="2" t="str">
        <f>IF(DB_Artworks_Export!C48="","",DB_Artworks_Export!C48)</f>
        <v/>
      </c>
      <c r="G48" s="2" t="str">
        <f>IF(DB_Artworks_Export!D48="","",DB_Artworks_Export!D48)</f>
        <v/>
      </c>
      <c r="H48" s="2" t="str">
        <f>IF(DB_Artworks_Export!E48="","",DB_Artworks_Export!E48)</f>
        <v/>
      </c>
      <c r="I48" s="2" t="str">
        <f>IF(DB_Artworks_Export!F48="","",DB_Artworks_Export!F48)</f>
        <v/>
      </c>
      <c r="J48" s="2" t="str">
        <f>IF(DB_Artworks_Export!G48="","",DB_Artworks_Export!G48)</f>
        <v/>
      </c>
      <c r="K48" s="2" t="str">
        <f>IF(DB_Artworks_Export!H48="","",DB_Artworks_Export!H48)</f>
        <v/>
      </c>
      <c r="L48" s="2" t="str">
        <f>IF(DB_Artworks_Export!I48="","",DB_Artworks_Export!I48)</f>
        <v/>
      </c>
      <c r="M48" s="2" t="str">
        <f>IF(DB_Artworks_Export!J48="","",DB_Artworks_Export!J48)</f>
        <v/>
      </c>
      <c r="N48" s="2" t="str">
        <f>IF(DB_Artworks_Export!K48="","",DB_Artworks_Export!K48)</f>
        <v/>
      </c>
      <c r="O48" s="2" t="str">
        <f>IF(DB_Artworks_Export!L48="","",DB_Artworks_Export!L48)</f>
        <v/>
      </c>
      <c r="P48" s="2" t="str">
        <f>IF(DB_Artworks_Export!M48="","",DB_Artworks_Export!M48)</f>
        <v/>
      </c>
      <c r="Q48" s="2" t="str">
        <f>IF(DB_Artworks_Export!N48="","",DB_Artworks_Export!N48)</f>
        <v/>
      </c>
      <c r="R48" s="2" t="str">
        <f>IF($D48="","",IF(COUNTIF(DB_Categories_Export!$A:$A,$F48)&gt;0,"OK","INVALID CATEGORY"))</f>
        <v/>
      </c>
      <c r="S48" s="2" t="str">
        <f>IF($D48="","",COUNTIF(DB_Artwork_Sizes_Export!$B:$B,$D48))</f>
        <v/>
      </c>
      <c r="T48" s="2" t="str">
        <f>IF($D48="","",IFERROR(INDEX(DB_Artwork_Sizes_Export!$D:$D,MATCH($D48,DB_Artwork_Sizes_Export!$B:$B,0)),""))</f>
        <v/>
      </c>
      <c r="U48" s="2" t="str">
        <f>IF($D48="","",IFERROR(INDEX(DB_Artwork_Sizes_Export!$E:$E,MATCH($D48,DB_Artwork_Sizes_Export!$B:$B,0)),""))</f>
        <v/>
      </c>
      <c r="V48" s="2" t="str">
        <f>IF($D48="","",IFERROR(INDEX(DB_Artwork_Sizes_Export!$F:$F,MATCH($D48,DB_Artwork_Sizes_Export!$B:$B,0)),""))</f>
        <v/>
      </c>
      <c r="W48" s="2" t="str">
        <f t="shared" si="2"/>
        <v/>
      </c>
      <c r="X48" s="2"/>
      <c r="Y48" s="2"/>
      <c r="Z48" s="2"/>
      <c r="AA48" s="2"/>
      <c r="AB48" s="2"/>
      <c r="AC48" s="2"/>
      <c r="AD48" s="2"/>
      <c r="AE48" s="2"/>
      <c r="AF48" s="2" t="str">
        <f t="shared" si="3"/>
        <v/>
      </c>
      <c r="AG48" s="2" t="str">
        <f t="shared" si="4"/>
        <v/>
      </c>
      <c r="AH48" s="2" t="str">
        <f>IF($AG48="","",IFERROR(VLOOKUP($AG48,DB_Categories_Export!$A:$B,2,FALSE()),"INVALID CATEGORY"))</f>
        <v/>
      </c>
      <c r="AI48" s="2" t="str">
        <f t="shared" si="5"/>
        <v/>
      </c>
      <c r="AJ48" s="2" t="str">
        <f t="shared" si="6"/>
        <v/>
      </c>
      <c r="AK48" s="2" t="str">
        <f t="shared" si="7"/>
        <v/>
      </c>
      <c r="AL48" s="2" t="str">
        <f t="shared" si="8"/>
        <v/>
      </c>
      <c r="AM48" s="2" t="str">
        <f t="shared" si="9"/>
        <v/>
      </c>
      <c r="AN48" s="2"/>
      <c r="AO48" s="2"/>
    </row>
    <row r="49" spans="1:41" ht="12" customHeight="1" x14ac:dyDescent="0.3">
      <c r="A49" s="2"/>
      <c r="B49" s="2" t="str">
        <f t="shared" si="0"/>
        <v/>
      </c>
      <c r="C49" s="2" t="str">
        <f t="shared" si="1"/>
        <v/>
      </c>
      <c r="D49" s="2" t="str">
        <f>IF(DB_Artworks_Export!A49="","",DB_Artworks_Export!A49)</f>
        <v/>
      </c>
      <c r="E49" s="2" t="str">
        <f>IF(DB_Artworks_Export!B49="","",DB_Artworks_Export!B49)</f>
        <v/>
      </c>
      <c r="F49" s="2" t="str">
        <f>IF(DB_Artworks_Export!C49="","",DB_Artworks_Export!C49)</f>
        <v/>
      </c>
      <c r="G49" s="2" t="str">
        <f>IF(DB_Artworks_Export!D49="","",DB_Artworks_Export!D49)</f>
        <v/>
      </c>
      <c r="H49" s="2" t="str">
        <f>IF(DB_Artworks_Export!E49="","",DB_Artworks_Export!E49)</f>
        <v/>
      </c>
      <c r="I49" s="2" t="str">
        <f>IF(DB_Artworks_Export!F49="","",DB_Artworks_Export!F49)</f>
        <v/>
      </c>
      <c r="J49" s="2" t="str">
        <f>IF(DB_Artworks_Export!G49="","",DB_Artworks_Export!G49)</f>
        <v/>
      </c>
      <c r="K49" s="2" t="str">
        <f>IF(DB_Artworks_Export!H49="","",DB_Artworks_Export!H49)</f>
        <v/>
      </c>
      <c r="L49" s="2" t="str">
        <f>IF(DB_Artworks_Export!I49="","",DB_Artworks_Export!I49)</f>
        <v/>
      </c>
      <c r="M49" s="2" t="str">
        <f>IF(DB_Artworks_Export!J49="","",DB_Artworks_Export!J49)</f>
        <v/>
      </c>
      <c r="N49" s="2" t="str">
        <f>IF(DB_Artworks_Export!K49="","",DB_Artworks_Export!K49)</f>
        <v/>
      </c>
      <c r="O49" s="2" t="str">
        <f>IF(DB_Artworks_Export!L49="","",DB_Artworks_Export!L49)</f>
        <v/>
      </c>
      <c r="P49" s="2" t="str">
        <f>IF(DB_Artworks_Export!M49="","",DB_Artworks_Export!M49)</f>
        <v/>
      </c>
      <c r="Q49" s="2" t="str">
        <f>IF(DB_Artworks_Export!N49="","",DB_Artworks_Export!N49)</f>
        <v/>
      </c>
      <c r="R49" s="2" t="str">
        <f>IF($D49="","",IF(COUNTIF(DB_Categories_Export!$A:$A,$F49)&gt;0,"OK","INVALID CATEGORY"))</f>
        <v/>
      </c>
      <c r="S49" s="2" t="str">
        <f>IF($D49="","",COUNTIF(DB_Artwork_Sizes_Export!$B:$B,$D49))</f>
        <v/>
      </c>
      <c r="T49" s="2" t="str">
        <f>IF($D49="","",IFERROR(INDEX(DB_Artwork_Sizes_Export!$D:$D,MATCH($D49,DB_Artwork_Sizes_Export!$B:$B,0)),""))</f>
        <v/>
      </c>
      <c r="U49" s="2" t="str">
        <f>IF($D49="","",IFERROR(INDEX(DB_Artwork_Sizes_Export!$E:$E,MATCH($D49,DB_Artwork_Sizes_Export!$B:$B,0)),""))</f>
        <v/>
      </c>
      <c r="V49" s="2" t="str">
        <f>IF($D49="","",IFERROR(INDEX(DB_Artwork_Sizes_Export!$F:$F,MATCH($D49,DB_Artwork_Sizes_Export!$B:$B,0)),""))</f>
        <v/>
      </c>
      <c r="W49" s="2" t="str">
        <f t="shared" si="2"/>
        <v/>
      </c>
      <c r="X49" s="2"/>
      <c r="Y49" s="2"/>
      <c r="Z49" s="2"/>
      <c r="AA49" s="2"/>
      <c r="AB49" s="2"/>
      <c r="AC49" s="2"/>
      <c r="AD49" s="2"/>
      <c r="AE49" s="2"/>
      <c r="AF49" s="2" t="str">
        <f t="shared" si="3"/>
        <v/>
      </c>
      <c r="AG49" s="2" t="str">
        <f t="shared" si="4"/>
        <v/>
      </c>
      <c r="AH49" s="2" t="str">
        <f>IF($AG49="","",IFERROR(VLOOKUP($AG49,DB_Categories_Export!$A:$B,2,FALSE()),"INVALID CATEGORY"))</f>
        <v/>
      </c>
      <c r="AI49" s="2" t="str">
        <f t="shared" si="5"/>
        <v/>
      </c>
      <c r="AJ49" s="2" t="str">
        <f t="shared" si="6"/>
        <v/>
      </c>
      <c r="AK49" s="2" t="str">
        <f t="shared" si="7"/>
        <v/>
      </c>
      <c r="AL49" s="2" t="str">
        <f t="shared" si="8"/>
        <v/>
      </c>
      <c r="AM49" s="2" t="str">
        <f t="shared" si="9"/>
        <v/>
      </c>
      <c r="AN49" s="2"/>
      <c r="AO49" s="2"/>
    </row>
    <row r="50" spans="1:41" ht="12" customHeight="1" x14ac:dyDescent="0.3">
      <c r="A50" s="2"/>
      <c r="B50" s="2" t="str">
        <f t="shared" si="0"/>
        <v/>
      </c>
      <c r="C50" s="2" t="str">
        <f t="shared" si="1"/>
        <v/>
      </c>
      <c r="D50" s="2" t="str">
        <f>IF(DB_Artworks_Export!A50="","",DB_Artworks_Export!A50)</f>
        <v/>
      </c>
      <c r="E50" s="2" t="str">
        <f>IF(DB_Artworks_Export!B50="","",DB_Artworks_Export!B50)</f>
        <v/>
      </c>
      <c r="F50" s="2" t="str">
        <f>IF(DB_Artworks_Export!C50="","",DB_Artworks_Export!C50)</f>
        <v/>
      </c>
      <c r="G50" s="2" t="str">
        <f>IF(DB_Artworks_Export!D50="","",DB_Artworks_Export!D50)</f>
        <v/>
      </c>
      <c r="H50" s="2" t="str">
        <f>IF(DB_Artworks_Export!E50="","",DB_Artworks_Export!E50)</f>
        <v/>
      </c>
      <c r="I50" s="2" t="str">
        <f>IF(DB_Artworks_Export!F50="","",DB_Artworks_Export!F50)</f>
        <v/>
      </c>
      <c r="J50" s="2" t="str">
        <f>IF(DB_Artworks_Export!G50="","",DB_Artworks_Export!G50)</f>
        <v/>
      </c>
      <c r="K50" s="2" t="str">
        <f>IF(DB_Artworks_Export!H50="","",DB_Artworks_Export!H50)</f>
        <v/>
      </c>
      <c r="L50" s="2" t="str">
        <f>IF(DB_Artworks_Export!I50="","",DB_Artworks_Export!I50)</f>
        <v/>
      </c>
      <c r="M50" s="2" t="str">
        <f>IF(DB_Artworks_Export!J50="","",DB_Artworks_Export!J50)</f>
        <v/>
      </c>
      <c r="N50" s="2" t="str">
        <f>IF(DB_Artworks_Export!K50="","",DB_Artworks_Export!K50)</f>
        <v/>
      </c>
      <c r="O50" s="2" t="str">
        <f>IF(DB_Artworks_Export!L50="","",DB_Artworks_Export!L50)</f>
        <v/>
      </c>
      <c r="P50" s="2" t="str">
        <f>IF(DB_Artworks_Export!M50="","",DB_Artworks_Export!M50)</f>
        <v/>
      </c>
      <c r="Q50" s="2" t="str">
        <f>IF(DB_Artworks_Export!N50="","",DB_Artworks_Export!N50)</f>
        <v/>
      </c>
      <c r="R50" s="2" t="str">
        <f>IF($D50="","",IF(COUNTIF(DB_Categories_Export!$A:$A,$F50)&gt;0,"OK","INVALID CATEGORY"))</f>
        <v/>
      </c>
      <c r="S50" s="2" t="str">
        <f>IF($D50="","",COUNTIF(DB_Artwork_Sizes_Export!$B:$B,$D50))</f>
        <v/>
      </c>
      <c r="T50" s="2" t="str">
        <f>IF($D50="","",IFERROR(INDEX(DB_Artwork_Sizes_Export!$D:$D,MATCH($D50,DB_Artwork_Sizes_Export!$B:$B,0)),""))</f>
        <v/>
      </c>
      <c r="U50" s="2" t="str">
        <f>IF($D50="","",IFERROR(INDEX(DB_Artwork_Sizes_Export!$E:$E,MATCH($D50,DB_Artwork_Sizes_Export!$B:$B,0)),""))</f>
        <v/>
      </c>
      <c r="V50" s="2" t="str">
        <f>IF($D50="","",IFERROR(INDEX(DB_Artwork_Sizes_Export!$F:$F,MATCH($D50,DB_Artwork_Sizes_Export!$B:$B,0)),""))</f>
        <v/>
      </c>
      <c r="W50" s="2" t="str">
        <f t="shared" si="2"/>
        <v/>
      </c>
      <c r="X50" s="2"/>
      <c r="Y50" s="2"/>
      <c r="Z50" s="2"/>
      <c r="AA50" s="2"/>
      <c r="AB50" s="2"/>
      <c r="AC50" s="2"/>
      <c r="AD50" s="2"/>
      <c r="AE50" s="2"/>
      <c r="AF50" s="2" t="str">
        <f t="shared" si="3"/>
        <v/>
      </c>
      <c r="AG50" s="2" t="str">
        <f t="shared" si="4"/>
        <v/>
      </c>
      <c r="AH50" s="2" t="str">
        <f>IF($AG50="","",IFERROR(VLOOKUP($AG50,DB_Categories_Export!$A:$B,2,FALSE()),"INVALID CATEGORY"))</f>
        <v/>
      </c>
      <c r="AI50" s="2" t="str">
        <f t="shared" si="5"/>
        <v/>
      </c>
      <c r="AJ50" s="2" t="str">
        <f t="shared" si="6"/>
        <v/>
      </c>
      <c r="AK50" s="2" t="str">
        <f t="shared" si="7"/>
        <v/>
      </c>
      <c r="AL50" s="2" t="str">
        <f t="shared" si="8"/>
        <v/>
      </c>
      <c r="AM50" s="2" t="str">
        <f t="shared" si="9"/>
        <v/>
      </c>
      <c r="AN50" s="2"/>
      <c r="AO50" s="2"/>
    </row>
    <row r="51" spans="1:41" ht="12" customHeight="1" x14ac:dyDescent="0.3">
      <c r="A51" s="2"/>
      <c r="B51" s="2" t="str">
        <f t="shared" si="0"/>
        <v/>
      </c>
      <c r="C51" s="2" t="str">
        <f t="shared" si="1"/>
        <v/>
      </c>
      <c r="D51" s="2" t="str">
        <f>IF(DB_Artworks_Export!A51="","",DB_Artworks_Export!A51)</f>
        <v/>
      </c>
      <c r="E51" s="2" t="str">
        <f>IF(DB_Artworks_Export!B51="","",DB_Artworks_Export!B51)</f>
        <v/>
      </c>
      <c r="F51" s="2" t="str">
        <f>IF(DB_Artworks_Export!C51="","",DB_Artworks_Export!C51)</f>
        <v/>
      </c>
      <c r="G51" s="2" t="str">
        <f>IF(DB_Artworks_Export!D51="","",DB_Artworks_Export!D51)</f>
        <v/>
      </c>
      <c r="H51" s="2" t="str">
        <f>IF(DB_Artworks_Export!E51="","",DB_Artworks_Export!E51)</f>
        <v/>
      </c>
      <c r="I51" s="2" t="str">
        <f>IF(DB_Artworks_Export!F51="","",DB_Artworks_Export!F51)</f>
        <v/>
      </c>
      <c r="J51" s="2" t="str">
        <f>IF(DB_Artworks_Export!G51="","",DB_Artworks_Export!G51)</f>
        <v/>
      </c>
      <c r="K51" s="2" t="str">
        <f>IF(DB_Artworks_Export!H51="","",DB_Artworks_Export!H51)</f>
        <v/>
      </c>
      <c r="L51" s="2" t="str">
        <f>IF(DB_Artworks_Export!I51="","",DB_Artworks_Export!I51)</f>
        <v/>
      </c>
      <c r="M51" s="2" t="str">
        <f>IF(DB_Artworks_Export!J51="","",DB_Artworks_Export!J51)</f>
        <v/>
      </c>
      <c r="N51" s="2" t="str">
        <f>IF(DB_Artworks_Export!K51="","",DB_Artworks_Export!K51)</f>
        <v/>
      </c>
      <c r="O51" s="2" t="str">
        <f>IF(DB_Artworks_Export!L51="","",DB_Artworks_Export!L51)</f>
        <v/>
      </c>
      <c r="P51" s="2" t="str">
        <f>IF(DB_Artworks_Export!M51="","",DB_Artworks_Export!M51)</f>
        <v/>
      </c>
      <c r="Q51" s="2" t="str">
        <f>IF(DB_Artworks_Export!N51="","",DB_Artworks_Export!N51)</f>
        <v/>
      </c>
      <c r="R51" s="2" t="str">
        <f>IF($D51="","",IF(COUNTIF(DB_Categories_Export!$A:$A,$F51)&gt;0,"OK","INVALID CATEGORY"))</f>
        <v/>
      </c>
      <c r="S51" s="2" t="str">
        <f>IF($D51="","",COUNTIF(DB_Artwork_Sizes_Export!$B:$B,$D51))</f>
        <v/>
      </c>
      <c r="T51" s="2" t="str">
        <f>IF($D51="","",IFERROR(INDEX(DB_Artwork_Sizes_Export!$D:$D,MATCH($D51,DB_Artwork_Sizes_Export!$B:$B,0)),""))</f>
        <v/>
      </c>
      <c r="U51" s="2" t="str">
        <f>IF($D51="","",IFERROR(INDEX(DB_Artwork_Sizes_Export!$E:$E,MATCH($D51,DB_Artwork_Sizes_Export!$B:$B,0)),""))</f>
        <v/>
      </c>
      <c r="V51" s="2" t="str">
        <f>IF($D51="","",IFERROR(INDEX(DB_Artwork_Sizes_Export!$F:$F,MATCH($D51,DB_Artwork_Sizes_Export!$B:$B,0)),""))</f>
        <v/>
      </c>
      <c r="W51" s="2" t="str">
        <f t="shared" si="2"/>
        <v/>
      </c>
      <c r="X51" s="2"/>
      <c r="Y51" s="2"/>
      <c r="Z51" s="2"/>
      <c r="AA51" s="2"/>
      <c r="AB51" s="2"/>
      <c r="AC51" s="2"/>
      <c r="AD51" s="2"/>
      <c r="AE51" s="2"/>
      <c r="AF51" s="2" t="str">
        <f t="shared" si="3"/>
        <v/>
      </c>
      <c r="AG51" s="2" t="str">
        <f t="shared" si="4"/>
        <v/>
      </c>
      <c r="AH51" s="2" t="str">
        <f>IF($AG51="","",IFERROR(VLOOKUP($AG51,DB_Categories_Export!$A:$B,2,FALSE()),"INVALID CATEGORY"))</f>
        <v/>
      </c>
      <c r="AI51" s="2" t="str">
        <f t="shared" si="5"/>
        <v/>
      </c>
      <c r="AJ51" s="2" t="str">
        <f t="shared" si="6"/>
        <v/>
      </c>
      <c r="AK51" s="2" t="str">
        <f t="shared" si="7"/>
        <v/>
      </c>
      <c r="AL51" s="2" t="str">
        <f t="shared" si="8"/>
        <v/>
      </c>
      <c r="AM51" s="2" t="str">
        <f t="shared" si="9"/>
        <v/>
      </c>
      <c r="AN51" s="2"/>
      <c r="AO51" s="2"/>
    </row>
    <row r="52" spans="1:41" ht="12" customHeight="1" x14ac:dyDescent="0.3">
      <c r="A52" s="2"/>
      <c r="B52" s="2" t="str">
        <f t="shared" si="0"/>
        <v/>
      </c>
      <c r="C52" s="2" t="str">
        <f t="shared" si="1"/>
        <v/>
      </c>
      <c r="D52" s="2" t="str">
        <f>IF(DB_Artworks_Export!A52="","",DB_Artworks_Export!A52)</f>
        <v/>
      </c>
      <c r="E52" s="2" t="str">
        <f>IF(DB_Artworks_Export!B52="","",DB_Artworks_Export!B52)</f>
        <v/>
      </c>
      <c r="F52" s="2" t="str">
        <f>IF(DB_Artworks_Export!C52="","",DB_Artworks_Export!C52)</f>
        <v/>
      </c>
      <c r="G52" s="2" t="str">
        <f>IF(DB_Artworks_Export!D52="","",DB_Artworks_Export!D52)</f>
        <v/>
      </c>
      <c r="H52" s="2" t="str">
        <f>IF(DB_Artworks_Export!E52="","",DB_Artworks_Export!E52)</f>
        <v/>
      </c>
      <c r="I52" s="2" t="str">
        <f>IF(DB_Artworks_Export!F52="","",DB_Artworks_Export!F52)</f>
        <v/>
      </c>
      <c r="J52" s="2" t="str">
        <f>IF(DB_Artworks_Export!G52="","",DB_Artworks_Export!G52)</f>
        <v/>
      </c>
      <c r="K52" s="2" t="str">
        <f>IF(DB_Artworks_Export!H52="","",DB_Artworks_Export!H52)</f>
        <v/>
      </c>
      <c r="L52" s="2" t="str">
        <f>IF(DB_Artworks_Export!I52="","",DB_Artworks_Export!I52)</f>
        <v/>
      </c>
      <c r="M52" s="2" t="str">
        <f>IF(DB_Artworks_Export!J52="","",DB_Artworks_Export!J52)</f>
        <v/>
      </c>
      <c r="N52" s="2" t="str">
        <f>IF(DB_Artworks_Export!K52="","",DB_Artworks_Export!K52)</f>
        <v/>
      </c>
      <c r="O52" s="2" t="str">
        <f>IF(DB_Artworks_Export!L52="","",DB_Artworks_Export!L52)</f>
        <v/>
      </c>
      <c r="P52" s="2" t="str">
        <f>IF(DB_Artworks_Export!M52="","",DB_Artworks_Export!M52)</f>
        <v/>
      </c>
      <c r="Q52" s="2" t="str">
        <f>IF(DB_Artworks_Export!N52="","",DB_Artworks_Export!N52)</f>
        <v/>
      </c>
      <c r="R52" s="2" t="str">
        <f>IF($D52="","",IF(COUNTIF(DB_Categories_Export!$A:$A,$F52)&gt;0,"OK","INVALID CATEGORY"))</f>
        <v/>
      </c>
      <c r="S52" s="2" t="str">
        <f>IF($D52="","",COUNTIF(DB_Artwork_Sizes_Export!$B:$B,$D52))</f>
        <v/>
      </c>
      <c r="T52" s="2" t="str">
        <f>IF($D52="","",IFERROR(INDEX(DB_Artwork_Sizes_Export!$D:$D,MATCH($D52,DB_Artwork_Sizes_Export!$B:$B,0)),""))</f>
        <v/>
      </c>
      <c r="U52" s="2" t="str">
        <f>IF($D52="","",IFERROR(INDEX(DB_Artwork_Sizes_Export!$E:$E,MATCH($D52,DB_Artwork_Sizes_Export!$B:$B,0)),""))</f>
        <v/>
      </c>
      <c r="V52" s="2" t="str">
        <f>IF($D52="","",IFERROR(INDEX(DB_Artwork_Sizes_Export!$F:$F,MATCH($D52,DB_Artwork_Sizes_Export!$B:$B,0)),""))</f>
        <v/>
      </c>
      <c r="W52" s="2" t="str">
        <f t="shared" si="2"/>
        <v/>
      </c>
      <c r="X52" s="2"/>
      <c r="Y52" s="2"/>
      <c r="Z52" s="2"/>
      <c r="AA52" s="2"/>
      <c r="AB52" s="2"/>
      <c r="AC52" s="2"/>
      <c r="AD52" s="2"/>
      <c r="AE52" s="2"/>
      <c r="AF52" s="2" t="str">
        <f t="shared" si="3"/>
        <v/>
      </c>
      <c r="AG52" s="2" t="str">
        <f t="shared" si="4"/>
        <v/>
      </c>
      <c r="AH52" s="2" t="str">
        <f>IF($AG52="","",IFERROR(VLOOKUP($AG52,DB_Categories_Export!$A:$B,2,FALSE()),"INVALID CATEGORY"))</f>
        <v/>
      </c>
      <c r="AI52" s="2" t="str">
        <f t="shared" si="5"/>
        <v/>
      </c>
      <c r="AJ52" s="2" t="str">
        <f t="shared" si="6"/>
        <v/>
      </c>
      <c r="AK52" s="2" t="str">
        <f t="shared" si="7"/>
        <v/>
      </c>
      <c r="AL52" s="2" t="str">
        <f t="shared" si="8"/>
        <v/>
      </c>
      <c r="AM52" s="2" t="str">
        <f t="shared" si="9"/>
        <v/>
      </c>
      <c r="AN52" s="2"/>
      <c r="AO52" s="2"/>
    </row>
    <row r="53" spans="1:41" ht="12" customHeight="1" x14ac:dyDescent="0.3">
      <c r="A53" s="2"/>
      <c r="B53" s="2" t="str">
        <f t="shared" si="0"/>
        <v/>
      </c>
      <c r="C53" s="2" t="str">
        <f t="shared" si="1"/>
        <v/>
      </c>
      <c r="D53" s="2" t="str">
        <f>IF(DB_Artworks_Export!A53="","",DB_Artworks_Export!A53)</f>
        <v/>
      </c>
      <c r="E53" s="2" t="str">
        <f>IF(DB_Artworks_Export!B53="","",DB_Artworks_Export!B53)</f>
        <v/>
      </c>
      <c r="F53" s="2" t="str">
        <f>IF(DB_Artworks_Export!C53="","",DB_Artworks_Export!C53)</f>
        <v/>
      </c>
      <c r="G53" s="2" t="str">
        <f>IF(DB_Artworks_Export!D53="","",DB_Artworks_Export!D53)</f>
        <v/>
      </c>
      <c r="H53" s="2" t="str">
        <f>IF(DB_Artworks_Export!E53="","",DB_Artworks_Export!E53)</f>
        <v/>
      </c>
      <c r="I53" s="2" t="str">
        <f>IF(DB_Artworks_Export!F53="","",DB_Artworks_Export!F53)</f>
        <v/>
      </c>
      <c r="J53" s="2" t="str">
        <f>IF(DB_Artworks_Export!G53="","",DB_Artworks_Export!G53)</f>
        <v/>
      </c>
      <c r="K53" s="2" t="str">
        <f>IF(DB_Artworks_Export!H53="","",DB_Artworks_Export!H53)</f>
        <v/>
      </c>
      <c r="L53" s="2" t="str">
        <f>IF(DB_Artworks_Export!I53="","",DB_Artworks_Export!I53)</f>
        <v/>
      </c>
      <c r="M53" s="2" t="str">
        <f>IF(DB_Artworks_Export!J53="","",DB_Artworks_Export!J53)</f>
        <v/>
      </c>
      <c r="N53" s="2" t="str">
        <f>IF(DB_Artworks_Export!K53="","",DB_Artworks_Export!K53)</f>
        <v/>
      </c>
      <c r="O53" s="2" t="str">
        <f>IF(DB_Artworks_Export!L53="","",DB_Artworks_Export!L53)</f>
        <v/>
      </c>
      <c r="P53" s="2" t="str">
        <f>IF(DB_Artworks_Export!M53="","",DB_Artworks_Export!M53)</f>
        <v/>
      </c>
      <c r="Q53" s="2" t="str">
        <f>IF(DB_Artworks_Export!N53="","",DB_Artworks_Export!N53)</f>
        <v/>
      </c>
      <c r="R53" s="2" t="str">
        <f>IF($D53="","",IF(COUNTIF(DB_Categories_Export!$A:$A,$F53)&gt;0,"OK","INVALID CATEGORY"))</f>
        <v/>
      </c>
      <c r="S53" s="2" t="str">
        <f>IF($D53="","",COUNTIF(DB_Artwork_Sizes_Export!$B:$B,$D53))</f>
        <v/>
      </c>
      <c r="T53" s="2" t="str">
        <f>IF($D53="","",IFERROR(INDEX(DB_Artwork_Sizes_Export!$D:$D,MATCH($D53,DB_Artwork_Sizes_Export!$B:$B,0)),""))</f>
        <v/>
      </c>
      <c r="U53" s="2" t="str">
        <f>IF($D53="","",IFERROR(INDEX(DB_Artwork_Sizes_Export!$E:$E,MATCH($D53,DB_Artwork_Sizes_Export!$B:$B,0)),""))</f>
        <v/>
      </c>
      <c r="V53" s="2" t="str">
        <f>IF($D53="","",IFERROR(INDEX(DB_Artwork_Sizes_Export!$F:$F,MATCH($D53,DB_Artwork_Sizes_Export!$B:$B,0)),""))</f>
        <v/>
      </c>
      <c r="W53" s="2" t="str">
        <f t="shared" si="2"/>
        <v/>
      </c>
      <c r="X53" s="2"/>
      <c r="Y53" s="2"/>
      <c r="Z53" s="2"/>
      <c r="AA53" s="2"/>
      <c r="AB53" s="2"/>
      <c r="AC53" s="2"/>
      <c r="AD53" s="2"/>
      <c r="AE53" s="2"/>
      <c r="AF53" s="2" t="str">
        <f t="shared" si="3"/>
        <v/>
      </c>
      <c r="AG53" s="2" t="str">
        <f t="shared" si="4"/>
        <v/>
      </c>
      <c r="AH53" s="2" t="str">
        <f>IF($AG53="","",IFERROR(VLOOKUP($AG53,DB_Categories_Export!$A:$B,2,FALSE()),"INVALID CATEGORY"))</f>
        <v/>
      </c>
      <c r="AI53" s="2" t="str">
        <f t="shared" si="5"/>
        <v/>
      </c>
      <c r="AJ53" s="2" t="str">
        <f t="shared" si="6"/>
        <v/>
      </c>
      <c r="AK53" s="2" t="str">
        <f t="shared" si="7"/>
        <v/>
      </c>
      <c r="AL53" s="2" t="str">
        <f t="shared" si="8"/>
        <v/>
      </c>
      <c r="AM53" s="2" t="str">
        <f t="shared" si="9"/>
        <v/>
      </c>
      <c r="AN53" s="2"/>
      <c r="AO53" s="2"/>
    </row>
    <row r="54" spans="1:41" ht="12" customHeight="1" x14ac:dyDescent="0.3">
      <c r="A54" s="2"/>
      <c r="B54" s="2" t="str">
        <f t="shared" si="0"/>
        <v/>
      </c>
      <c r="C54" s="2" t="str">
        <f t="shared" si="1"/>
        <v/>
      </c>
      <c r="D54" s="2" t="str">
        <f>IF(DB_Artworks_Export!A54="","",DB_Artworks_Export!A54)</f>
        <v/>
      </c>
      <c r="E54" s="2" t="str">
        <f>IF(DB_Artworks_Export!B54="","",DB_Artworks_Export!B54)</f>
        <v/>
      </c>
      <c r="F54" s="2" t="str">
        <f>IF(DB_Artworks_Export!C54="","",DB_Artworks_Export!C54)</f>
        <v/>
      </c>
      <c r="G54" s="2" t="str">
        <f>IF(DB_Artworks_Export!D54="","",DB_Artworks_Export!D54)</f>
        <v/>
      </c>
      <c r="H54" s="2" t="str">
        <f>IF(DB_Artworks_Export!E54="","",DB_Artworks_Export!E54)</f>
        <v/>
      </c>
      <c r="I54" s="2" t="str">
        <f>IF(DB_Artworks_Export!F54="","",DB_Artworks_Export!F54)</f>
        <v/>
      </c>
      <c r="J54" s="2" t="str">
        <f>IF(DB_Artworks_Export!G54="","",DB_Artworks_Export!G54)</f>
        <v/>
      </c>
      <c r="K54" s="2" t="str">
        <f>IF(DB_Artworks_Export!H54="","",DB_Artworks_Export!H54)</f>
        <v/>
      </c>
      <c r="L54" s="2" t="str">
        <f>IF(DB_Artworks_Export!I54="","",DB_Artworks_Export!I54)</f>
        <v/>
      </c>
      <c r="M54" s="2" t="str">
        <f>IF(DB_Artworks_Export!J54="","",DB_Artworks_Export!J54)</f>
        <v/>
      </c>
      <c r="N54" s="2" t="str">
        <f>IF(DB_Artworks_Export!K54="","",DB_Artworks_Export!K54)</f>
        <v/>
      </c>
      <c r="O54" s="2" t="str">
        <f>IF(DB_Artworks_Export!L54="","",DB_Artworks_Export!L54)</f>
        <v/>
      </c>
      <c r="P54" s="2" t="str">
        <f>IF(DB_Artworks_Export!M54="","",DB_Artworks_Export!M54)</f>
        <v/>
      </c>
      <c r="Q54" s="2" t="str">
        <f>IF(DB_Artworks_Export!N54="","",DB_Artworks_Export!N54)</f>
        <v/>
      </c>
      <c r="R54" s="2" t="str">
        <f>IF($D54="","",IF(COUNTIF(DB_Categories_Export!$A:$A,$F54)&gt;0,"OK","INVALID CATEGORY"))</f>
        <v/>
      </c>
      <c r="S54" s="2" t="str">
        <f>IF($D54="","",COUNTIF(DB_Artwork_Sizes_Export!$B:$B,$D54))</f>
        <v/>
      </c>
      <c r="T54" s="2" t="str">
        <f>IF($D54="","",IFERROR(INDEX(DB_Artwork_Sizes_Export!$D:$D,MATCH($D54,DB_Artwork_Sizes_Export!$B:$B,0)),""))</f>
        <v/>
      </c>
      <c r="U54" s="2" t="str">
        <f>IF($D54="","",IFERROR(INDEX(DB_Artwork_Sizes_Export!$E:$E,MATCH($D54,DB_Artwork_Sizes_Export!$B:$B,0)),""))</f>
        <v/>
      </c>
      <c r="V54" s="2" t="str">
        <f>IF($D54="","",IFERROR(INDEX(DB_Artwork_Sizes_Export!$F:$F,MATCH($D54,DB_Artwork_Sizes_Export!$B:$B,0)),""))</f>
        <v/>
      </c>
      <c r="W54" s="2" t="str">
        <f t="shared" si="2"/>
        <v/>
      </c>
      <c r="X54" s="2"/>
      <c r="Y54" s="2"/>
      <c r="Z54" s="2"/>
      <c r="AA54" s="2"/>
      <c r="AB54" s="2"/>
      <c r="AC54" s="2"/>
      <c r="AD54" s="2"/>
      <c r="AE54" s="2"/>
      <c r="AF54" s="2" t="str">
        <f t="shared" si="3"/>
        <v/>
      </c>
      <c r="AG54" s="2" t="str">
        <f t="shared" si="4"/>
        <v/>
      </c>
      <c r="AH54" s="2" t="str">
        <f>IF($AG54="","",IFERROR(VLOOKUP($AG54,DB_Categories_Export!$A:$B,2,FALSE()),"INVALID CATEGORY"))</f>
        <v/>
      </c>
      <c r="AI54" s="2" t="str">
        <f t="shared" si="5"/>
        <v/>
      </c>
      <c r="AJ54" s="2" t="str">
        <f t="shared" si="6"/>
        <v/>
      </c>
      <c r="AK54" s="2" t="str">
        <f t="shared" si="7"/>
        <v/>
      </c>
      <c r="AL54" s="2" t="str">
        <f t="shared" si="8"/>
        <v/>
      </c>
      <c r="AM54" s="2" t="str">
        <f t="shared" si="9"/>
        <v/>
      </c>
      <c r="AN54" s="2"/>
      <c r="AO54" s="2"/>
    </row>
    <row r="55" spans="1:41" ht="12" customHeight="1" x14ac:dyDescent="0.3">
      <c r="A55" s="2"/>
      <c r="B55" s="2" t="str">
        <f t="shared" si="0"/>
        <v/>
      </c>
      <c r="C55" s="2" t="str">
        <f t="shared" si="1"/>
        <v/>
      </c>
      <c r="D55" s="2" t="str">
        <f>IF(DB_Artworks_Export!A55="","",DB_Artworks_Export!A55)</f>
        <v/>
      </c>
      <c r="E55" s="2" t="str">
        <f>IF(DB_Artworks_Export!B55="","",DB_Artworks_Export!B55)</f>
        <v/>
      </c>
      <c r="F55" s="2" t="str">
        <f>IF(DB_Artworks_Export!C55="","",DB_Artworks_Export!C55)</f>
        <v/>
      </c>
      <c r="G55" s="2" t="str">
        <f>IF(DB_Artworks_Export!D55="","",DB_Artworks_Export!D55)</f>
        <v/>
      </c>
      <c r="H55" s="2" t="str">
        <f>IF(DB_Artworks_Export!E55="","",DB_Artworks_Export!E55)</f>
        <v/>
      </c>
      <c r="I55" s="2" t="str">
        <f>IF(DB_Artworks_Export!F55="","",DB_Artworks_Export!F55)</f>
        <v/>
      </c>
      <c r="J55" s="2" t="str">
        <f>IF(DB_Artworks_Export!G55="","",DB_Artworks_Export!G55)</f>
        <v/>
      </c>
      <c r="K55" s="2" t="str">
        <f>IF(DB_Artworks_Export!H55="","",DB_Artworks_Export!H55)</f>
        <v/>
      </c>
      <c r="L55" s="2" t="str">
        <f>IF(DB_Artworks_Export!I55="","",DB_Artworks_Export!I55)</f>
        <v/>
      </c>
      <c r="M55" s="2" t="str">
        <f>IF(DB_Artworks_Export!J55="","",DB_Artworks_Export!J55)</f>
        <v/>
      </c>
      <c r="N55" s="2" t="str">
        <f>IF(DB_Artworks_Export!K55="","",DB_Artworks_Export!K55)</f>
        <v/>
      </c>
      <c r="O55" s="2" t="str">
        <f>IF(DB_Artworks_Export!L55="","",DB_Artworks_Export!L55)</f>
        <v/>
      </c>
      <c r="P55" s="2" t="str">
        <f>IF(DB_Artworks_Export!M55="","",DB_Artworks_Export!M55)</f>
        <v/>
      </c>
      <c r="Q55" s="2" t="str">
        <f>IF(DB_Artworks_Export!N55="","",DB_Artworks_Export!N55)</f>
        <v/>
      </c>
      <c r="R55" s="2" t="str">
        <f>IF($D55="","",IF(COUNTIF(DB_Categories_Export!$A:$A,$F55)&gt;0,"OK","INVALID CATEGORY"))</f>
        <v/>
      </c>
      <c r="S55" s="2" t="str">
        <f>IF($D55="","",COUNTIF(DB_Artwork_Sizes_Export!$B:$B,$D55))</f>
        <v/>
      </c>
      <c r="T55" s="2" t="str">
        <f>IF($D55="","",IFERROR(INDEX(DB_Artwork_Sizes_Export!$D:$D,MATCH($D55,DB_Artwork_Sizes_Export!$B:$B,0)),""))</f>
        <v/>
      </c>
      <c r="U55" s="2" t="str">
        <f>IF($D55="","",IFERROR(INDEX(DB_Artwork_Sizes_Export!$E:$E,MATCH($D55,DB_Artwork_Sizes_Export!$B:$B,0)),""))</f>
        <v/>
      </c>
      <c r="V55" s="2" t="str">
        <f>IF($D55="","",IFERROR(INDEX(DB_Artwork_Sizes_Export!$F:$F,MATCH($D55,DB_Artwork_Sizes_Export!$B:$B,0)),""))</f>
        <v/>
      </c>
      <c r="W55" s="2" t="str">
        <f t="shared" si="2"/>
        <v/>
      </c>
      <c r="X55" s="2"/>
      <c r="Y55" s="2"/>
      <c r="Z55" s="2"/>
      <c r="AA55" s="2"/>
      <c r="AB55" s="2"/>
      <c r="AC55" s="2"/>
      <c r="AD55" s="2"/>
      <c r="AE55" s="2"/>
      <c r="AF55" s="2" t="str">
        <f t="shared" si="3"/>
        <v/>
      </c>
      <c r="AG55" s="2" t="str">
        <f t="shared" si="4"/>
        <v/>
      </c>
      <c r="AH55" s="2" t="str">
        <f>IF($AG55="","",IFERROR(VLOOKUP($AG55,DB_Categories_Export!$A:$B,2,FALSE()),"INVALID CATEGORY"))</f>
        <v/>
      </c>
      <c r="AI55" s="2" t="str">
        <f t="shared" si="5"/>
        <v/>
      </c>
      <c r="AJ55" s="2" t="str">
        <f t="shared" si="6"/>
        <v/>
      </c>
      <c r="AK55" s="2" t="str">
        <f t="shared" si="7"/>
        <v/>
      </c>
      <c r="AL55" s="2" t="str">
        <f t="shared" si="8"/>
        <v/>
      </c>
      <c r="AM55" s="2" t="str">
        <f t="shared" si="9"/>
        <v/>
      </c>
      <c r="AN55" s="2"/>
      <c r="AO55" s="2"/>
    </row>
    <row r="56" spans="1:41" ht="12" customHeight="1" x14ac:dyDescent="0.3">
      <c r="A56" s="2"/>
      <c r="B56" s="2" t="str">
        <f t="shared" si="0"/>
        <v/>
      </c>
      <c r="C56" s="2" t="str">
        <f t="shared" si="1"/>
        <v/>
      </c>
      <c r="D56" s="2" t="str">
        <f>IF(DB_Artworks_Export!A56="","",DB_Artworks_Export!A56)</f>
        <v/>
      </c>
      <c r="E56" s="2" t="str">
        <f>IF(DB_Artworks_Export!B56="","",DB_Artworks_Export!B56)</f>
        <v/>
      </c>
      <c r="F56" s="2" t="str">
        <f>IF(DB_Artworks_Export!C56="","",DB_Artworks_Export!C56)</f>
        <v/>
      </c>
      <c r="G56" s="2" t="str">
        <f>IF(DB_Artworks_Export!D56="","",DB_Artworks_Export!D56)</f>
        <v/>
      </c>
      <c r="H56" s="2" t="str">
        <f>IF(DB_Artworks_Export!E56="","",DB_Artworks_Export!E56)</f>
        <v/>
      </c>
      <c r="I56" s="2" t="str">
        <f>IF(DB_Artworks_Export!F56="","",DB_Artworks_Export!F56)</f>
        <v/>
      </c>
      <c r="J56" s="2" t="str">
        <f>IF(DB_Artworks_Export!G56="","",DB_Artworks_Export!G56)</f>
        <v/>
      </c>
      <c r="K56" s="2" t="str">
        <f>IF(DB_Artworks_Export!H56="","",DB_Artworks_Export!H56)</f>
        <v/>
      </c>
      <c r="L56" s="2" t="str">
        <f>IF(DB_Artworks_Export!I56="","",DB_Artworks_Export!I56)</f>
        <v/>
      </c>
      <c r="M56" s="2" t="str">
        <f>IF(DB_Artworks_Export!J56="","",DB_Artworks_Export!J56)</f>
        <v/>
      </c>
      <c r="N56" s="2" t="str">
        <f>IF(DB_Artworks_Export!K56="","",DB_Artworks_Export!K56)</f>
        <v/>
      </c>
      <c r="O56" s="2" t="str">
        <f>IF(DB_Artworks_Export!L56="","",DB_Artworks_Export!L56)</f>
        <v/>
      </c>
      <c r="P56" s="2" t="str">
        <f>IF(DB_Artworks_Export!M56="","",DB_Artworks_Export!M56)</f>
        <v/>
      </c>
      <c r="Q56" s="2" t="str">
        <f>IF(DB_Artworks_Export!N56="","",DB_Artworks_Export!N56)</f>
        <v/>
      </c>
      <c r="R56" s="2" t="str">
        <f>IF($D56="","",IF(COUNTIF(DB_Categories_Export!$A:$A,$F56)&gt;0,"OK","INVALID CATEGORY"))</f>
        <v/>
      </c>
      <c r="S56" s="2" t="str">
        <f>IF($D56="","",COUNTIF(DB_Artwork_Sizes_Export!$B:$B,$D56))</f>
        <v/>
      </c>
      <c r="T56" s="2" t="str">
        <f>IF($D56="","",IFERROR(INDEX(DB_Artwork_Sizes_Export!$D:$D,MATCH($D56,DB_Artwork_Sizes_Export!$B:$B,0)),""))</f>
        <v/>
      </c>
      <c r="U56" s="2" t="str">
        <f>IF($D56="","",IFERROR(INDEX(DB_Artwork_Sizes_Export!$E:$E,MATCH($D56,DB_Artwork_Sizes_Export!$B:$B,0)),""))</f>
        <v/>
      </c>
      <c r="V56" s="2" t="str">
        <f>IF($D56="","",IFERROR(INDEX(DB_Artwork_Sizes_Export!$F:$F,MATCH($D56,DB_Artwork_Sizes_Export!$B:$B,0)),""))</f>
        <v/>
      </c>
      <c r="W56" s="2" t="str">
        <f t="shared" si="2"/>
        <v/>
      </c>
      <c r="X56" s="2"/>
      <c r="Y56" s="2"/>
      <c r="Z56" s="2"/>
      <c r="AA56" s="2"/>
      <c r="AB56" s="2"/>
      <c r="AC56" s="2"/>
      <c r="AD56" s="2"/>
      <c r="AE56" s="2"/>
      <c r="AF56" s="2" t="str">
        <f t="shared" si="3"/>
        <v/>
      </c>
      <c r="AG56" s="2" t="str">
        <f t="shared" si="4"/>
        <v/>
      </c>
      <c r="AH56" s="2" t="str">
        <f>IF($AG56="","",IFERROR(VLOOKUP($AG56,DB_Categories_Export!$A:$B,2,FALSE()),"INVALID CATEGORY"))</f>
        <v/>
      </c>
      <c r="AI56" s="2" t="str">
        <f t="shared" si="5"/>
        <v/>
      </c>
      <c r="AJ56" s="2" t="str">
        <f t="shared" si="6"/>
        <v/>
      </c>
      <c r="AK56" s="2" t="str">
        <f t="shared" si="7"/>
        <v/>
      </c>
      <c r="AL56" s="2" t="str">
        <f t="shared" si="8"/>
        <v/>
      </c>
      <c r="AM56" s="2" t="str">
        <f t="shared" si="9"/>
        <v/>
      </c>
      <c r="AN56" s="2"/>
      <c r="AO56" s="2"/>
    </row>
    <row r="57" spans="1:41" ht="12" customHeight="1" x14ac:dyDescent="0.3">
      <c r="A57" s="2"/>
      <c r="B57" s="2" t="str">
        <f t="shared" si="0"/>
        <v/>
      </c>
      <c r="C57" s="2" t="str">
        <f t="shared" si="1"/>
        <v/>
      </c>
      <c r="D57" s="2" t="str">
        <f>IF(DB_Artworks_Export!A57="","",DB_Artworks_Export!A57)</f>
        <v/>
      </c>
      <c r="E57" s="2" t="str">
        <f>IF(DB_Artworks_Export!B57="","",DB_Artworks_Export!B57)</f>
        <v/>
      </c>
      <c r="F57" s="2" t="str">
        <f>IF(DB_Artworks_Export!C57="","",DB_Artworks_Export!C57)</f>
        <v/>
      </c>
      <c r="G57" s="2" t="str">
        <f>IF(DB_Artworks_Export!D57="","",DB_Artworks_Export!D57)</f>
        <v/>
      </c>
      <c r="H57" s="2" t="str">
        <f>IF(DB_Artworks_Export!E57="","",DB_Artworks_Export!E57)</f>
        <v/>
      </c>
      <c r="I57" s="2" t="str">
        <f>IF(DB_Artworks_Export!F57="","",DB_Artworks_Export!F57)</f>
        <v/>
      </c>
      <c r="J57" s="2" t="str">
        <f>IF(DB_Artworks_Export!G57="","",DB_Artworks_Export!G57)</f>
        <v/>
      </c>
      <c r="K57" s="2" t="str">
        <f>IF(DB_Artworks_Export!H57="","",DB_Artworks_Export!H57)</f>
        <v/>
      </c>
      <c r="L57" s="2" t="str">
        <f>IF(DB_Artworks_Export!I57="","",DB_Artworks_Export!I57)</f>
        <v/>
      </c>
      <c r="M57" s="2" t="str">
        <f>IF(DB_Artworks_Export!J57="","",DB_Artworks_Export!J57)</f>
        <v/>
      </c>
      <c r="N57" s="2" t="str">
        <f>IF(DB_Artworks_Export!K57="","",DB_Artworks_Export!K57)</f>
        <v/>
      </c>
      <c r="O57" s="2" t="str">
        <f>IF(DB_Artworks_Export!L57="","",DB_Artworks_Export!L57)</f>
        <v/>
      </c>
      <c r="P57" s="2" t="str">
        <f>IF(DB_Artworks_Export!M57="","",DB_Artworks_Export!M57)</f>
        <v/>
      </c>
      <c r="Q57" s="2" t="str">
        <f>IF(DB_Artworks_Export!N57="","",DB_Artworks_Export!N57)</f>
        <v/>
      </c>
      <c r="R57" s="2" t="str">
        <f>IF($D57="","",IF(COUNTIF(DB_Categories_Export!$A:$A,$F57)&gt;0,"OK","INVALID CATEGORY"))</f>
        <v/>
      </c>
      <c r="S57" s="2" t="str">
        <f>IF($D57="","",COUNTIF(DB_Artwork_Sizes_Export!$B:$B,$D57))</f>
        <v/>
      </c>
      <c r="T57" s="2" t="str">
        <f>IF($D57="","",IFERROR(INDEX(DB_Artwork_Sizes_Export!$D:$D,MATCH($D57,DB_Artwork_Sizes_Export!$B:$B,0)),""))</f>
        <v/>
      </c>
      <c r="U57" s="2" t="str">
        <f>IF($D57="","",IFERROR(INDEX(DB_Artwork_Sizes_Export!$E:$E,MATCH($D57,DB_Artwork_Sizes_Export!$B:$B,0)),""))</f>
        <v/>
      </c>
      <c r="V57" s="2" t="str">
        <f>IF($D57="","",IFERROR(INDEX(DB_Artwork_Sizes_Export!$F:$F,MATCH($D57,DB_Artwork_Sizes_Export!$B:$B,0)),""))</f>
        <v/>
      </c>
      <c r="W57" s="2" t="str">
        <f t="shared" si="2"/>
        <v/>
      </c>
      <c r="X57" s="2"/>
      <c r="Y57" s="2"/>
      <c r="Z57" s="2"/>
      <c r="AA57" s="2"/>
      <c r="AB57" s="2"/>
      <c r="AC57" s="2"/>
      <c r="AD57" s="2"/>
      <c r="AE57" s="2"/>
      <c r="AF57" s="2" t="str">
        <f t="shared" si="3"/>
        <v/>
      </c>
      <c r="AG57" s="2" t="str">
        <f t="shared" si="4"/>
        <v/>
      </c>
      <c r="AH57" s="2" t="str">
        <f>IF($AG57="","",IFERROR(VLOOKUP($AG57,DB_Categories_Export!$A:$B,2,FALSE()),"INVALID CATEGORY"))</f>
        <v/>
      </c>
      <c r="AI57" s="2" t="str">
        <f t="shared" si="5"/>
        <v/>
      </c>
      <c r="AJ57" s="2" t="str">
        <f t="shared" si="6"/>
        <v/>
      </c>
      <c r="AK57" s="2" t="str">
        <f t="shared" si="7"/>
        <v/>
      </c>
      <c r="AL57" s="2" t="str">
        <f t="shared" si="8"/>
        <v/>
      </c>
      <c r="AM57" s="2" t="str">
        <f t="shared" si="9"/>
        <v/>
      </c>
      <c r="AN57" s="2"/>
      <c r="AO57" s="2"/>
    </row>
    <row r="58" spans="1:41" ht="12" customHeight="1" x14ac:dyDescent="0.3">
      <c r="A58" s="2"/>
      <c r="B58" s="2" t="str">
        <f t="shared" si="0"/>
        <v/>
      </c>
      <c r="C58" s="2" t="str">
        <f t="shared" si="1"/>
        <v/>
      </c>
      <c r="D58" s="2" t="str">
        <f>IF(DB_Artworks_Export!A58="","",DB_Artworks_Export!A58)</f>
        <v/>
      </c>
      <c r="E58" s="2" t="str">
        <f>IF(DB_Artworks_Export!B58="","",DB_Artworks_Export!B58)</f>
        <v/>
      </c>
      <c r="F58" s="2" t="str">
        <f>IF(DB_Artworks_Export!C58="","",DB_Artworks_Export!C58)</f>
        <v/>
      </c>
      <c r="G58" s="2" t="str">
        <f>IF(DB_Artworks_Export!D58="","",DB_Artworks_Export!D58)</f>
        <v/>
      </c>
      <c r="H58" s="2" t="str">
        <f>IF(DB_Artworks_Export!E58="","",DB_Artworks_Export!E58)</f>
        <v/>
      </c>
      <c r="I58" s="2" t="str">
        <f>IF(DB_Artworks_Export!F58="","",DB_Artworks_Export!F58)</f>
        <v/>
      </c>
      <c r="J58" s="2" t="str">
        <f>IF(DB_Artworks_Export!G58="","",DB_Artworks_Export!G58)</f>
        <v/>
      </c>
      <c r="K58" s="2" t="str">
        <f>IF(DB_Artworks_Export!H58="","",DB_Artworks_Export!H58)</f>
        <v/>
      </c>
      <c r="L58" s="2" t="str">
        <f>IF(DB_Artworks_Export!I58="","",DB_Artworks_Export!I58)</f>
        <v/>
      </c>
      <c r="M58" s="2" t="str">
        <f>IF(DB_Artworks_Export!J58="","",DB_Artworks_Export!J58)</f>
        <v/>
      </c>
      <c r="N58" s="2" t="str">
        <f>IF(DB_Artworks_Export!K58="","",DB_Artworks_Export!K58)</f>
        <v/>
      </c>
      <c r="O58" s="2" t="str">
        <f>IF(DB_Artworks_Export!L58="","",DB_Artworks_Export!L58)</f>
        <v/>
      </c>
      <c r="P58" s="2" t="str">
        <f>IF(DB_Artworks_Export!M58="","",DB_Artworks_Export!M58)</f>
        <v/>
      </c>
      <c r="Q58" s="2" t="str">
        <f>IF(DB_Artworks_Export!N58="","",DB_Artworks_Export!N58)</f>
        <v/>
      </c>
      <c r="R58" s="2" t="str">
        <f>IF($D58="","",IF(COUNTIF(DB_Categories_Export!$A:$A,$F58)&gt;0,"OK","INVALID CATEGORY"))</f>
        <v/>
      </c>
      <c r="S58" s="2" t="str">
        <f>IF($D58="","",COUNTIF(DB_Artwork_Sizes_Export!$B:$B,$D58))</f>
        <v/>
      </c>
      <c r="T58" s="2" t="str">
        <f>IF($D58="","",IFERROR(INDEX(DB_Artwork_Sizes_Export!$D:$D,MATCH($D58,DB_Artwork_Sizes_Export!$B:$B,0)),""))</f>
        <v/>
      </c>
      <c r="U58" s="2" t="str">
        <f>IF($D58="","",IFERROR(INDEX(DB_Artwork_Sizes_Export!$E:$E,MATCH($D58,DB_Artwork_Sizes_Export!$B:$B,0)),""))</f>
        <v/>
      </c>
      <c r="V58" s="2" t="str">
        <f>IF($D58="","",IFERROR(INDEX(DB_Artwork_Sizes_Export!$F:$F,MATCH($D58,DB_Artwork_Sizes_Export!$B:$B,0)),""))</f>
        <v/>
      </c>
      <c r="W58" s="2" t="str">
        <f t="shared" si="2"/>
        <v/>
      </c>
      <c r="X58" s="2"/>
      <c r="Y58" s="2"/>
      <c r="Z58" s="2"/>
      <c r="AA58" s="2"/>
      <c r="AB58" s="2"/>
      <c r="AC58" s="2"/>
      <c r="AD58" s="2"/>
      <c r="AE58" s="2"/>
      <c r="AF58" s="2" t="str">
        <f t="shared" si="3"/>
        <v/>
      </c>
      <c r="AG58" s="2" t="str">
        <f t="shared" si="4"/>
        <v/>
      </c>
      <c r="AH58" s="2" t="str">
        <f>IF($AG58="","",IFERROR(VLOOKUP($AG58,DB_Categories_Export!$A:$B,2,FALSE()),"INVALID CATEGORY"))</f>
        <v/>
      </c>
      <c r="AI58" s="2" t="str">
        <f t="shared" si="5"/>
        <v/>
      </c>
      <c r="AJ58" s="2" t="str">
        <f t="shared" si="6"/>
        <v/>
      </c>
      <c r="AK58" s="2" t="str">
        <f t="shared" si="7"/>
        <v/>
      </c>
      <c r="AL58" s="2" t="str">
        <f t="shared" si="8"/>
        <v/>
      </c>
      <c r="AM58" s="2" t="str">
        <f t="shared" si="9"/>
        <v/>
      </c>
      <c r="AN58" s="2"/>
      <c r="AO58" s="2"/>
    </row>
    <row r="59" spans="1:41" ht="12" customHeight="1" x14ac:dyDescent="0.3">
      <c r="A59" s="2"/>
      <c r="B59" s="2" t="str">
        <f t="shared" si="0"/>
        <v/>
      </c>
      <c r="C59" s="2" t="str">
        <f t="shared" si="1"/>
        <v/>
      </c>
      <c r="D59" s="2" t="str">
        <f>IF(DB_Artworks_Export!A59="","",DB_Artworks_Export!A59)</f>
        <v/>
      </c>
      <c r="E59" s="2" t="str">
        <f>IF(DB_Artworks_Export!B59="","",DB_Artworks_Export!B59)</f>
        <v/>
      </c>
      <c r="F59" s="2" t="str">
        <f>IF(DB_Artworks_Export!C59="","",DB_Artworks_Export!C59)</f>
        <v/>
      </c>
      <c r="G59" s="2" t="str">
        <f>IF(DB_Artworks_Export!D59="","",DB_Artworks_Export!D59)</f>
        <v/>
      </c>
      <c r="H59" s="2" t="str">
        <f>IF(DB_Artworks_Export!E59="","",DB_Artworks_Export!E59)</f>
        <v/>
      </c>
      <c r="I59" s="2" t="str">
        <f>IF(DB_Artworks_Export!F59="","",DB_Artworks_Export!F59)</f>
        <v/>
      </c>
      <c r="J59" s="2" t="str">
        <f>IF(DB_Artworks_Export!G59="","",DB_Artworks_Export!G59)</f>
        <v/>
      </c>
      <c r="K59" s="2" t="str">
        <f>IF(DB_Artworks_Export!H59="","",DB_Artworks_Export!H59)</f>
        <v/>
      </c>
      <c r="L59" s="2" t="str">
        <f>IF(DB_Artworks_Export!I59="","",DB_Artworks_Export!I59)</f>
        <v/>
      </c>
      <c r="M59" s="2" t="str">
        <f>IF(DB_Artworks_Export!J59="","",DB_Artworks_Export!J59)</f>
        <v/>
      </c>
      <c r="N59" s="2" t="str">
        <f>IF(DB_Artworks_Export!K59="","",DB_Artworks_Export!K59)</f>
        <v/>
      </c>
      <c r="O59" s="2" t="str">
        <f>IF(DB_Artworks_Export!L59="","",DB_Artworks_Export!L59)</f>
        <v/>
      </c>
      <c r="P59" s="2" t="str">
        <f>IF(DB_Artworks_Export!M59="","",DB_Artworks_Export!M59)</f>
        <v/>
      </c>
      <c r="Q59" s="2" t="str">
        <f>IF(DB_Artworks_Export!N59="","",DB_Artworks_Export!N59)</f>
        <v/>
      </c>
      <c r="R59" s="2" t="str">
        <f>IF($D59="","",IF(COUNTIF(DB_Categories_Export!$A:$A,$F59)&gt;0,"OK","INVALID CATEGORY"))</f>
        <v/>
      </c>
      <c r="S59" s="2" t="str">
        <f>IF($D59="","",COUNTIF(DB_Artwork_Sizes_Export!$B:$B,$D59))</f>
        <v/>
      </c>
      <c r="T59" s="2" t="str">
        <f>IF($D59="","",IFERROR(INDEX(DB_Artwork_Sizes_Export!$D:$D,MATCH($D59,DB_Artwork_Sizes_Export!$B:$B,0)),""))</f>
        <v/>
      </c>
      <c r="U59" s="2" t="str">
        <f>IF($D59="","",IFERROR(INDEX(DB_Artwork_Sizes_Export!$E:$E,MATCH($D59,DB_Artwork_Sizes_Export!$B:$B,0)),""))</f>
        <v/>
      </c>
      <c r="V59" s="2" t="str">
        <f>IF($D59="","",IFERROR(INDEX(DB_Artwork_Sizes_Export!$F:$F,MATCH($D59,DB_Artwork_Sizes_Export!$B:$B,0)),""))</f>
        <v/>
      </c>
      <c r="W59" s="2" t="str">
        <f t="shared" si="2"/>
        <v/>
      </c>
      <c r="X59" s="2"/>
      <c r="Y59" s="2"/>
      <c r="Z59" s="2"/>
      <c r="AA59" s="2"/>
      <c r="AB59" s="2"/>
      <c r="AC59" s="2"/>
      <c r="AD59" s="2"/>
      <c r="AE59" s="2"/>
      <c r="AF59" s="2" t="str">
        <f t="shared" si="3"/>
        <v/>
      </c>
      <c r="AG59" s="2" t="str">
        <f t="shared" si="4"/>
        <v/>
      </c>
      <c r="AH59" s="2" t="str">
        <f>IF($AG59="","",IFERROR(VLOOKUP($AG59,DB_Categories_Export!$A:$B,2,FALSE()),"INVALID CATEGORY"))</f>
        <v/>
      </c>
      <c r="AI59" s="2" t="str">
        <f t="shared" si="5"/>
        <v/>
      </c>
      <c r="AJ59" s="2" t="str">
        <f t="shared" si="6"/>
        <v/>
      </c>
      <c r="AK59" s="2" t="str">
        <f t="shared" si="7"/>
        <v/>
      </c>
      <c r="AL59" s="2" t="str">
        <f t="shared" si="8"/>
        <v/>
      </c>
      <c r="AM59" s="2" t="str">
        <f t="shared" si="9"/>
        <v/>
      </c>
      <c r="AN59" s="2"/>
      <c r="AO59" s="2"/>
    </row>
    <row r="60" spans="1:41" ht="12" customHeight="1" x14ac:dyDescent="0.3">
      <c r="A60" s="2"/>
      <c r="B60" s="2" t="str">
        <f t="shared" si="0"/>
        <v/>
      </c>
      <c r="C60" s="2" t="str">
        <f t="shared" si="1"/>
        <v/>
      </c>
      <c r="D60" s="2" t="str">
        <f>IF(DB_Artworks_Export!A60="","",DB_Artworks_Export!A60)</f>
        <v/>
      </c>
      <c r="E60" s="2" t="str">
        <f>IF(DB_Artworks_Export!B60="","",DB_Artworks_Export!B60)</f>
        <v/>
      </c>
      <c r="F60" s="2" t="str">
        <f>IF(DB_Artworks_Export!C60="","",DB_Artworks_Export!C60)</f>
        <v/>
      </c>
      <c r="G60" s="2" t="str">
        <f>IF(DB_Artworks_Export!D60="","",DB_Artworks_Export!D60)</f>
        <v/>
      </c>
      <c r="H60" s="2" t="str">
        <f>IF(DB_Artworks_Export!E60="","",DB_Artworks_Export!E60)</f>
        <v/>
      </c>
      <c r="I60" s="2" t="str">
        <f>IF(DB_Artworks_Export!F60="","",DB_Artworks_Export!F60)</f>
        <v/>
      </c>
      <c r="J60" s="2" t="str">
        <f>IF(DB_Artworks_Export!G60="","",DB_Artworks_Export!G60)</f>
        <v/>
      </c>
      <c r="K60" s="2" t="str">
        <f>IF(DB_Artworks_Export!H60="","",DB_Artworks_Export!H60)</f>
        <v/>
      </c>
      <c r="L60" s="2" t="str">
        <f>IF(DB_Artworks_Export!I60="","",DB_Artworks_Export!I60)</f>
        <v/>
      </c>
      <c r="M60" s="2" t="str">
        <f>IF(DB_Artworks_Export!J60="","",DB_Artworks_Export!J60)</f>
        <v/>
      </c>
      <c r="N60" s="2" t="str">
        <f>IF(DB_Artworks_Export!K60="","",DB_Artworks_Export!K60)</f>
        <v/>
      </c>
      <c r="O60" s="2" t="str">
        <f>IF(DB_Artworks_Export!L60="","",DB_Artworks_Export!L60)</f>
        <v/>
      </c>
      <c r="P60" s="2" t="str">
        <f>IF(DB_Artworks_Export!M60="","",DB_Artworks_Export!M60)</f>
        <v/>
      </c>
      <c r="Q60" s="2" t="str">
        <f>IF(DB_Artworks_Export!N60="","",DB_Artworks_Export!N60)</f>
        <v/>
      </c>
      <c r="R60" s="2" t="str">
        <f>IF($D60="","",IF(COUNTIF(DB_Categories_Export!$A:$A,$F60)&gt;0,"OK","INVALID CATEGORY"))</f>
        <v/>
      </c>
      <c r="S60" s="2" t="str">
        <f>IF($D60="","",COUNTIF(DB_Artwork_Sizes_Export!$B:$B,$D60))</f>
        <v/>
      </c>
      <c r="T60" s="2" t="str">
        <f>IF($D60="","",IFERROR(INDEX(DB_Artwork_Sizes_Export!$D:$D,MATCH($D60,DB_Artwork_Sizes_Export!$B:$B,0)),""))</f>
        <v/>
      </c>
      <c r="U60" s="2" t="str">
        <f>IF($D60="","",IFERROR(INDEX(DB_Artwork_Sizes_Export!$E:$E,MATCH($D60,DB_Artwork_Sizes_Export!$B:$B,0)),""))</f>
        <v/>
      </c>
      <c r="V60" s="2" t="str">
        <f>IF($D60="","",IFERROR(INDEX(DB_Artwork_Sizes_Export!$F:$F,MATCH($D60,DB_Artwork_Sizes_Export!$B:$B,0)),""))</f>
        <v/>
      </c>
      <c r="W60" s="2" t="str">
        <f t="shared" si="2"/>
        <v/>
      </c>
      <c r="X60" s="2"/>
      <c r="Y60" s="2"/>
      <c r="Z60" s="2"/>
      <c r="AA60" s="2"/>
      <c r="AB60" s="2"/>
      <c r="AC60" s="2"/>
      <c r="AD60" s="2"/>
      <c r="AE60" s="2"/>
      <c r="AF60" s="2" t="str">
        <f t="shared" si="3"/>
        <v/>
      </c>
      <c r="AG60" s="2" t="str">
        <f t="shared" si="4"/>
        <v/>
      </c>
      <c r="AH60" s="2" t="str">
        <f>IF($AG60="","",IFERROR(VLOOKUP($AG60,DB_Categories_Export!$A:$B,2,FALSE()),"INVALID CATEGORY"))</f>
        <v/>
      </c>
      <c r="AI60" s="2" t="str">
        <f t="shared" si="5"/>
        <v/>
      </c>
      <c r="AJ60" s="2" t="str">
        <f t="shared" si="6"/>
        <v/>
      </c>
      <c r="AK60" s="2" t="str">
        <f t="shared" si="7"/>
        <v/>
      </c>
      <c r="AL60" s="2" t="str">
        <f t="shared" si="8"/>
        <v/>
      </c>
      <c r="AM60" s="2" t="str">
        <f t="shared" si="9"/>
        <v/>
      </c>
      <c r="AN60" s="2"/>
      <c r="AO60" s="2"/>
    </row>
    <row r="61" spans="1:41" ht="12" customHeight="1" x14ac:dyDescent="0.3">
      <c r="A61" s="2"/>
      <c r="B61" s="2" t="str">
        <f t="shared" si="0"/>
        <v/>
      </c>
      <c r="C61" s="2" t="str">
        <f t="shared" si="1"/>
        <v/>
      </c>
      <c r="D61" s="2" t="str">
        <f>IF(DB_Artworks_Export!A61="","",DB_Artworks_Export!A61)</f>
        <v/>
      </c>
      <c r="E61" s="2" t="str">
        <f>IF(DB_Artworks_Export!B61="","",DB_Artworks_Export!B61)</f>
        <v/>
      </c>
      <c r="F61" s="2" t="str">
        <f>IF(DB_Artworks_Export!C61="","",DB_Artworks_Export!C61)</f>
        <v/>
      </c>
      <c r="G61" s="2" t="str">
        <f>IF(DB_Artworks_Export!D61="","",DB_Artworks_Export!D61)</f>
        <v/>
      </c>
      <c r="H61" s="2" t="str">
        <f>IF(DB_Artworks_Export!E61="","",DB_Artworks_Export!E61)</f>
        <v/>
      </c>
      <c r="I61" s="2" t="str">
        <f>IF(DB_Artworks_Export!F61="","",DB_Artworks_Export!F61)</f>
        <v/>
      </c>
      <c r="J61" s="2" t="str">
        <f>IF(DB_Artworks_Export!G61="","",DB_Artworks_Export!G61)</f>
        <v/>
      </c>
      <c r="K61" s="2" t="str">
        <f>IF(DB_Artworks_Export!H61="","",DB_Artworks_Export!H61)</f>
        <v/>
      </c>
      <c r="L61" s="2" t="str">
        <f>IF(DB_Artworks_Export!I61="","",DB_Artworks_Export!I61)</f>
        <v/>
      </c>
      <c r="M61" s="2" t="str">
        <f>IF(DB_Artworks_Export!J61="","",DB_Artworks_Export!J61)</f>
        <v/>
      </c>
      <c r="N61" s="2" t="str">
        <f>IF(DB_Artworks_Export!K61="","",DB_Artworks_Export!K61)</f>
        <v/>
      </c>
      <c r="O61" s="2" t="str">
        <f>IF(DB_Artworks_Export!L61="","",DB_Artworks_Export!L61)</f>
        <v/>
      </c>
      <c r="P61" s="2" t="str">
        <f>IF(DB_Artworks_Export!M61="","",DB_Artworks_Export!M61)</f>
        <v/>
      </c>
      <c r="Q61" s="2" t="str">
        <f>IF(DB_Artworks_Export!N61="","",DB_Artworks_Export!N61)</f>
        <v/>
      </c>
      <c r="R61" s="2" t="str">
        <f>IF($D61="","",IF(COUNTIF(DB_Categories_Export!$A:$A,$F61)&gt;0,"OK","INVALID CATEGORY"))</f>
        <v/>
      </c>
      <c r="S61" s="2" t="str">
        <f>IF($D61="","",COUNTIF(DB_Artwork_Sizes_Export!$B:$B,$D61))</f>
        <v/>
      </c>
      <c r="T61" s="2" t="str">
        <f>IF($D61="","",IFERROR(INDEX(DB_Artwork_Sizes_Export!$D:$D,MATCH($D61,DB_Artwork_Sizes_Export!$B:$B,0)),""))</f>
        <v/>
      </c>
      <c r="U61" s="2" t="str">
        <f>IF($D61="","",IFERROR(INDEX(DB_Artwork_Sizes_Export!$E:$E,MATCH($D61,DB_Artwork_Sizes_Export!$B:$B,0)),""))</f>
        <v/>
      </c>
      <c r="V61" s="2" t="str">
        <f>IF($D61="","",IFERROR(INDEX(DB_Artwork_Sizes_Export!$F:$F,MATCH($D61,DB_Artwork_Sizes_Export!$B:$B,0)),""))</f>
        <v/>
      </c>
      <c r="W61" s="2" t="str">
        <f t="shared" si="2"/>
        <v/>
      </c>
      <c r="X61" s="2"/>
      <c r="Y61" s="2"/>
      <c r="Z61" s="2"/>
      <c r="AA61" s="2"/>
      <c r="AB61" s="2"/>
      <c r="AC61" s="2"/>
      <c r="AD61" s="2"/>
      <c r="AE61" s="2"/>
      <c r="AF61" s="2" t="str">
        <f t="shared" si="3"/>
        <v/>
      </c>
      <c r="AG61" s="2" t="str">
        <f t="shared" si="4"/>
        <v/>
      </c>
      <c r="AH61" s="2" t="str">
        <f>IF($AG61="","",IFERROR(VLOOKUP($AG61,DB_Categories_Export!$A:$B,2,FALSE()),"INVALID CATEGORY"))</f>
        <v/>
      </c>
      <c r="AI61" s="2" t="str">
        <f t="shared" si="5"/>
        <v/>
      </c>
      <c r="AJ61" s="2" t="str">
        <f t="shared" si="6"/>
        <v/>
      </c>
      <c r="AK61" s="2" t="str">
        <f t="shared" si="7"/>
        <v/>
      </c>
      <c r="AL61" s="2" t="str">
        <f t="shared" si="8"/>
        <v/>
      </c>
      <c r="AM61" s="2" t="str">
        <f t="shared" si="9"/>
        <v/>
      </c>
      <c r="AN61" s="2"/>
      <c r="AO61" s="2"/>
    </row>
    <row r="62" spans="1:41" ht="12" customHeight="1" x14ac:dyDescent="0.3">
      <c r="A62" s="2"/>
      <c r="B62" s="2" t="str">
        <f t="shared" si="0"/>
        <v/>
      </c>
      <c r="C62" s="2" t="str">
        <f t="shared" si="1"/>
        <v/>
      </c>
      <c r="D62" s="2" t="str">
        <f>IF(DB_Artworks_Export!A62="","",DB_Artworks_Export!A62)</f>
        <v/>
      </c>
      <c r="E62" s="2" t="str">
        <f>IF(DB_Artworks_Export!B62="","",DB_Artworks_Export!B62)</f>
        <v/>
      </c>
      <c r="F62" s="2" t="str">
        <f>IF(DB_Artworks_Export!C62="","",DB_Artworks_Export!C62)</f>
        <v/>
      </c>
      <c r="G62" s="2" t="str">
        <f>IF(DB_Artworks_Export!D62="","",DB_Artworks_Export!D62)</f>
        <v/>
      </c>
      <c r="H62" s="2" t="str">
        <f>IF(DB_Artworks_Export!E62="","",DB_Artworks_Export!E62)</f>
        <v/>
      </c>
      <c r="I62" s="2" t="str">
        <f>IF(DB_Artworks_Export!F62="","",DB_Artworks_Export!F62)</f>
        <v/>
      </c>
      <c r="J62" s="2" t="str">
        <f>IF(DB_Artworks_Export!G62="","",DB_Artworks_Export!G62)</f>
        <v/>
      </c>
      <c r="K62" s="2" t="str">
        <f>IF(DB_Artworks_Export!H62="","",DB_Artworks_Export!H62)</f>
        <v/>
      </c>
      <c r="L62" s="2" t="str">
        <f>IF(DB_Artworks_Export!I62="","",DB_Artworks_Export!I62)</f>
        <v/>
      </c>
      <c r="M62" s="2" t="str">
        <f>IF(DB_Artworks_Export!J62="","",DB_Artworks_Export!J62)</f>
        <v/>
      </c>
      <c r="N62" s="2" t="str">
        <f>IF(DB_Artworks_Export!K62="","",DB_Artworks_Export!K62)</f>
        <v/>
      </c>
      <c r="O62" s="2" t="str">
        <f>IF(DB_Artworks_Export!L62="","",DB_Artworks_Export!L62)</f>
        <v/>
      </c>
      <c r="P62" s="2" t="str">
        <f>IF(DB_Artworks_Export!M62="","",DB_Artworks_Export!M62)</f>
        <v/>
      </c>
      <c r="Q62" s="2" t="str">
        <f>IF(DB_Artworks_Export!N62="","",DB_Artworks_Export!N62)</f>
        <v/>
      </c>
      <c r="R62" s="2" t="str">
        <f>IF($D62="","",IF(COUNTIF(DB_Categories_Export!$A:$A,$F62)&gt;0,"OK","INVALID CATEGORY"))</f>
        <v/>
      </c>
      <c r="S62" s="2" t="str">
        <f>IF($D62="","",COUNTIF(DB_Artwork_Sizes_Export!$B:$B,$D62))</f>
        <v/>
      </c>
      <c r="T62" s="2" t="str">
        <f>IF($D62="","",IFERROR(INDEX(DB_Artwork_Sizes_Export!$D:$D,MATCH($D62,DB_Artwork_Sizes_Export!$B:$B,0)),""))</f>
        <v/>
      </c>
      <c r="U62" s="2" t="str">
        <f>IF($D62="","",IFERROR(INDEX(DB_Artwork_Sizes_Export!$E:$E,MATCH($D62,DB_Artwork_Sizes_Export!$B:$B,0)),""))</f>
        <v/>
      </c>
      <c r="V62" s="2" t="str">
        <f>IF($D62="","",IFERROR(INDEX(DB_Artwork_Sizes_Export!$F:$F,MATCH($D62,DB_Artwork_Sizes_Export!$B:$B,0)),""))</f>
        <v/>
      </c>
      <c r="W62" s="2" t="str">
        <f t="shared" si="2"/>
        <v/>
      </c>
      <c r="X62" s="2"/>
      <c r="Y62" s="2"/>
      <c r="Z62" s="2"/>
      <c r="AA62" s="2"/>
      <c r="AB62" s="2"/>
      <c r="AC62" s="2"/>
      <c r="AD62" s="2"/>
      <c r="AE62" s="2"/>
      <c r="AF62" s="2" t="str">
        <f t="shared" si="3"/>
        <v/>
      </c>
      <c r="AG62" s="2" t="str">
        <f t="shared" si="4"/>
        <v/>
      </c>
      <c r="AH62" s="2" t="str">
        <f>IF($AG62="","",IFERROR(VLOOKUP($AG62,DB_Categories_Export!$A:$B,2,FALSE()),"INVALID CATEGORY"))</f>
        <v/>
      </c>
      <c r="AI62" s="2" t="str">
        <f t="shared" si="5"/>
        <v/>
      </c>
      <c r="AJ62" s="2" t="str">
        <f t="shared" si="6"/>
        <v/>
      </c>
      <c r="AK62" s="2" t="str">
        <f t="shared" si="7"/>
        <v/>
      </c>
      <c r="AL62" s="2" t="str">
        <f t="shared" si="8"/>
        <v/>
      </c>
      <c r="AM62" s="2" t="str">
        <f t="shared" si="9"/>
        <v/>
      </c>
      <c r="AN62" s="2"/>
      <c r="AO62" s="2"/>
    </row>
    <row r="63" spans="1:41" ht="12" customHeight="1" x14ac:dyDescent="0.3">
      <c r="A63" s="2"/>
      <c r="B63" s="2" t="str">
        <f t="shared" si="0"/>
        <v/>
      </c>
      <c r="C63" s="2" t="str">
        <f t="shared" si="1"/>
        <v/>
      </c>
      <c r="D63" s="2" t="str">
        <f>IF(DB_Artworks_Export!A63="","",DB_Artworks_Export!A63)</f>
        <v/>
      </c>
      <c r="E63" s="2" t="str">
        <f>IF(DB_Artworks_Export!B63="","",DB_Artworks_Export!B63)</f>
        <v/>
      </c>
      <c r="F63" s="2" t="str">
        <f>IF(DB_Artworks_Export!C63="","",DB_Artworks_Export!C63)</f>
        <v/>
      </c>
      <c r="G63" s="2" t="str">
        <f>IF(DB_Artworks_Export!D63="","",DB_Artworks_Export!D63)</f>
        <v/>
      </c>
      <c r="H63" s="2" t="str">
        <f>IF(DB_Artworks_Export!E63="","",DB_Artworks_Export!E63)</f>
        <v/>
      </c>
      <c r="I63" s="2" t="str">
        <f>IF(DB_Artworks_Export!F63="","",DB_Artworks_Export!F63)</f>
        <v/>
      </c>
      <c r="J63" s="2" t="str">
        <f>IF(DB_Artworks_Export!G63="","",DB_Artworks_Export!G63)</f>
        <v/>
      </c>
      <c r="K63" s="2" t="str">
        <f>IF(DB_Artworks_Export!H63="","",DB_Artworks_Export!H63)</f>
        <v/>
      </c>
      <c r="L63" s="2" t="str">
        <f>IF(DB_Artworks_Export!I63="","",DB_Artworks_Export!I63)</f>
        <v/>
      </c>
      <c r="M63" s="2" t="str">
        <f>IF(DB_Artworks_Export!J63="","",DB_Artworks_Export!J63)</f>
        <v/>
      </c>
      <c r="N63" s="2" t="str">
        <f>IF(DB_Artworks_Export!K63="","",DB_Artworks_Export!K63)</f>
        <v/>
      </c>
      <c r="O63" s="2" t="str">
        <f>IF(DB_Artworks_Export!L63="","",DB_Artworks_Export!L63)</f>
        <v/>
      </c>
      <c r="P63" s="2" t="str">
        <f>IF(DB_Artworks_Export!M63="","",DB_Artworks_Export!M63)</f>
        <v/>
      </c>
      <c r="Q63" s="2" t="str">
        <f>IF(DB_Artworks_Export!N63="","",DB_Artworks_Export!N63)</f>
        <v/>
      </c>
      <c r="R63" s="2" t="str">
        <f>IF($D63="","",IF(COUNTIF(DB_Categories_Export!$A:$A,$F63)&gt;0,"OK","INVALID CATEGORY"))</f>
        <v/>
      </c>
      <c r="S63" s="2" t="str">
        <f>IF($D63="","",COUNTIF(DB_Artwork_Sizes_Export!$B:$B,$D63))</f>
        <v/>
      </c>
      <c r="T63" s="2" t="str">
        <f>IF($D63="","",IFERROR(INDEX(DB_Artwork_Sizes_Export!$D:$D,MATCH($D63,DB_Artwork_Sizes_Export!$B:$B,0)),""))</f>
        <v/>
      </c>
      <c r="U63" s="2" t="str">
        <f>IF($D63="","",IFERROR(INDEX(DB_Artwork_Sizes_Export!$E:$E,MATCH($D63,DB_Artwork_Sizes_Export!$B:$B,0)),""))</f>
        <v/>
      </c>
      <c r="V63" s="2" t="str">
        <f>IF($D63="","",IFERROR(INDEX(DB_Artwork_Sizes_Export!$F:$F,MATCH($D63,DB_Artwork_Sizes_Export!$B:$B,0)),""))</f>
        <v/>
      </c>
      <c r="W63" s="2" t="str">
        <f t="shared" si="2"/>
        <v/>
      </c>
      <c r="X63" s="2"/>
      <c r="Y63" s="2"/>
      <c r="Z63" s="2"/>
      <c r="AA63" s="2"/>
      <c r="AB63" s="2"/>
      <c r="AC63" s="2"/>
      <c r="AD63" s="2"/>
      <c r="AE63" s="2"/>
      <c r="AF63" s="2" t="str">
        <f t="shared" si="3"/>
        <v/>
      </c>
      <c r="AG63" s="2" t="str">
        <f t="shared" si="4"/>
        <v/>
      </c>
      <c r="AH63" s="2" t="str">
        <f>IF($AG63="","",IFERROR(VLOOKUP($AG63,DB_Categories_Export!$A:$B,2,FALSE()),"INVALID CATEGORY"))</f>
        <v/>
      </c>
      <c r="AI63" s="2" t="str">
        <f t="shared" si="5"/>
        <v/>
      </c>
      <c r="AJ63" s="2" t="str">
        <f t="shared" si="6"/>
        <v/>
      </c>
      <c r="AK63" s="2" t="str">
        <f t="shared" si="7"/>
        <v/>
      </c>
      <c r="AL63" s="2" t="str">
        <f t="shared" si="8"/>
        <v/>
      </c>
      <c r="AM63" s="2" t="str">
        <f t="shared" si="9"/>
        <v/>
      </c>
      <c r="AN63" s="2"/>
      <c r="AO63" s="2"/>
    </row>
    <row r="64" spans="1:41" ht="12" customHeight="1" x14ac:dyDescent="0.3">
      <c r="A64" s="2"/>
      <c r="B64" s="2" t="str">
        <f t="shared" si="0"/>
        <v/>
      </c>
      <c r="C64" s="2" t="str">
        <f t="shared" si="1"/>
        <v/>
      </c>
      <c r="D64" s="2" t="str">
        <f>IF(DB_Artworks_Export!A64="","",DB_Artworks_Export!A64)</f>
        <v/>
      </c>
      <c r="E64" s="2" t="str">
        <f>IF(DB_Artworks_Export!B64="","",DB_Artworks_Export!B64)</f>
        <v/>
      </c>
      <c r="F64" s="2" t="str">
        <f>IF(DB_Artworks_Export!C64="","",DB_Artworks_Export!C64)</f>
        <v/>
      </c>
      <c r="G64" s="2" t="str">
        <f>IF(DB_Artworks_Export!D64="","",DB_Artworks_Export!D64)</f>
        <v/>
      </c>
      <c r="H64" s="2" t="str">
        <f>IF(DB_Artworks_Export!E64="","",DB_Artworks_Export!E64)</f>
        <v/>
      </c>
      <c r="I64" s="2" t="str">
        <f>IF(DB_Artworks_Export!F64="","",DB_Artworks_Export!F64)</f>
        <v/>
      </c>
      <c r="J64" s="2" t="str">
        <f>IF(DB_Artworks_Export!G64="","",DB_Artworks_Export!G64)</f>
        <v/>
      </c>
      <c r="K64" s="2" t="str">
        <f>IF(DB_Artworks_Export!H64="","",DB_Artworks_Export!H64)</f>
        <v/>
      </c>
      <c r="L64" s="2" t="str">
        <f>IF(DB_Artworks_Export!I64="","",DB_Artworks_Export!I64)</f>
        <v/>
      </c>
      <c r="M64" s="2" t="str">
        <f>IF(DB_Artworks_Export!J64="","",DB_Artworks_Export!J64)</f>
        <v/>
      </c>
      <c r="N64" s="2" t="str">
        <f>IF(DB_Artworks_Export!K64="","",DB_Artworks_Export!K64)</f>
        <v/>
      </c>
      <c r="O64" s="2" t="str">
        <f>IF(DB_Artworks_Export!L64="","",DB_Artworks_Export!L64)</f>
        <v/>
      </c>
      <c r="P64" s="2" t="str">
        <f>IF(DB_Artworks_Export!M64="","",DB_Artworks_Export!M64)</f>
        <v/>
      </c>
      <c r="Q64" s="2" t="str">
        <f>IF(DB_Artworks_Export!N64="","",DB_Artworks_Export!N64)</f>
        <v/>
      </c>
      <c r="R64" s="2" t="str">
        <f>IF($D64="","",IF(COUNTIF(DB_Categories_Export!$A:$A,$F64)&gt;0,"OK","INVALID CATEGORY"))</f>
        <v/>
      </c>
      <c r="S64" s="2" t="str">
        <f>IF($D64="","",COUNTIF(DB_Artwork_Sizes_Export!$B:$B,$D64))</f>
        <v/>
      </c>
      <c r="T64" s="2" t="str">
        <f>IF($D64="","",IFERROR(INDEX(DB_Artwork_Sizes_Export!$D:$D,MATCH($D64,DB_Artwork_Sizes_Export!$B:$B,0)),""))</f>
        <v/>
      </c>
      <c r="U64" s="2" t="str">
        <f>IF($D64="","",IFERROR(INDEX(DB_Artwork_Sizes_Export!$E:$E,MATCH($D64,DB_Artwork_Sizes_Export!$B:$B,0)),""))</f>
        <v/>
      </c>
      <c r="V64" s="2" t="str">
        <f>IF($D64="","",IFERROR(INDEX(DB_Artwork_Sizes_Export!$F:$F,MATCH($D64,DB_Artwork_Sizes_Export!$B:$B,0)),""))</f>
        <v/>
      </c>
      <c r="W64" s="2" t="str">
        <f t="shared" si="2"/>
        <v/>
      </c>
      <c r="X64" s="2"/>
      <c r="Y64" s="2"/>
      <c r="Z64" s="2"/>
      <c r="AA64" s="2"/>
      <c r="AB64" s="2"/>
      <c r="AC64" s="2"/>
      <c r="AD64" s="2"/>
      <c r="AE64" s="2"/>
      <c r="AF64" s="2" t="str">
        <f t="shared" si="3"/>
        <v/>
      </c>
      <c r="AG64" s="2" t="str">
        <f t="shared" si="4"/>
        <v/>
      </c>
      <c r="AH64" s="2" t="str">
        <f>IF($AG64="","",IFERROR(VLOOKUP($AG64,DB_Categories_Export!$A:$B,2,FALSE()),"INVALID CATEGORY"))</f>
        <v/>
      </c>
      <c r="AI64" s="2" t="str">
        <f t="shared" si="5"/>
        <v/>
      </c>
      <c r="AJ64" s="2" t="str">
        <f t="shared" si="6"/>
        <v/>
      </c>
      <c r="AK64" s="2" t="str">
        <f t="shared" si="7"/>
        <v/>
      </c>
      <c r="AL64" s="2" t="str">
        <f t="shared" si="8"/>
        <v/>
      </c>
      <c r="AM64" s="2" t="str">
        <f t="shared" si="9"/>
        <v/>
      </c>
      <c r="AN64" s="2"/>
      <c r="AO64" s="2"/>
    </row>
    <row r="65" spans="1:41" ht="12" customHeight="1" x14ac:dyDescent="0.3">
      <c r="A65" s="2"/>
      <c r="B65" s="2" t="str">
        <f t="shared" si="0"/>
        <v/>
      </c>
      <c r="C65" s="2" t="str">
        <f t="shared" si="1"/>
        <v/>
      </c>
      <c r="D65" s="2" t="str">
        <f>IF(DB_Artworks_Export!A65="","",DB_Artworks_Export!A65)</f>
        <v/>
      </c>
      <c r="E65" s="2" t="str">
        <f>IF(DB_Artworks_Export!B65="","",DB_Artworks_Export!B65)</f>
        <v/>
      </c>
      <c r="F65" s="2" t="str">
        <f>IF(DB_Artworks_Export!C65="","",DB_Artworks_Export!C65)</f>
        <v/>
      </c>
      <c r="G65" s="2" t="str">
        <f>IF(DB_Artworks_Export!D65="","",DB_Artworks_Export!D65)</f>
        <v/>
      </c>
      <c r="H65" s="2" t="str">
        <f>IF(DB_Artworks_Export!E65="","",DB_Artworks_Export!E65)</f>
        <v/>
      </c>
      <c r="I65" s="2" t="str">
        <f>IF(DB_Artworks_Export!F65="","",DB_Artworks_Export!F65)</f>
        <v/>
      </c>
      <c r="J65" s="2" t="str">
        <f>IF(DB_Artworks_Export!G65="","",DB_Artworks_Export!G65)</f>
        <v/>
      </c>
      <c r="K65" s="2" t="str">
        <f>IF(DB_Artworks_Export!H65="","",DB_Artworks_Export!H65)</f>
        <v/>
      </c>
      <c r="L65" s="2" t="str">
        <f>IF(DB_Artworks_Export!I65="","",DB_Artworks_Export!I65)</f>
        <v/>
      </c>
      <c r="M65" s="2" t="str">
        <f>IF(DB_Artworks_Export!J65="","",DB_Artworks_Export!J65)</f>
        <v/>
      </c>
      <c r="N65" s="2" t="str">
        <f>IF(DB_Artworks_Export!K65="","",DB_Artworks_Export!K65)</f>
        <v/>
      </c>
      <c r="O65" s="2" t="str">
        <f>IF(DB_Artworks_Export!L65="","",DB_Artworks_Export!L65)</f>
        <v/>
      </c>
      <c r="P65" s="2" t="str">
        <f>IF(DB_Artworks_Export!M65="","",DB_Artworks_Export!M65)</f>
        <v/>
      </c>
      <c r="Q65" s="2" t="str">
        <f>IF(DB_Artworks_Export!N65="","",DB_Artworks_Export!N65)</f>
        <v/>
      </c>
      <c r="R65" s="2" t="str">
        <f>IF($D65="","",IF(COUNTIF(DB_Categories_Export!$A:$A,$F65)&gt;0,"OK","INVALID CATEGORY"))</f>
        <v/>
      </c>
      <c r="S65" s="2" t="str">
        <f>IF($D65="","",COUNTIF(DB_Artwork_Sizes_Export!$B:$B,$D65))</f>
        <v/>
      </c>
      <c r="T65" s="2" t="str">
        <f>IF($D65="","",IFERROR(INDEX(DB_Artwork_Sizes_Export!$D:$D,MATCH($D65,DB_Artwork_Sizes_Export!$B:$B,0)),""))</f>
        <v/>
      </c>
      <c r="U65" s="2" t="str">
        <f>IF($D65="","",IFERROR(INDEX(DB_Artwork_Sizes_Export!$E:$E,MATCH($D65,DB_Artwork_Sizes_Export!$B:$B,0)),""))</f>
        <v/>
      </c>
      <c r="V65" s="2" t="str">
        <f>IF($D65="","",IFERROR(INDEX(DB_Artwork_Sizes_Export!$F:$F,MATCH($D65,DB_Artwork_Sizes_Export!$B:$B,0)),""))</f>
        <v/>
      </c>
      <c r="W65" s="2" t="str">
        <f t="shared" si="2"/>
        <v/>
      </c>
      <c r="X65" s="2"/>
      <c r="Y65" s="2"/>
      <c r="Z65" s="2"/>
      <c r="AA65" s="2"/>
      <c r="AB65" s="2"/>
      <c r="AC65" s="2"/>
      <c r="AD65" s="2"/>
      <c r="AE65" s="2"/>
      <c r="AF65" s="2" t="str">
        <f t="shared" si="3"/>
        <v/>
      </c>
      <c r="AG65" s="2" t="str">
        <f t="shared" si="4"/>
        <v/>
      </c>
      <c r="AH65" s="2" t="str">
        <f>IF($AG65="","",IFERROR(VLOOKUP($AG65,DB_Categories_Export!$A:$B,2,FALSE()),"INVALID CATEGORY"))</f>
        <v/>
      </c>
      <c r="AI65" s="2" t="str">
        <f t="shared" si="5"/>
        <v/>
      </c>
      <c r="AJ65" s="2" t="str">
        <f t="shared" si="6"/>
        <v/>
      </c>
      <c r="AK65" s="2" t="str">
        <f t="shared" si="7"/>
        <v/>
      </c>
      <c r="AL65" s="2" t="str">
        <f t="shared" si="8"/>
        <v/>
      </c>
      <c r="AM65" s="2" t="str">
        <f t="shared" si="9"/>
        <v/>
      </c>
      <c r="AN65" s="2"/>
      <c r="AO65" s="2"/>
    </row>
    <row r="66" spans="1:41" ht="12" customHeight="1" x14ac:dyDescent="0.3">
      <c r="A66" s="2"/>
      <c r="B66" s="2" t="str">
        <f t="shared" ref="B66:B129" si="10">IF($D66="","",IF(COUNTA($Y66:$AE66)&gt;0,"UPDATE","NO_CHANGE"))</f>
        <v/>
      </c>
      <c r="C66" s="2" t="str">
        <f t="shared" ref="C66:C129" si="11">IF($D66="","",IF($R66&lt;&gt;"OK","ERROR",IF(OR($E66="", $F66="", $J66=""),"ERROR",IF($W66&lt;&gt;"OK","WARNING","PASS"))))</f>
        <v/>
      </c>
      <c r="D66" s="2" t="str">
        <f>IF(DB_Artworks_Export!A66="","",DB_Artworks_Export!A66)</f>
        <v/>
      </c>
      <c r="E66" s="2" t="str">
        <f>IF(DB_Artworks_Export!B66="","",DB_Artworks_Export!B66)</f>
        <v/>
      </c>
      <c r="F66" s="2" t="str">
        <f>IF(DB_Artworks_Export!C66="","",DB_Artworks_Export!C66)</f>
        <v/>
      </c>
      <c r="G66" s="2" t="str">
        <f>IF(DB_Artworks_Export!D66="","",DB_Artworks_Export!D66)</f>
        <v/>
      </c>
      <c r="H66" s="2" t="str">
        <f>IF(DB_Artworks_Export!E66="","",DB_Artworks_Export!E66)</f>
        <v/>
      </c>
      <c r="I66" s="2" t="str">
        <f>IF(DB_Artworks_Export!F66="","",DB_Artworks_Export!F66)</f>
        <v/>
      </c>
      <c r="J66" s="2" t="str">
        <f>IF(DB_Artworks_Export!G66="","",DB_Artworks_Export!G66)</f>
        <v/>
      </c>
      <c r="K66" s="2" t="str">
        <f>IF(DB_Artworks_Export!H66="","",DB_Artworks_Export!H66)</f>
        <v/>
      </c>
      <c r="L66" s="2" t="str">
        <f>IF(DB_Artworks_Export!I66="","",DB_Artworks_Export!I66)</f>
        <v/>
      </c>
      <c r="M66" s="2" t="str">
        <f>IF(DB_Artworks_Export!J66="","",DB_Artworks_Export!J66)</f>
        <v/>
      </c>
      <c r="N66" s="2" t="str">
        <f>IF(DB_Artworks_Export!K66="","",DB_Artworks_Export!K66)</f>
        <v/>
      </c>
      <c r="O66" s="2" t="str">
        <f>IF(DB_Artworks_Export!L66="","",DB_Artworks_Export!L66)</f>
        <v/>
      </c>
      <c r="P66" s="2" t="str">
        <f>IF(DB_Artworks_Export!M66="","",DB_Artworks_Export!M66)</f>
        <v/>
      </c>
      <c r="Q66" s="2" t="str">
        <f>IF(DB_Artworks_Export!N66="","",DB_Artworks_Export!N66)</f>
        <v/>
      </c>
      <c r="R66" s="2" t="str">
        <f>IF($D66="","",IF(COUNTIF(DB_Categories_Export!$A:$A,$F66)&gt;0,"OK","INVALID CATEGORY"))</f>
        <v/>
      </c>
      <c r="S66" s="2" t="str">
        <f>IF($D66="","",COUNTIF(DB_Artwork_Sizes_Export!$B:$B,$D66))</f>
        <v/>
      </c>
      <c r="T66" s="2" t="str">
        <f>IF($D66="","",IFERROR(INDEX(DB_Artwork_Sizes_Export!$D:$D,MATCH($D66,DB_Artwork_Sizes_Export!$B:$B,0)),""))</f>
        <v/>
      </c>
      <c r="U66" s="2" t="str">
        <f>IF($D66="","",IFERROR(INDEX(DB_Artwork_Sizes_Export!$E:$E,MATCH($D66,DB_Artwork_Sizes_Export!$B:$B,0)),""))</f>
        <v/>
      </c>
      <c r="V66" s="2" t="str">
        <f>IF($D66="","",IFERROR(INDEX(DB_Artwork_Sizes_Export!$F:$F,MATCH($D66,DB_Artwork_Sizes_Export!$B:$B,0)),""))</f>
        <v/>
      </c>
      <c r="W66" s="2" t="str">
        <f t="shared" ref="W66:W129" si="12">IF($D66="","",IF($S66&gt;0,"REVIEW_SIZE_PRICING","OK"))</f>
        <v/>
      </c>
      <c r="X66" s="2"/>
      <c r="Y66" s="2"/>
      <c r="Z66" s="2"/>
      <c r="AA66" s="2"/>
      <c r="AB66" s="2"/>
      <c r="AC66" s="2"/>
      <c r="AD66" s="2"/>
      <c r="AE66" s="2"/>
      <c r="AF66" s="2" t="str">
        <f t="shared" ref="AF66:AF129" si="13">IF($Y66&lt;&gt;"",$Y66,$E66)</f>
        <v/>
      </c>
      <c r="AG66" s="2" t="str">
        <f t="shared" ref="AG66:AG129" si="14">IF($Z66&lt;&gt;"",$Z66,$F66)</f>
        <v/>
      </c>
      <c r="AH66" s="2" t="str">
        <f>IF($AG66="","",IFERROR(VLOOKUP($AG66,DB_Categories_Export!$A:$B,2,FALSE()),"INVALID CATEGORY"))</f>
        <v/>
      </c>
      <c r="AI66" s="2" t="str">
        <f t="shared" ref="AI66:AI129" si="15">IF($AA66&lt;&gt;"",$AA66,$H66)</f>
        <v/>
      </c>
      <c r="AJ66" s="2" t="str">
        <f t="shared" ref="AJ66:AJ129" si="16">IF($AB66&lt;&gt;"",$AB66,$I66)</f>
        <v/>
      </c>
      <c r="AK66" s="2" t="str">
        <f t="shared" ref="AK66:AK129" si="17">IF($AC66&lt;&gt;"",$AC66,$J66)</f>
        <v/>
      </c>
      <c r="AL66" s="2" t="str">
        <f t="shared" ref="AL66:AL129" si="18">IF($AD66&lt;&gt;"",$AD66,$N66)</f>
        <v/>
      </c>
      <c r="AM66" s="2" t="str">
        <f t="shared" ref="AM66:AM129" si="19">IF($AE66&lt;&gt;"",$AE66,$O66)</f>
        <v/>
      </c>
      <c r="AN66" s="2"/>
      <c r="AO66" s="2"/>
    </row>
    <row r="67" spans="1:41" ht="12" customHeight="1" x14ac:dyDescent="0.3">
      <c r="A67" s="2"/>
      <c r="B67" s="2" t="str">
        <f t="shared" si="10"/>
        <v/>
      </c>
      <c r="C67" s="2" t="str">
        <f t="shared" si="11"/>
        <v/>
      </c>
      <c r="D67" s="2" t="str">
        <f>IF(DB_Artworks_Export!A67="","",DB_Artworks_Export!A67)</f>
        <v/>
      </c>
      <c r="E67" s="2" t="str">
        <f>IF(DB_Artworks_Export!B67="","",DB_Artworks_Export!B67)</f>
        <v/>
      </c>
      <c r="F67" s="2" t="str">
        <f>IF(DB_Artworks_Export!C67="","",DB_Artworks_Export!C67)</f>
        <v/>
      </c>
      <c r="G67" s="2" t="str">
        <f>IF(DB_Artworks_Export!D67="","",DB_Artworks_Export!D67)</f>
        <v/>
      </c>
      <c r="H67" s="2" t="str">
        <f>IF(DB_Artworks_Export!E67="","",DB_Artworks_Export!E67)</f>
        <v/>
      </c>
      <c r="I67" s="2" t="str">
        <f>IF(DB_Artworks_Export!F67="","",DB_Artworks_Export!F67)</f>
        <v/>
      </c>
      <c r="J67" s="2" t="str">
        <f>IF(DB_Artworks_Export!G67="","",DB_Artworks_Export!G67)</f>
        <v/>
      </c>
      <c r="K67" s="2" t="str">
        <f>IF(DB_Artworks_Export!H67="","",DB_Artworks_Export!H67)</f>
        <v/>
      </c>
      <c r="L67" s="2" t="str">
        <f>IF(DB_Artworks_Export!I67="","",DB_Artworks_Export!I67)</f>
        <v/>
      </c>
      <c r="M67" s="2" t="str">
        <f>IF(DB_Artworks_Export!J67="","",DB_Artworks_Export!J67)</f>
        <v/>
      </c>
      <c r="N67" s="2" t="str">
        <f>IF(DB_Artworks_Export!K67="","",DB_Artworks_Export!K67)</f>
        <v/>
      </c>
      <c r="O67" s="2" t="str">
        <f>IF(DB_Artworks_Export!L67="","",DB_Artworks_Export!L67)</f>
        <v/>
      </c>
      <c r="P67" s="2" t="str">
        <f>IF(DB_Artworks_Export!M67="","",DB_Artworks_Export!M67)</f>
        <v/>
      </c>
      <c r="Q67" s="2" t="str">
        <f>IF(DB_Artworks_Export!N67="","",DB_Artworks_Export!N67)</f>
        <v/>
      </c>
      <c r="R67" s="2" t="str">
        <f>IF($D67="","",IF(COUNTIF(DB_Categories_Export!$A:$A,$F67)&gt;0,"OK","INVALID CATEGORY"))</f>
        <v/>
      </c>
      <c r="S67" s="2" t="str">
        <f>IF($D67="","",COUNTIF(DB_Artwork_Sizes_Export!$B:$B,$D67))</f>
        <v/>
      </c>
      <c r="T67" s="2" t="str">
        <f>IF($D67="","",IFERROR(INDEX(DB_Artwork_Sizes_Export!$D:$D,MATCH($D67,DB_Artwork_Sizes_Export!$B:$B,0)),""))</f>
        <v/>
      </c>
      <c r="U67" s="2" t="str">
        <f>IF($D67="","",IFERROR(INDEX(DB_Artwork_Sizes_Export!$E:$E,MATCH($D67,DB_Artwork_Sizes_Export!$B:$B,0)),""))</f>
        <v/>
      </c>
      <c r="V67" s="2" t="str">
        <f>IF($D67="","",IFERROR(INDEX(DB_Artwork_Sizes_Export!$F:$F,MATCH($D67,DB_Artwork_Sizes_Export!$B:$B,0)),""))</f>
        <v/>
      </c>
      <c r="W67" s="2" t="str">
        <f t="shared" si="12"/>
        <v/>
      </c>
      <c r="X67" s="2"/>
      <c r="Y67" s="2"/>
      <c r="Z67" s="2"/>
      <c r="AA67" s="2"/>
      <c r="AB67" s="2"/>
      <c r="AC67" s="2"/>
      <c r="AD67" s="2"/>
      <c r="AE67" s="2"/>
      <c r="AF67" s="2" t="str">
        <f t="shared" si="13"/>
        <v/>
      </c>
      <c r="AG67" s="2" t="str">
        <f t="shared" si="14"/>
        <v/>
      </c>
      <c r="AH67" s="2" t="str">
        <f>IF($AG67="","",IFERROR(VLOOKUP($AG67,DB_Categories_Export!$A:$B,2,FALSE()),"INVALID CATEGORY"))</f>
        <v/>
      </c>
      <c r="AI67" s="2" t="str">
        <f t="shared" si="15"/>
        <v/>
      </c>
      <c r="AJ67" s="2" t="str">
        <f t="shared" si="16"/>
        <v/>
      </c>
      <c r="AK67" s="2" t="str">
        <f t="shared" si="17"/>
        <v/>
      </c>
      <c r="AL67" s="2" t="str">
        <f t="shared" si="18"/>
        <v/>
      </c>
      <c r="AM67" s="2" t="str">
        <f t="shared" si="19"/>
        <v/>
      </c>
      <c r="AN67" s="2"/>
      <c r="AO67" s="2"/>
    </row>
    <row r="68" spans="1:41" ht="12" customHeight="1" x14ac:dyDescent="0.3">
      <c r="A68" s="2"/>
      <c r="B68" s="2" t="str">
        <f t="shared" si="10"/>
        <v/>
      </c>
      <c r="C68" s="2" t="str">
        <f t="shared" si="11"/>
        <v/>
      </c>
      <c r="D68" s="2" t="str">
        <f>IF(DB_Artworks_Export!A68="","",DB_Artworks_Export!A68)</f>
        <v/>
      </c>
      <c r="E68" s="2" t="str">
        <f>IF(DB_Artworks_Export!B68="","",DB_Artworks_Export!B68)</f>
        <v/>
      </c>
      <c r="F68" s="2" t="str">
        <f>IF(DB_Artworks_Export!C68="","",DB_Artworks_Export!C68)</f>
        <v/>
      </c>
      <c r="G68" s="2" t="str">
        <f>IF(DB_Artworks_Export!D68="","",DB_Artworks_Export!D68)</f>
        <v/>
      </c>
      <c r="H68" s="2" t="str">
        <f>IF(DB_Artworks_Export!E68="","",DB_Artworks_Export!E68)</f>
        <v/>
      </c>
      <c r="I68" s="2" t="str">
        <f>IF(DB_Artworks_Export!F68="","",DB_Artworks_Export!F68)</f>
        <v/>
      </c>
      <c r="J68" s="2" t="str">
        <f>IF(DB_Artworks_Export!G68="","",DB_Artworks_Export!G68)</f>
        <v/>
      </c>
      <c r="K68" s="2" t="str">
        <f>IF(DB_Artworks_Export!H68="","",DB_Artworks_Export!H68)</f>
        <v/>
      </c>
      <c r="L68" s="2" t="str">
        <f>IF(DB_Artworks_Export!I68="","",DB_Artworks_Export!I68)</f>
        <v/>
      </c>
      <c r="M68" s="2" t="str">
        <f>IF(DB_Artworks_Export!J68="","",DB_Artworks_Export!J68)</f>
        <v/>
      </c>
      <c r="N68" s="2" t="str">
        <f>IF(DB_Artworks_Export!K68="","",DB_Artworks_Export!K68)</f>
        <v/>
      </c>
      <c r="O68" s="2" t="str">
        <f>IF(DB_Artworks_Export!L68="","",DB_Artworks_Export!L68)</f>
        <v/>
      </c>
      <c r="P68" s="2" t="str">
        <f>IF(DB_Artworks_Export!M68="","",DB_Artworks_Export!M68)</f>
        <v/>
      </c>
      <c r="Q68" s="2" t="str">
        <f>IF(DB_Artworks_Export!N68="","",DB_Artworks_Export!N68)</f>
        <v/>
      </c>
      <c r="R68" s="2" t="str">
        <f>IF($D68="","",IF(COUNTIF(DB_Categories_Export!$A:$A,$F68)&gt;0,"OK","INVALID CATEGORY"))</f>
        <v/>
      </c>
      <c r="S68" s="2" t="str">
        <f>IF($D68="","",COUNTIF(DB_Artwork_Sizes_Export!$B:$B,$D68))</f>
        <v/>
      </c>
      <c r="T68" s="2" t="str">
        <f>IF($D68="","",IFERROR(INDEX(DB_Artwork_Sizes_Export!$D:$D,MATCH($D68,DB_Artwork_Sizes_Export!$B:$B,0)),""))</f>
        <v/>
      </c>
      <c r="U68" s="2" t="str">
        <f>IF($D68="","",IFERROR(INDEX(DB_Artwork_Sizes_Export!$E:$E,MATCH($D68,DB_Artwork_Sizes_Export!$B:$B,0)),""))</f>
        <v/>
      </c>
      <c r="V68" s="2" t="str">
        <f>IF($D68="","",IFERROR(INDEX(DB_Artwork_Sizes_Export!$F:$F,MATCH($D68,DB_Artwork_Sizes_Export!$B:$B,0)),""))</f>
        <v/>
      </c>
      <c r="W68" s="2" t="str">
        <f t="shared" si="12"/>
        <v/>
      </c>
      <c r="X68" s="2"/>
      <c r="Y68" s="2"/>
      <c r="Z68" s="2"/>
      <c r="AA68" s="2"/>
      <c r="AB68" s="2"/>
      <c r="AC68" s="2"/>
      <c r="AD68" s="2"/>
      <c r="AE68" s="2"/>
      <c r="AF68" s="2" t="str">
        <f t="shared" si="13"/>
        <v/>
      </c>
      <c r="AG68" s="2" t="str">
        <f t="shared" si="14"/>
        <v/>
      </c>
      <c r="AH68" s="2" t="str">
        <f>IF($AG68="","",IFERROR(VLOOKUP($AG68,DB_Categories_Export!$A:$B,2,FALSE()),"INVALID CATEGORY"))</f>
        <v/>
      </c>
      <c r="AI68" s="2" t="str">
        <f t="shared" si="15"/>
        <v/>
      </c>
      <c r="AJ68" s="2" t="str">
        <f t="shared" si="16"/>
        <v/>
      </c>
      <c r="AK68" s="2" t="str">
        <f t="shared" si="17"/>
        <v/>
      </c>
      <c r="AL68" s="2" t="str">
        <f t="shared" si="18"/>
        <v/>
      </c>
      <c r="AM68" s="2" t="str">
        <f t="shared" si="19"/>
        <v/>
      </c>
      <c r="AN68" s="2"/>
      <c r="AO68" s="2"/>
    </row>
    <row r="69" spans="1:41" ht="12" customHeight="1" x14ac:dyDescent="0.3">
      <c r="A69" s="2"/>
      <c r="B69" s="2" t="str">
        <f t="shared" si="10"/>
        <v/>
      </c>
      <c r="C69" s="2" t="str">
        <f t="shared" si="11"/>
        <v/>
      </c>
      <c r="D69" s="2" t="str">
        <f>IF(DB_Artworks_Export!A69="","",DB_Artworks_Export!A69)</f>
        <v/>
      </c>
      <c r="E69" s="2" t="str">
        <f>IF(DB_Artworks_Export!B69="","",DB_Artworks_Export!B69)</f>
        <v/>
      </c>
      <c r="F69" s="2" t="str">
        <f>IF(DB_Artworks_Export!C69="","",DB_Artworks_Export!C69)</f>
        <v/>
      </c>
      <c r="G69" s="2" t="str">
        <f>IF(DB_Artworks_Export!D69="","",DB_Artworks_Export!D69)</f>
        <v/>
      </c>
      <c r="H69" s="2" t="str">
        <f>IF(DB_Artworks_Export!E69="","",DB_Artworks_Export!E69)</f>
        <v/>
      </c>
      <c r="I69" s="2" t="str">
        <f>IF(DB_Artworks_Export!F69="","",DB_Artworks_Export!F69)</f>
        <v/>
      </c>
      <c r="J69" s="2" t="str">
        <f>IF(DB_Artworks_Export!G69="","",DB_Artworks_Export!G69)</f>
        <v/>
      </c>
      <c r="K69" s="2" t="str">
        <f>IF(DB_Artworks_Export!H69="","",DB_Artworks_Export!H69)</f>
        <v/>
      </c>
      <c r="L69" s="2" t="str">
        <f>IF(DB_Artworks_Export!I69="","",DB_Artworks_Export!I69)</f>
        <v/>
      </c>
      <c r="M69" s="2" t="str">
        <f>IF(DB_Artworks_Export!J69="","",DB_Artworks_Export!J69)</f>
        <v/>
      </c>
      <c r="N69" s="2" t="str">
        <f>IF(DB_Artworks_Export!K69="","",DB_Artworks_Export!K69)</f>
        <v/>
      </c>
      <c r="O69" s="2" t="str">
        <f>IF(DB_Artworks_Export!L69="","",DB_Artworks_Export!L69)</f>
        <v/>
      </c>
      <c r="P69" s="2" t="str">
        <f>IF(DB_Artworks_Export!M69="","",DB_Artworks_Export!M69)</f>
        <v/>
      </c>
      <c r="Q69" s="2" t="str">
        <f>IF(DB_Artworks_Export!N69="","",DB_Artworks_Export!N69)</f>
        <v/>
      </c>
      <c r="R69" s="2" t="str">
        <f>IF($D69="","",IF(COUNTIF(DB_Categories_Export!$A:$A,$F69)&gt;0,"OK","INVALID CATEGORY"))</f>
        <v/>
      </c>
      <c r="S69" s="2" t="str">
        <f>IF($D69="","",COUNTIF(DB_Artwork_Sizes_Export!$B:$B,$D69))</f>
        <v/>
      </c>
      <c r="T69" s="2" t="str">
        <f>IF($D69="","",IFERROR(INDEX(DB_Artwork_Sizes_Export!$D:$D,MATCH($D69,DB_Artwork_Sizes_Export!$B:$B,0)),""))</f>
        <v/>
      </c>
      <c r="U69" s="2" t="str">
        <f>IF($D69="","",IFERROR(INDEX(DB_Artwork_Sizes_Export!$E:$E,MATCH($D69,DB_Artwork_Sizes_Export!$B:$B,0)),""))</f>
        <v/>
      </c>
      <c r="V69" s="2" t="str">
        <f>IF($D69="","",IFERROR(INDEX(DB_Artwork_Sizes_Export!$F:$F,MATCH($D69,DB_Artwork_Sizes_Export!$B:$B,0)),""))</f>
        <v/>
      </c>
      <c r="W69" s="2" t="str">
        <f t="shared" si="12"/>
        <v/>
      </c>
      <c r="X69" s="2"/>
      <c r="Y69" s="2"/>
      <c r="Z69" s="2"/>
      <c r="AA69" s="2"/>
      <c r="AB69" s="2"/>
      <c r="AC69" s="2"/>
      <c r="AD69" s="2"/>
      <c r="AE69" s="2"/>
      <c r="AF69" s="2" t="str">
        <f t="shared" si="13"/>
        <v/>
      </c>
      <c r="AG69" s="2" t="str">
        <f t="shared" si="14"/>
        <v/>
      </c>
      <c r="AH69" s="2" t="str">
        <f>IF($AG69="","",IFERROR(VLOOKUP($AG69,DB_Categories_Export!$A:$B,2,FALSE()),"INVALID CATEGORY"))</f>
        <v/>
      </c>
      <c r="AI69" s="2" t="str">
        <f t="shared" si="15"/>
        <v/>
      </c>
      <c r="AJ69" s="2" t="str">
        <f t="shared" si="16"/>
        <v/>
      </c>
      <c r="AK69" s="2" t="str">
        <f t="shared" si="17"/>
        <v/>
      </c>
      <c r="AL69" s="2" t="str">
        <f t="shared" si="18"/>
        <v/>
      </c>
      <c r="AM69" s="2" t="str">
        <f t="shared" si="19"/>
        <v/>
      </c>
      <c r="AN69" s="2"/>
      <c r="AO69" s="2"/>
    </row>
    <row r="70" spans="1:41" ht="12" customHeight="1" x14ac:dyDescent="0.3">
      <c r="A70" s="2"/>
      <c r="B70" s="2" t="str">
        <f t="shared" si="10"/>
        <v/>
      </c>
      <c r="C70" s="2" t="str">
        <f t="shared" si="11"/>
        <v/>
      </c>
      <c r="D70" s="2" t="str">
        <f>IF(DB_Artworks_Export!A70="","",DB_Artworks_Export!A70)</f>
        <v/>
      </c>
      <c r="E70" s="2" t="str">
        <f>IF(DB_Artworks_Export!B70="","",DB_Artworks_Export!B70)</f>
        <v/>
      </c>
      <c r="F70" s="2" t="str">
        <f>IF(DB_Artworks_Export!C70="","",DB_Artworks_Export!C70)</f>
        <v/>
      </c>
      <c r="G70" s="2" t="str">
        <f>IF(DB_Artworks_Export!D70="","",DB_Artworks_Export!D70)</f>
        <v/>
      </c>
      <c r="H70" s="2" t="str">
        <f>IF(DB_Artworks_Export!E70="","",DB_Artworks_Export!E70)</f>
        <v/>
      </c>
      <c r="I70" s="2" t="str">
        <f>IF(DB_Artworks_Export!F70="","",DB_Artworks_Export!F70)</f>
        <v/>
      </c>
      <c r="J70" s="2" t="str">
        <f>IF(DB_Artworks_Export!G70="","",DB_Artworks_Export!G70)</f>
        <v/>
      </c>
      <c r="K70" s="2" t="str">
        <f>IF(DB_Artworks_Export!H70="","",DB_Artworks_Export!H70)</f>
        <v/>
      </c>
      <c r="L70" s="2" t="str">
        <f>IF(DB_Artworks_Export!I70="","",DB_Artworks_Export!I70)</f>
        <v/>
      </c>
      <c r="M70" s="2" t="str">
        <f>IF(DB_Artworks_Export!J70="","",DB_Artworks_Export!J70)</f>
        <v/>
      </c>
      <c r="N70" s="2" t="str">
        <f>IF(DB_Artworks_Export!K70="","",DB_Artworks_Export!K70)</f>
        <v/>
      </c>
      <c r="O70" s="2" t="str">
        <f>IF(DB_Artworks_Export!L70="","",DB_Artworks_Export!L70)</f>
        <v/>
      </c>
      <c r="P70" s="2" t="str">
        <f>IF(DB_Artworks_Export!M70="","",DB_Artworks_Export!M70)</f>
        <v/>
      </c>
      <c r="Q70" s="2" t="str">
        <f>IF(DB_Artworks_Export!N70="","",DB_Artworks_Export!N70)</f>
        <v/>
      </c>
      <c r="R70" s="2" t="str">
        <f>IF($D70="","",IF(COUNTIF(DB_Categories_Export!$A:$A,$F70)&gt;0,"OK","INVALID CATEGORY"))</f>
        <v/>
      </c>
      <c r="S70" s="2" t="str">
        <f>IF($D70="","",COUNTIF(DB_Artwork_Sizes_Export!$B:$B,$D70))</f>
        <v/>
      </c>
      <c r="T70" s="2" t="str">
        <f>IF($D70="","",IFERROR(INDEX(DB_Artwork_Sizes_Export!$D:$D,MATCH($D70,DB_Artwork_Sizes_Export!$B:$B,0)),""))</f>
        <v/>
      </c>
      <c r="U70" s="2" t="str">
        <f>IF($D70="","",IFERROR(INDEX(DB_Artwork_Sizes_Export!$E:$E,MATCH($D70,DB_Artwork_Sizes_Export!$B:$B,0)),""))</f>
        <v/>
      </c>
      <c r="V70" s="2" t="str">
        <f>IF($D70="","",IFERROR(INDEX(DB_Artwork_Sizes_Export!$F:$F,MATCH($D70,DB_Artwork_Sizes_Export!$B:$B,0)),""))</f>
        <v/>
      </c>
      <c r="W70" s="2" t="str">
        <f t="shared" si="12"/>
        <v/>
      </c>
      <c r="X70" s="2"/>
      <c r="Y70" s="2"/>
      <c r="Z70" s="2"/>
      <c r="AA70" s="2"/>
      <c r="AB70" s="2"/>
      <c r="AC70" s="2"/>
      <c r="AD70" s="2"/>
      <c r="AE70" s="2"/>
      <c r="AF70" s="2" t="str">
        <f t="shared" si="13"/>
        <v/>
      </c>
      <c r="AG70" s="2" t="str">
        <f t="shared" si="14"/>
        <v/>
      </c>
      <c r="AH70" s="2" t="str">
        <f>IF($AG70="","",IFERROR(VLOOKUP($AG70,DB_Categories_Export!$A:$B,2,FALSE()),"INVALID CATEGORY"))</f>
        <v/>
      </c>
      <c r="AI70" s="2" t="str">
        <f t="shared" si="15"/>
        <v/>
      </c>
      <c r="AJ70" s="2" t="str">
        <f t="shared" si="16"/>
        <v/>
      </c>
      <c r="AK70" s="2" t="str">
        <f t="shared" si="17"/>
        <v/>
      </c>
      <c r="AL70" s="2" t="str">
        <f t="shared" si="18"/>
        <v/>
      </c>
      <c r="AM70" s="2" t="str">
        <f t="shared" si="19"/>
        <v/>
      </c>
      <c r="AN70" s="2"/>
      <c r="AO70" s="2"/>
    </row>
    <row r="71" spans="1:41" ht="12" customHeight="1" x14ac:dyDescent="0.3">
      <c r="A71" s="2"/>
      <c r="B71" s="2" t="str">
        <f t="shared" si="10"/>
        <v/>
      </c>
      <c r="C71" s="2" t="str">
        <f t="shared" si="11"/>
        <v/>
      </c>
      <c r="D71" s="2" t="str">
        <f>IF(DB_Artworks_Export!A71="","",DB_Artworks_Export!A71)</f>
        <v/>
      </c>
      <c r="E71" s="2" t="str">
        <f>IF(DB_Artworks_Export!B71="","",DB_Artworks_Export!B71)</f>
        <v/>
      </c>
      <c r="F71" s="2" t="str">
        <f>IF(DB_Artworks_Export!C71="","",DB_Artworks_Export!C71)</f>
        <v/>
      </c>
      <c r="G71" s="2" t="str">
        <f>IF(DB_Artworks_Export!D71="","",DB_Artworks_Export!D71)</f>
        <v/>
      </c>
      <c r="H71" s="2" t="str">
        <f>IF(DB_Artworks_Export!E71="","",DB_Artworks_Export!E71)</f>
        <v/>
      </c>
      <c r="I71" s="2" t="str">
        <f>IF(DB_Artworks_Export!F71="","",DB_Artworks_Export!F71)</f>
        <v/>
      </c>
      <c r="J71" s="2" t="str">
        <f>IF(DB_Artworks_Export!G71="","",DB_Artworks_Export!G71)</f>
        <v/>
      </c>
      <c r="K71" s="2" t="str">
        <f>IF(DB_Artworks_Export!H71="","",DB_Artworks_Export!H71)</f>
        <v/>
      </c>
      <c r="L71" s="2" t="str">
        <f>IF(DB_Artworks_Export!I71="","",DB_Artworks_Export!I71)</f>
        <v/>
      </c>
      <c r="M71" s="2" t="str">
        <f>IF(DB_Artworks_Export!J71="","",DB_Artworks_Export!J71)</f>
        <v/>
      </c>
      <c r="N71" s="2" t="str">
        <f>IF(DB_Artworks_Export!K71="","",DB_Artworks_Export!K71)</f>
        <v/>
      </c>
      <c r="O71" s="2" t="str">
        <f>IF(DB_Artworks_Export!L71="","",DB_Artworks_Export!L71)</f>
        <v/>
      </c>
      <c r="P71" s="2" t="str">
        <f>IF(DB_Artworks_Export!M71="","",DB_Artworks_Export!M71)</f>
        <v/>
      </c>
      <c r="Q71" s="2" t="str">
        <f>IF(DB_Artworks_Export!N71="","",DB_Artworks_Export!N71)</f>
        <v/>
      </c>
      <c r="R71" s="2" t="str">
        <f>IF($D71="","",IF(COUNTIF(DB_Categories_Export!$A:$A,$F71)&gt;0,"OK","INVALID CATEGORY"))</f>
        <v/>
      </c>
      <c r="S71" s="2" t="str">
        <f>IF($D71="","",COUNTIF(DB_Artwork_Sizes_Export!$B:$B,$D71))</f>
        <v/>
      </c>
      <c r="T71" s="2" t="str">
        <f>IF($D71="","",IFERROR(INDEX(DB_Artwork_Sizes_Export!$D:$D,MATCH($D71,DB_Artwork_Sizes_Export!$B:$B,0)),""))</f>
        <v/>
      </c>
      <c r="U71" s="2" t="str">
        <f>IF($D71="","",IFERROR(INDEX(DB_Artwork_Sizes_Export!$E:$E,MATCH($D71,DB_Artwork_Sizes_Export!$B:$B,0)),""))</f>
        <v/>
      </c>
      <c r="V71" s="2" t="str">
        <f>IF($D71="","",IFERROR(INDEX(DB_Artwork_Sizes_Export!$F:$F,MATCH($D71,DB_Artwork_Sizes_Export!$B:$B,0)),""))</f>
        <v/>
      </c>
      <c r="W71" s="2" t="str">
        <f t="shared" si="12"/>
        <v/>
      </c>
      <c r="X71" s="2"/>
      <c r="Y71" s="2"/>
      <c r="Z71" s="2"/>
      <c r="AA71" s="2"/>
      <c r="AB71" s="2"/>
      <c r="AC71" s="2"/>
      <c r="AD71" s="2"/>
      <c r="AE71" s="2"/>
      <c r="AF71" s="2" t="str">
        <f t="shared" si="13"/>
        <v/>
      </c>
      <c r="AG71" s="2" t="str">
        <f t="shared" si="14"/>
        <v/>
      </c>
      <c r="AH71" s="2" t="str">
        <f>IF($AG71="","",IFERROR(VLOOKUP($AG71,DB_Categories_Export!$A:$B,2,FALSE()),"INVALID CATEGORY"))</f>
        <v/>
      </c>
      <c r="AI71" s="2" t="str">
        <f t="shared" si="15"/>
        <v/>
      </c>
      <c r="AJ71" s="2" t="str">
        <f t="shared" si="16"/>
        <v/>
      </c>
      <c r="AK71" s="2" t="str">
        <f t="shared" si="17"/>
        <v/>
      </c>
      <c r="AL71" s="2" t="str">
        <f t="shared" si="18"/>
        <v/>
      </c>
      <c r="AM71" s="2" t="str">
        <f t="shared" si="19"/>
        <v/>
      </c>
      <c r="AN71" s="2"/>
      <c r="AO71" s="2"/>
    </row>
    <row r="72" spans="1:41" ht="12" customHeight="1" x14ac:dyDescent="0.3">
      <c r="A72" s="2"/>
      <c r="B72" s="2" t="str">
        <f t="shared" si="10"/>
        <v/>
      </c>
      <c r="C72" s="2" t="str">
        <f t="shared" si="11"/>
        <v/>
      </c>
      <c r="D72" s="2" t="str">
        <f>IF(DB_Artworks_Export!A72="","",DB_Artworks_Export!A72)</f>
        <v/>
      </c>
      <c r="E72" s="2" t="str">
        <f>IF(DB_Artworks_Export!B72="","",DB_Artworks_Export!B72)</f>
        <v/>
      </c>
      <c r="F72" s="2" t="str">
        <f>IF(DB_Artworks_Export!C72="","",DB_Artworks_Export!C72)</f>
        <v/>
      </c>
      <c r="G72" s="2" t="str">
        <f>IF(DB_Artworks_Export!D72="","",DB_Artworks_Export!D72)</f>
        <v/>
      </c>
      <c r="H72" s="2" t="str">
        <f>IF(DB_Artworks_Export!E72="","",DB_Artworks_Export!E72)</f>
        <v/>
      </c>
      <c r="I72" s="2" t="str">
        <f>IF(DB_Artworks_Export!F72="","",DB_Artworks_Export!F72)</f>
        <v/>
      </c>
      <c r="J72" s="2" t="str">
        <f>IF(DB_Artworks_Export!G72="","",DB_Artworks_Export!G72)</f>
        <v/>
      </c>
      <c r="K72" s="2" t="str">
        <f>IF(DB_Artworks_Export!H72="","",DB_Artworks_Export!H72)</f>
        <v/>
      </c>
      <c r="L72" s="2" t="str">
        <f>IF(DB_Artworks_Export!I72="","",DB_Artworks_Export!I72)</f>
        <v/>
      </c>
      <c r="M72" s="2" t="str">
        <f>IF(DB_Artworks_Export!J72="","",DB_Artworks_Export!J72)</f>
        <v/>
      </c>
      <c r="N72" s="2" t="str">
        <f>IF(DB_Artworks_Export!K72="","",DB_Artworks_Export!K72)</f>
        <v/>
      </c>
      <c r="O72" s="2" t="str">
        <f>IF(DB_Artworks_Export!L72="","",DB_Artworks_Export!L72)</f>
        <v/>
      </c>
      <c r="P72" s="2" t="str">
        <f>IF(DB_Artworks_Export!M72="","",DB_Artworks_Export!M72)</f>
        <v/>
      </c>
      <c r="Q72" s="2" t="str">
        <f>IF(DB_Artworks_Export!N72="","",DB_Artworks_Export!N72)</f>
        <v/>
      </c>
      <c r="R72" s="2" t="str">
        <f>IF($D72="","",IF(COUNTIF(DB_Categories_Export!$A:$A,$F72)&gt;0,"OK","INVALID CATEGORY"))</f>
        <v/>
      </c>
      <c r="S72" s="2" t="str">
        <f>IF($D72="","",COUNTIF(DB_Artwork_Sizes_Export!$B:$B,$D72))</f>
        <v/>
      </c>
      <c r="T72" s="2" t="str">
        <f>IF($D72="","",IFERROR(INDEX(DB_Artwork_Sizes_Export!$D:$D,MATCH($D72,DB_Artwork_Sizes_Export!$B:$B,0)),""))</f>
        <v/>
      </c>
      <c r="U72" s="2" t="str">
        <f>IF($D72="","",IFERROR(INDEX(DB_Artwork_Sizes_Export!$E:$E,MATCH($D72,DB_Artwork_Sizes_Export!$B:$B,0)),""))</f>
        <v/>
      </c>
      <c r="V72" s="2" t="str">
        <f>IF($D72="","",IFERROR(INDEX(DB_Artwork_Sizes_Export!$F:$F,MATCH($D72,DB_Artwork_Sizes_Export!$B:$B,0)),""))</f>
        <v/>
      </c>
      <c r="W72" s="2" t="str">
        <f t="shared" si="12"/>
        <v/>
      </c>
      <c r="X72" s="2"/>
      <c r="Y72" s="2"/>
      <c r="Z72" s="2"/>
      <c r="AA72" s="2"/>
      <c r="AB72" s="2"/>
      <c r="AC72" s="2"/>
      <c r="AD72" s="2"/>
      <c r="AE72" s="2"/>
      <c r="AF72" s="2" t="str">
        <f t="shared" si="13"/>
        <v/>
      </c>
      <c r="AG72" s="2" t="str">
        <f t="shared" si="14"/>
        <v/>
      </c>
      <c r="AH72" s="2" t="str">
        <f>IF($AG72="","",IFERROR(VLOOKUP($AG72,DB_Categories_Export!$A:$B,2,FALSE()),"INVALID CATEGORY"))</f>
        <v/>
      </c>
      <c r="AI72" s="2" t="str">
        <f t="shared" si="15"/>
        <v/>
      </c>
      <c r="AJ72" s="2" t="str">
        <f t="shared" si="16"/>
        <v/>
      </c>
      <c r="AK72" s="2" t="str">
        <f t="shared" si="17"/>
        <v/>
      </c>
      <c r="AL72" s="2" t="str">
        <f t="shared" si="18"/>
        <v/>
      </c>
      <c r="AM72" s="2" t="str">
        <f t="shared" si="19"/>
        <v/>
      </c>
      <c r="AN72" s="2"/>
      <c r="AO72" s="2"/>
    </row>
    <row r="73" spans="1:41" ht="12" customHeight="1" x14ac:dyDescent="0.3">
      <c r="A73" s="2"/>
      <c r="B73" s="2" t="str">
        <f t="shared" si="10"/>
        <v/>
      </c>
      <c r="C73" s="2" t="str">
        <f t="shared" si="11"/>
        <v/>
      </c>
      <c r="D73" s="2" t="str">
        <f>IF(DB_Artworks_Export!A73="","",DB_Artworks_Export!A73)</f>
        <v/>
      </c>
      <c r="E73" s="2" t="str">
        <f>IF(DB_Artworks_Export!B73="","",DB_Artworks_Export!B73)</f>
        <v/>
      </c>
      <c r="F73" s="2" t="str">
        <f>IF(DB_Artworks_Export!C73="","",DB_Artworks_Export!C73)</f>
        <v/>
      </c>
      <c r="G73" s="2" t="str">
        <f>IF(DB_Artworks_Export!D73="","",DB_Artworks_Export!D73)</f>
        <v/>
      </c>
      <c r="H73" s="2" t="str">
        <f>IF(DB_Artworks_Export!E73="","",DB_Artworks_Export!E73)</f>
        <v/>
      </c>
      <c r="I73" s="2" t="str">
        <f>IF(DB_Artworks_Export!F73="","",DB_Artworks_Export!F73)</f>
        <v/>
      </c>
      <c r="J73" s="2" t="str">
        <f>IF(DB_Artworks_Export!G73="","",DB_Artworks_Export!G73)</f>
        <v/>
      </c>
      <c r="K73" s="2" t="str">
        <f>IF(DB_Artworks_Export!H73="","",DB_Artworks_Export!H73)</f>
        <v/>
      </c>
      <c r="L73" s="2" t="str">
        <f>IF(DB_Artworks_Export!I73="","",DB_Artworks_Export!I73)</f>
        <v/>
      </c>
      <c r="M73" s="2" t="str">
        <f>IF(DB_Artworks_Export!J73="","",DB_Artworks_Export!J73)</f>
        <v/>
      </c>
      <c r="N73" s="2" t="str">
        <f>IF(DB_Artworks_Export!K73="","",DB_Artworks_Export!K73)</f>
        <v/>
      </c>
      <c r="O73" s="2" t="str">
        <f>IF(DB_Artworks_Export!L73="","",DB_Artworks_Export!L73)</f>
        <v/>
      </c>
      <c r="P73" s="2" t="str">
        <f>IF(DB_Artworks_Export!M73="","",DB_Artworks_Export!M73)</f>
        <v/>
      </c>
      <c r="Q73" s="2" t="str">
        <f>IF(DB_Artworks_Export!N73="","",DB_Artworks_Export!N73)</f>
        <v/>
      </c>
      <c r="R73" s="2" t="str">
        <f>IF($D73="","",IF(COUNTIF(DB_Categories_Export!$A:$A,$F73)&gt;0,"OK","INVALID CATEGORY"))</f>
        <v/>
      </c>
      <c r="S73" s="2" t="str">
        <f>IF($D73="","",COUNTIF(DB_Artwork_Sizes_Export!$B:$B,$D73))</f>
        <v/>
      </c>
      <c r="T73" s="2" t="str">
        <f>IF($D73="","",IFERROR(INDEX(DB_Artwork_Sizes_Export!$D:$D,MATCH($D73,DB_Artwork_Sizes_Export!$B:$B,0)),""))</f>
        <v/>
      </c>
      <c r="U73" s="2" t="str">
        <f>IF($D73="","",IFERROR(INDEX(DB_Artwork_Sizes_Export!$E:$E,MATCH($D73,DB_Artwork_Sizes_Export!$B:$B,0)),""))</f>
        <v/>
      </c>
      <c r="V73" s="2" t="str">
        <f>IF($D73="","",IFERROR(INDEX(DB_Artwork_Sizes_Export!$F:$F,MATCH($D73,DB_Artwork_Sizes_Export!$B:$B,0)),""))</f>
        <v/>
      </c>
      <c r="W73" s="2" t="str">
        <f t="shared" si="12"/>
        <v/>
      </c>
      <c r="X73" s="2"/>
      <c r="Y73" s="2"/>
      <c r="Z73" s="2"/>
      <c r="AA73" s="2"/>
      <c r="AB73" s="2"/>
      <c r="AC73" s="2"/>
      <c r="AD73" s="2"/>
      <c r="AE73" s="2"/>
      <c r="AF73" s="2" t="str">
        <f t="shared" si="13"/>
        <v/>
      </c>
      <c r="AG73" s="2" t="str">
        <f t="shared" si="14"/>
        <v/>
      </c>
      <c r="AH73" s="2" t="str">
        <f>IF($AG73="","",IFERROR(VLOOKUP($AG73,DB_Categories_Export!$A:$B,2,FALSE()),"INVALID CATEGORY"))</f>
        <v/>
      </c>
      <c r="AI73" s="2" t="str">
        <f t="shared" si="15"/>
        <v/>
      </c>
      <c r="AJ73" s="2" t="str">
        <f t="shared" si="16"/>
        <v/>
      </c>
      <c r="AK73" s="2" t="str">
        <f t="shared" si="17"/>
        <v/>
      </c>
      <c r="AL73" s="2" t="str">
        <f t="shared" si="18"/>
        <v/>
      </c>
      <c r="AM73" s="2" t="str">
        <f t="shared" si="19"/>
        <v/>
      </c>
      <c r="AN73" s="2"/>
      <c r="AO73" s="2"/>
    </row>
    <row r="74" spans="1:41" ht="12" customHeight="1" x14ac:dyDescent="0.3">
      <c r="A74" s="2"/>
      <c r="B74" s="2" t="str">
        <f t="shared" si="10"/>
        <v/>
      </c>
      <c r="C74" s="2" t="str">
        <f t="shared" si="11"/>
        <v/>
      </c>
      <c r="D74" s="2" t="str">
        <f>IF(DB_Artworks_Export!A74="","",DB_Artworks_Export!A74)</f>
        <v/>
      </c>
      <c r="E74" s="2" t="str">
        <f>IF(DB_Artworks_Export!B74="","",DB_Artworks_Export!B74)</f>
        <v/>
      </c>
      <c r="F74" s="2" t="str">
        <f>IF(DB_Artworks_Export!C74="","",DB_Artworks_Export!C74)</f>
        <v/>
      </c>
      <c r="G74" s="2" t="str">
        <f>IF(DB_Artworks_Export!D74="","",DB_Artworks_Export!D74)</f>
        <v/>
      </c>
      <c r="H74" s="2" t="str">
        <f>IF(DB_Artworks_Export!E74="","",DB_Artworks_Export!E74)</f>
        <v/>
      </c>
      <c r="I74" s="2" t="str">
        <f>IF(DB_Artworks_Export!F74="","",DB_Artworks_Export!F74)</f>
        <v/>
      </c>
      <c r="J74" s="2" t="str">
        <f>IF(DB_Artworks_Export!G74="","",DB_Artworks_Export!G74)</f>
        <v/>
      </c>
      <c r="K74" s="2" t="str">
        <f>IF(DB_Artworks_Export!H74="","",DB_Artworks_Export!H74)</f>
        <v/>
      </c>
      <c r="L74" s="2" t="str">
        <f>IF(DB_Artworks_Export!I74="","",DB_Artworks_Export!I74)</f>
        <v/>
      </c>
      <c r="M74" s="2" t="str">
        <f>IF(DB_Artworks_Export!J74="","",DB_Artworks_Export!J74)</f>
        <v/>
      </c>
      <c r="N74" s="2" t="str">
        <f>IF(DB_Artworks_Export!K74="","",DB_Artworks_Export!K74)</f>
        <v/>
      </c>
      <c r="O74" s="2" t="str">
        <f>IF(DB_Artworks_Export!L74="","",DB_Artworks_Export!L74)</f>
        <v/>
      </c>
      <c r="P74" s="2" t="str">
        <f>IF(DB_Artworks_Export!M74="","",DB_Artworks_Export!M74)</f>
        <v/>
      </c>
      <c r="Q74" s="2" t="str">
        <f>IF(DB_Artworks_Export!N74="","",DB_Artworks_Export!N74)</f>
        <v/>
      </c>
      <c r="R74" s="2" t="str">
        <f>IF($D74="","",IF(COUNTIF(DB_Categories_Export!$A:$A,$F74)&gt;0,"OK","INVALID CATEGORY"))</f>
        <v/>
      </c>
      <c r="S74" s="2" t="str">
        <f>IF($D74="","",COUNTIF(DB_Artwork_Sizes_Export!$B:$B,$D74))</f>
        <v/>
      </c>
      <c r="T74" s="2" t="str">
        <f>IF($D74="","",IFERROR(INDEX(DB_Artwork_Sizes_Export!$D:$D,MATCH($D74,DB_Artwork_Sizes_Export!$B:$B,0)),""))</f>
        <v/>
      </c>
      <c r="U74" s="2" t="str">
        <f>IF($D74="","",IFERROR(INDEX(DB_Artwork_Sizes_Export!$E:$E,MATCH($D74,DB_Artwork_Sizes_Export!$B:$B,0)),""))</f>
        <v/>
      </c>
      <c r="V74" s="2" t="str">
        <f>IF($D74="","",IFERROR(INDEX(DB_Artwork_Sizes_Export!$F:$F,MATCH($D74,DB_Artwork_Sizes_Export!$B:$B,0)),""))</f>
        <v/>
      </c>
      <c r="W74" s="2" t="str">
        <f t="shared" si="12"/>
        <v/>
      </c>
      <c r="X74" s="2"/>
      <c r="Y74" s="2"/>
      <c r="Z74" s="2"/>
      <c r="AA74" s="2"/>
      <c r="AB74" s="2"/>
      <c r="AC74" s="2"/>
      <c r="AD74" s="2"/>
      <c r="AE74" s="2"/>
      <c r="AF74" s="2" t="str">
        <f t="shared" si="13"/>
        <v/>
      </c>
      <c r="AG74" s="2" t="str">
        <f t="shared" si="14"/>
        <v/>
      </c>
      <c r="AH74" s="2" t="str">
        <f>IF($AG74="","",IFERROR(VLOOKUP($AG74,DB_Categories_Export!$A:$B,2,FALSE()),"INVALID CATEGORY"))</f>
        <v/>
      </c>
      <c r="AI74" s="2" t="str">
        <f t="shared" si="15"/>
        <v/>
      </c>
      <c r="AJ74" s="2" t="str">
        <f t="shared" si="16"/>
        <v/>
      </c>
      <c r="AK74" s="2" t="str">
        <f t="shared" si="17"/>
        <v/>
      </c>
      <c r="AL74" s="2" t="str">
        <f t="shared" si="18"/>
        <v/>
      </c>
      <c r="AM74" s="2" t="str">
        <f t="shared" si="19"/>
        <v/>
      </c>
      <c r="AN74" s="2"/>
      <c r="AO74" s="2"/>
    </row>
    <row r="75" spans="1:41" ht="12" customHeight="1" x14ac:dyDescent="0.3">
      <c r="A75" s="2"/>
      <c r="B75" s="2" t="str">
        <f t="shared" si="10"/>
        <v/>
      </c>
      <c r="C75" s="2" t="str">
        <f t="shared" si="11"/>
        <v/>
      </c>
      <c r="D75" s="2" t="str">
        <f>IF(DB_Artworks_Export!A75="","",DB_Artworks_Export!A75)</f>
        <v/>
      </c>
      <c r="E75" s="2" t="str">
        <f>IF(DB_Artworks_Export!B75="","",DB_Artworks_Export!B75)</f>
        <v/>
      </c>
      <c r="F75" s="2" t="str">
        <f>IF(DB_Artworks_Export!C75="","",DB_Artworks_Export!C75)</f>
        <v/>
      </c>
      <c r="G75" s="2" t="str">
        <f>IF(DB_Artworks_Export!D75="","",DB_Artworks_Export!D75)</f>
        <v/>
      </c>
      <c r="H75" s="2" t="str">
        <f>IF(DB_Artworks_Export!E75="","",DB_Artworks_Export!E75)</f>
        <v/>
      </c>
      <c r="I75" s="2" t="str">
        <f>IF(DB_Artworks_Export!F75="","",DB_Artworks_Export!F75)</f>
        <v/>
      </c>
      <c r="J75" s="2" t="str">
        <f>IF(DB_Artworks_Export!G75="","",DB_Artworks_Export!G75)</f>
        <v/>
      </c>
      <c r="K75" s="2" t="str">
        <f>IF(DB_Artworks_Export!H75="","",DB_Artworks_Export!H75)</f>
        <v/>
      </c>
      <c r="L75" s="2" t="str">
        <f>IF(DB_Artworks_Export!I75="","",DB_Artworks_Export!I75)</f>
        <v/>
      </c>
      <c r="M75" s="2" t="str">
        <f>IF(DB_Artworks_Export!J75="","",DB_Artworks_Export!J75)</f>
        <v/>
      </c>
      <c r="N75" s="2" t="str">
        <f>IF(DB_Artworks_Export!K75="","",DB_Artworks_Export!K75)</f>
        <v/>
      </c>
      <c r="O75" s="2" t="str">
        <f>IF(DB_Artworks_Export!L75="","",DB_Artworks_Export!L75)</f>
        <v/>
      </c>
      <c r="P75" s="2" t="str">
        <f>IF(DB_Artworks_Export!M75="","",DB_Artworks_Export!M75)</f>
        <v/>
      </c>
      <c r="Q75" s="2" t="str">
        <f>IF(DB_Artworks_Export!N75="","",DB_Artworks_Export!N75)</f>
        <v/>
      </c>
      <c r="R75" s="2" t="str">
        <f>IF($D75="","",IF(COUNTIF(DB_Categories_Export!$A:$A,$F75)&gt;0,"OK","INVALID CATEGORY"))</f>
        <v/>
      </c>
      <c r="S75" s="2" t="str">
        <f>IF($D75="","",COUNTIF(DB_Artwork_Sizes_Export!$B:$B,$D75))</f>
        <v/>
      </c>
      <c r="T75" s="2" t="str">
        <f>IF($D75="","",IFERROR(INDEX(DB_Artwork_Sizes_Export!$D:$D,MATCH($D75,DB_Artwork_Sizes_Export!$B:$B,0)),""))</f>
        <v/>
      </c>
      <c r="U75" s="2" t="str">
        <f>IF($D75="","",IFERROR(INDEX(DB_Artwork_Sizes_Export!$E:$E,MATCH($D75,DB_Artwork_Sizes_Export!$B:$B,0)),""))</f>
        <v/>
      </c>
      <c r="V75" s="2" t="str">
        <f>IF($D75="","",IFERROR(INDEX(DB_Artwork_Sizes_Export!$F:$F,MATCH($D75,DB_Artwork_Sizes_Export!$B:$B,0)),""))</f>
        <v/>
      </c>
      <c r="W75" s="2" t="str">
        <f t="shared" si="12"/>
        <v/>
      </c>
      <c r="X75" s="2"/>
      <c r="Y75" s="2"/>
      <c r="Z75" s="2"/>
      <c r="AA75" s="2"/>
      <c r="AB75" s="2"/>
      <c r="AC75" s="2"/>
      <c r="AD75" s="2"/>
      <c r="AE75" s="2"/>
      <c r="AF75" s="2" t="str">
        <f t="shared" si="13"/>
        <v/>
      </c>
      <c r="AG75" s="2" t="str">
        <f t="shared" si="14"/>
        <v/>
      </c>
      <c r="AH75" s="2" t="str">
        <f>IF($AG75="","",IFERROR(VLOOKUP($AG75,DB_Categories_Export!$A:$B,2,FALSE()),"INVALID CATEGORY"))</f>
        <v/>
      </c>
      <c r="AI75" s="2" t="str">
        <f t="shared" si="15"/>
        <v/>
      </c>
      <c r="AJ75" s="2" t="str">
        <f t="shared" si="16"/>
        <v/>
      </c>
      <c r="AK75" s="2" t="str">
        <f t="shared" si="17"/>
        <v/>
      </c>
      <c r="AL75" s="2" t="str">
        <f t="shared" si="18"/>
        <v/>
      </c>
      <c r="AM75" s="2" t="str">
        <f t="shared" si="19"/>
        <v/>
      </c>
      <c r="AN75" s="2"/>
      <c r="AO75" s="2"/>
    </row>
    <row r="76" spans="1:41" ht="12" customHeight="1" x14ac:dyDescent="0.3">
      <c r="A76" s="2"/>
      <c r="B76" s="2" t="str">
        <f t="shared" si="10"/>
        <v/>
      </c>
      <c r="C76" s="2" t="str">
        <f t="shared" si="11"/>
        <v/>
      </c>
      <c r="D76" s="2" t="str">
        <f>IF(DB_Artworks_Export!A76="","",DB_Artworks_Export!A76)</f>
        <v/>
      </c>
      <c r="E76" s="2" t="str">
        <f>IF(DB_Artworks_Export!B76="","",DB_Artworks_Export!B76)</f>
        <v/>
      </c>
      <c r="F76" s="2" t="str">
        <f>IF(DB_Artworks_Export!C76="","",DB_Artworks_Export!C76)</f>
        <v/>
      </c>
      <c r="G76" s="2" t="str">
        <f>IF(DB_Artworks_Export!D76="","",DB_Artworks_Export!D76)</f>
        <v/>
      </c>
      <c r="H76" s="2" t="str">
        <f>IF(DB_Artworks_Export!E76="","",DB_Artworks_Export!E76)</f>
        <v/>
      </c>
      <c r="I76" s="2" t="str">
        <f>IF(DB_Artworks_Export!F76="","",DB_Artworks_Export!F76)</f>
        <v/>
      </c>
      <c r="J76" s="2" t="str">
        <f>IF(DB_Artworks_Export!G76="","",DB_Artworks_Export!G76)</f>
        <v/>
      </c>
      <c r="K76" s="2" t="str">
        <f>IF(DB_Artworks_Export!H76="","",DB_Artworks_Export!H76)</f>
        <v/>
      </c>
      <c r="L76" s="2" t="str">
        <f>IF(DB_Artworks_Export!I76="","",DB_Artworks_Export!I76)</f>
        <v/>
      </c>
      <c r="M76" s="2" t="str">
        <f>IF(DB_Artworks_Export!J76="","",DB_Artworks_Export!J76)</f>
        <v/>
      </c>
      <c r="N76" s="2" t="str">
        <f>IF(DB_Artworks_Export!K76="","",DB_Artworks_Export!K76)</f>
        <v/>
      </c>
      <c r="O76" s="2" t="str">
        <f>IF(DB_Artworks_Export!L76="","",DB_Artworks_Export!L76)</f>
        <v/>
      </c>
      <c r="P76" s="2" t="str">
        <f>IF(DB_Artworks_Export!M76="","",DB_Artworks_Export!M76)</f>
        <v/>
      </c>
      <c r="Q76" s="2" t="str">
        <f>IF(DB_Artworks_Export!N76="","",DB_Artworks_Export!N76)</f>
        <v/>
      </c>
      <c r="R76" s="2" t="str">
        <f>IF($D76="","",IF(COUNTIF(DB_Categories_Export!$A:$A,$F76)&gt;0,"OK","INVALID CATEGORY"))</f>
        <v/>
      </c>
      <c r="S76" s="2" t="str">
        <f>IF($D76="","",COUNTIF(DB_Artwork_Sizes_Export!$B:$B,$D76))</f>
        <v/>
      </c>
      <c r="T76" s="2" t="str">
        <f>IF($D76="","",IFERROR(INDEX(DB_Artwork_Sizes_Export!$D:$D,MATCH($D76,DB_Artwork_Sizes_Export!$B:$B,0)),""))</f>
        <v/>
      </c>
      <c r="U76" s="2" t="str">
        <f>IF($D76="","",IFERROR(INDEX(DB_Artwork_Sizes_Export!$E:$E,MATCH($D76,DB_Artwork_Sizes_Export!$B:$B,0)),""))</f>
        <v/>
      </c>
      <c r="V76" s="2" t="str">
        <f>IF($D76="","",IFERROR(INDEX(DB_Artwork_Sizes_Export!$F:$F,MATCH($D76,DB_Artwork_Sizes_Export!$B:$B,0)),""))</f>
        <v/>
      </c>
      <c r="W76" s="2" t="str">
        <f t="shared" si="12"/>
        <v/>
      </c>
      <c r="X76" s="2"/>
      <c r="Y76" s="2"/>
      <c r="Z76" s="2"/>
      <c r="AA76" s="2"/>
      <c r="AB76" s="2"/>
      <c r="AC76" s="2"/>
      <c r="AD76" s="2"/>
      <c r="AE76" s="2"/>
      <c r="AF76" s="2" t="str">
        <f t="shared" si="13"/>
        <v/>
      </c>
      <c r="AG76" s="2" t="str">
        <f t="shared" si="14"/>
        <v/>
      </c>
      <c r="AH76" s="2" t="str">
        <f>IF($AG76="","",IFERROR(VLOOKUP($AG76,DB_Categories_Export!$A:$B,2,FALSE()),"INVALID CATEGORY"))</f>
        <v/>
      </c>
      <c r="AI76" s="2" t="str">
        <f t="shared" si="15"/>
        <v/>
      </c>
      <c r="AJ76" s="2" t="str">
        <f t="shared" si="16"/>
        <v/>
      </c>
      <c r="AK76" s="2" t="str">
        <f t="shared" si="17"/>
        <v/>
      </c>
      <c r="AL76" s="2" t="str">
        <f t="shared" si="18"/>
        <v/>
      </c>
      <c r="AM76" s="2" t="str">
        <f t="shared" si="19"/>
        <v/>
      </c>
      <c r="AN76" s="2"/>
      <c r="AO76" s="2"/>
    </row>
    <row r="77" spans="1:41" ht="12" customHeight="1" x14ac:dyDescent="0.3">
      <c r="A77" s="2"/>
      <c r="B77" s="2" t="str">
        <f t="shared" si="10"/>
        <v/>
      </c>
      <c r="C77" s="2" t="str">
        <f t="shared" si="11"/>
        <v/>
      </c>
      <c r="D77" s="2" t="str">
        <f>IF(DB_Artworks_Export!A77="","",DB_Artworks_Export!A77)</f>
        <v/>
      </c>
      <c r="E77" s="2" t="str">
        <f>IF(DB_Artworks_Export!B77="","",DB_Artworks_Export!B77)</f>
        <v/>
      </c>
      <c r="F77" s="2" t="str">
        <f>IF(DB_Artworks_Export!C77="","",DB_Artworks_Export!C77)</f>
        <v/>
      </c>
      <c r="G77" s="2" t="str">
        <f>IF(DB_Artworks_Export!D77="","",DB_Artworks_Export!D77)</f>
        <v/>
      </c>
      <c r="H77" s="2" t="str">
        <f>IF(DB_Artworks_Export!E77="","",DB_Artworks_Export!E77)</f>
        <v/>
      </c>
      <c r="I77" s="2" t="str">
        <f>IF(DB_Artworks_Export!F77="","",DB_Artworks_Export!F77)</f>
        <v/>
      </c>
      <c r="J77" s="2" t="str">
        <f>IF(DB_Artworks_Export!G77="","",DB_Artworks_Export!G77)</f>
        <v/>
      </c>
      <c r="K77" s="2" t="str">
        <f>IF(DB_Artworks_Export!H77="","",DB_Artworks_Export!H77)</f>
        <v/>
      </c>
      <c r="L77" s="2" t="str">
        <f>IF(DB_Artworks_Export!I77="","",DB_Artworks_Export!I77)</f>
        <v/>
      </c>
      <c r="M77" s="2" t="str">
        <f>IF(DB_Artworks_Export!J77="","",DB_Artworks_Export!J77)</f>
        <v/>
      </c>
      <c r="N77" s="2" t="str">
        <f>IF(DB_Artworks_Export!K77="","",DB_Artworks_Export!K77)</f>
        <v/>
      </c>
      <c r="O77" s="2" t="str">
        <f>IF(DB_Artworks_Export!L77="","",DB_Artworks_Export!L77)</f>
        <v/>
      </c>
      <c r="P77" s="2" t="str">
        <f>IF(DB_Artworks_Export!M77="","",DB_Artworks_Export!M77)</f>
        <v/>
      </c>
      <c r="Q77" s="2" t="str">
        <f>IF(DB_Artworks_Export!N77="","",DB_Artworks_Export!N77)</f>
        <v/>
      </c>
      <c r="R77" s="2" t="str">
        <f>IF($D77="","",IF(COUNTIF(DB_Categories_Export!$A:$A,$F77)&gt;0,"OK","INVALID CATEGORY"))</f>
        <v/>
      </c>
      <c r="S77" s="2" t="str">
        <f>IF($D77="","",COUNTIF(DB_Artwork_Sizes_Export!$B:$B,$D77))</f>
        <v/>
      </c>
      <c r="T77" s="2" t="str">
        <f>IF($D77="","",IFERROR(INDEX(DB_Artwork_Sizes_Export!$D:$D,MATCH($D77,DB_Artwork_Sizes_Export!$B:$B,0)),""))</f>
        <v/>
      </c>
      <c r="U77" s="2" t="str">
        <f>IF($D77="","",IFERROR(INDEX(DB_Artwork_Sizes_Export!$E:$E,MATCH($D77,DB_Artwork_Sizes_Export!$B:$B,0)),""))</f>
        <v/>
      </c>
      <c r="V77" s="2" t="str">
        <f>IF($D77="","",IFERROR(INDEX(DB_Artwork_Sizes_Export!$F:$F,MATCH($D77,DB_Artwork_Sizes_Export!$B:$B,0)),""))</f>
        <v/>
      </c>
      <c r="W77" s="2" t="str">
        <f t="shared" si="12"/>
        <v/>
      </c>
      <c r="X77" s="2"/>
      <c r="Y77" s="2"/>
      <c r="Z77" s="2"/>
      <c r="AA77" s="2"/>
      <c r="AB77" s="2"/>
      <c r="AC77" s="2"/>
      <c r="AD77" s="2"/>
      <c r="AE77" s="2"/>
      <c r="AF77" s="2" t="str">
        <f t="shared" si="13"/>
        <v/>
      </c>
      <c r="AG77" s="2" t="str">
        <f t="shared" si="14"/>
        <v/>
      </c>
      <c r="AH77" s="2" t="str">
        <f>IF($AG77="","",IFERROR(VLOOKUP($AG77,DB_Categories_Export!$A:$B,2,FALSE()),"INVALID CATEGORY"))</f>
        <v/>
      </c>
      <c r="AI77" s="2" t="str">
        <f t="shared" si="15"/>
        <v/>
      </c>
      <c r="AJ77" s="2" t="str">
        <f t="shared" si="16"/>
        <v/>
      </c>
      <c r="AK77" s="2" t="str">
        <f t="shared" si="17"/>
        <v/>
      </c>
      <c r="AL77" s="2" t="str">
        <f t="shared" si="18"/>
        <v/>
      </c>
      <c r="AM77" s="2" t="str">
        <f t="shared" si="19"/>
        <v/>
      </c>
      <c r="AN77" s="2"/>
      <c r="AO77" s="2"/>
    </row>
    <row r="78" spans="1:41" ht="12" customHeight="1" x14ac:dyDescent="0.3">
      <c r="A78" s="2"/>
      <c r="B78" s="2" t="str">
        <f t="shared" si="10"/>
        <v/>
      </c>
      <c r="C78" s="2" t="str">
        <f t="shared" si="11"/>
        <v/>
      </c>
      <c r="D78" s="2" t="str">
        <f>IF(DB_Artworks_Export!A78="","",DB_Artworks_Export!A78)</f>
        <v/>
      </c>
      <c r="E78" s="2" t="str">
        <f>IF(DB_Artworks_Export!B78="","",DB_Artworks_Export!B78)</f>
        <v/>
      </c>
      <c r="F78" s="2" t="str">
        <f>IF(DB_Artworks_Export!C78="","",DB_Artworks_Export!C78)</f>
        <v/>
      </c>
      <c r="G78" s="2" t="str">
        <f>IF(DB_Artworks_Export!D78="","",DB_Artworks_Export!D78)</f>
        <v/>
      </c>
      <c r="H78" s="2" t="str">
        <f>IF(DB_Artworks_Export!E78="","",DB_Artworks_Export!E78)</f>
        <v/>
      </c>
      <c r="I78" s="2" t="str">
        <f>IF(DB_Artworks_Export!F78="","",DB_Artworks_Export!F78)</f>
        <v/>
      </c>
      <c r="J78" s="2" t="str">
        <f>IF(DB_Artworks_Export!G78="","",DB_Artworks_Export!G78)</f>
        <v/>
      </c>
      <c r="K78" s="2" t="str">
        <f>IF(DB_Artworks_Export!H78="","",DB_Artworks_Export!H78)</f>
        <v/>
      </c>
      <c r="L78" s="2" t="str">
        <f>IF(DB_Artworks_Export!I78="","",DB_Artworks_Export!I78)</f>
        <v/>
      </c>
      <c r="M78" s="2" t="str">
        <f>IF(DB_Artworks_Export!J78="","",DB_Artworks_Export!J78)</f>
        <v/>
      </c>
      <c r="N78" s="2" t="str">
        <f>IF(DB_Artworks_Export!K78="","",DB_Artworks_Export!K78)</f>
        <v/>
      </c>
      <c r="O78" s="2" t="str">
        <f>IF(DB_Artworks_Export!L78="","",DB_Artworks_Export!L78)</f>
        <v/>
      </c>
      <c r="P78" s="2" t="str">
        <f>IF(DB_Artworks_Export!M78="","",DB_Artworks_Export!M78)</f>
        <v/>
      </c>
      <c r="Q78" s="2" t="str">
        <f>IF(DB_Artworks_Export!N78="","",DB_Artworks_Export!N78)</f>
        <v/>
      </c>
      <c r="R78" s="2" t="str">
        <f>IF($D78="","",IF(COUNTIF(DB_Categories_Export!$A:$A,$F78)&gt;0,"OK","INVALID CATEGORY"))</f>
        <v/>
      </c>
      <c r="S78" s="2" t="str">
        <f>IF($D78="","",COUNTIF(DB_Artwork_Sizes_Export!$B:$B,$D78))</f>
        <v/>
      </c>
      <c r="T78" s="2" t="str">
        <f>IF($D78="","",IFERROR(INDEX(DB_Artwork_Sizes_Export!$D:$D,MATCH($D78,DB_Artwork_Sizes_Export!$B:$B,0)),""))</f>
        <v/>
      </c>
      <c r="U78" s="2" t="str">
        <f>IF($D78="","",IFERROR(INDEX(DB_Artwork_Sizes_Export!$E:$E,MATCH($D78,DB_Artwork_Sizes_Export!$B:$B,0)),""))</f>
        <v/>
      </c>
      <c r="V78" s="2" t="str">
        <f>IF($D78="","",IFERROR(INDEX(DB_Artwork_Sizes_Export!$F:$F,MATCH($D78,DB_Artwork_Sizes_Export!$B:$B,0)),""))</f>
        <v/>
      </c>
      <c r="W78" s="2" t="str">
        <f t="shared" si="12"/>
        <v/>
      </c>
      <c r="X78" s="2"/>
      <c r="Y78" s="2"/>
      <c r="Z78" s="2"/>
      <c r="AA78" s="2"/>
      <c r="AB78" s="2"/>
      <c r="AC78" s="2"/>
      <c r="AD78" s="2"/>
      <c r="AE78" s="2"/>
      <c r="AF78" s="2" t="str">
        <f t="shared" si="13"/>
        <v/>
      </c>
      <c r="AG78" s="2" t="str">
        <f t="shared" si="14"/>
        <v/>
      </c>
      <c r="AH78" s="2" t="str">
        <f>IF($AG78="","",IFERROR(VLOOKUP($AG78,DB_Categories_Export!$A:$B,2,FALSE()),"INVALID CATEGORY"))</f>
        <v/>
      </c>
      <c r="AI78" s="2" t="str">
        <f t="shared" si="15"/>
        <v/>
      </c>
      <c r="AJ78" s="2" t="str">
        <f t="shared" si="16"/>
        <v/>
      </c>
      <c r="AK78" s="2" t="str">
        <f t="shared" si="17"/>
        <v/>
      </c>
      <c r="AL78" s="2" t="str">
        <f t="shared" si="18"/>
        <v/>
      </c>
      <c r="AM78" s="2" t="str">
        <f t="shared" si="19"/>
        <v/>
      </c>
      <c r="AN78" s="2"/>
      <c r="AO78" s="2"/>
    </row>
    <row r="79" spans="1:41" ht="12" customHeight="1" x14ac:dyDescent="0.3">
      <c r="A79" s="2"/>
      <c r="B79" s="2" t="str">
        <f t="shared" si="10"/>
        <v/>
      </c>
      <c r="C79" s="2" t="str">
        <f t="shared" si="11"/>
        <v/>
      </c>
      <c r="D79" s="2" t="str">
        <f>IF(DB_Artworks_Export!A79="","",DB_Artworks_Export!A79)</f>
        <v/>
      </c>
      <c r="E79" s="2" t="str">
        <f>IF(DB_Artworks_Export!B79="","",DB_Artworks_Export!B79)</f>
        <v/>
      </c>
      <c r="F79" s="2" t="str">
        <f>IF(DB_Artworks_Export!C79="","",DB_Artworks_Export!C79)</f>
        <v/>
      </c>
      <c r="G79" s="2" t="str">
        <f>IF(DB_Artworks_Export!D79="","",DB_Artworks_Export!D79)</f>
        <v/>
      </c>
      <c r="H79" s="2" t="str">
        <f>IF(DB_Artworks_Export!E79="","",DB_Artworks_Export!E79)</f>
        <v/>
      </c>
      <c r="I79" s="2" t="str">
        <f>IF(DB_Artworks_Export!F79="","",DB_Artworks_Export!F79)</f>
        <v/>
      </c>
      <c r="J79" s="2" t="str">
        <f>IF(DB_Artworks_Export!G79="","",DB_Artworks_Export!G79)</f>
        <v/>
      </c>
      <c r="K79" s="2" t="str">
        <f>IF(DB_Artworks_Export!H79="","",DB_Artworks_Export!H79)</f>
        <v/>
      </c>
      <c r="L79" s="2" t="str">
        <f>IF(DB_Artworks_Export!I79="","",DB_Artworks_Export!I79)</f>
        <v/>
      </c>
      <c r="M79" s="2" t="str">
        <f>IF(DB_Artworks_Export!J79="","",DB_Artworks_Export!J79)</f>
        <v/>
      </c>
      <c r="N79" s="2" t="str">
        <f>IF(DB_Artworks_Export!K79="","",DB_Artworks_Export!K79)</f>
        <v/>
      </c>
      <c r="O79" s="2" t="str">
        <f>IF(DB_Artworks_Export!L79="","",DB_Artworks_Export!L79)</f>
        <v/>
      </c>
      <c r="P79" s="2" t="str">
        <f>IF(DB_Artworks_Export!M79="","",DB_Artworks_Export!M79)</f>
        <v/>
      </c>
      <c r="Q79" s="2" t="str">
        <f>IF(DB_Artworks_Export!N79="","",DB_Artworks_Export!N79)</f>
        <v/>
      </c>
      <c r="R79" s="2" t="str">
        <f>IF($D79="","",IF(COUNTIF(DB_Categories_Export!$A:$A,$F79)&gt;0,"OK","INVALID CATEGORY"))</f>
        <v/>
      </c>
      <c r="S79" s="2" t="str">
        <f>IF($D79="","",COUNTIF(DB_Artwork_Sizes_Export!$B:$B,$D79))</f>
        <v/>
      </c>
      <c r="T79" s="2" t="str">
        <f>IF($D79="","",IFERROR(INDEX(DB_Artwork_Sizes_Export!$D:$D,MATCH($D79,DB_Artwork_Sizes_Export!$B:$B,0)),""))</f>
        <v/>
      </c>
      <c r="U79" s="2" t="str">
        <f>IF($D79="","",IFERROR(INDEX(DB_Artwork_Sizes_Export!$E:$E,MATCH($D79,DB_Artwork_Sizes_Export!$B:$B,0)),""))</f>
        <v/>
      </c>
      <c r="V79" s="2" t="str">
        <f>IF($D79="","",IFERROR(INDEX(DB_Artwork_Sizes_Export!$F:$F,MATCH($D79,DB_Artwork_Sizes_Export!$B:$B,0)),""))</f>
        <v/>
      </c>
      <c r="W79" s="2" t="str">
        <f t="shared" si="12"/>
        <v/>
      </c>
      <c r="X79" s="2"/>
      <c r="Y79" s="2"/>
      <c r="Z79" s="2"/>
      <c r="AA79" s="2"/>
      <c r="AB79" s="2"/>
      <c r="AC79" s="2"/>
      <c r="AD79" s="2"/>
      <c r="AE79" s="2"/>
      <c r="AF79" s="2" t="str">
        <f t="shared" si="13"/>
        <v/>
      </c>
      <c r="AG79" s="2" t="str">
        <f t="shared" si="14"/>
        <v/>
      </c>
      <c r="AH79" s="2" t="str">
        <f>IF($AG79="","",IFERROR(VLOOKUP($AG79,DB_Categories_Export!$A:$B,2,FALSE()),"INVALID CATEGORY"))</f>
        <v/>
      </c>
      <c r="AI79" s="2" t="str">
        <f t="shared" si="15"/>
        <v/>
      </c>
      <c r="AJ79" s="2" t="str">
        <f t="shared" si="16"/>
        <v/>
      </c>
      <c r="AK79" s="2" t="str">
        <f t="shared" si="17"/>
        <v/>
      </c>
      <c r="AL79" s="2" t="str">
        <f t="shared" si="18"/>
        <v/>
      </c>
      <c r="AM79" s="2" t="str">
        <f t="shared" si="19"/>
        <v/>
      </c>
      <c r="AN79" s="2"/>
      <c r="AO79" s="2"/>
    </row>
    <row r="80" spans="1:41" ht="12" customHeight="1" x14ac:dyDescent="0.3">
      <c r="A80" s="2"/>
      <c r="B80" s="2" t="str">
        <f t="shared" si="10"/>
        <v/>
      </c>
      <c r="C80" s="2" t="str">
        <f t="shared" si="11"/>
        <v/>
      </c>
      <c r="D80" s="2" t="str">
        <f>IF(DB_Artworks_Export!A80="","",DB_Artworks_Export!A80)</f>
        <v/>
      </c>
      <c r="E80" s="2" t="str">
        <f>IF(DB_Artworks_Export!B80="","",DB_Artworks_Export!B80)</f>
        <v/>
      </c>
      <c r="F80" s="2" t="str">
        <f>IF(DB_Artworks_Export!C80="","",DB_Artworks_Export!C80)</f>
        <v/>
      </c>
      <c r="G80" s="2" t="str">
        <f>IF(DB_Artworks_Export!D80="","",DB_Artworks_Export!D80)</f>
        <v/>
      </c>
      <c r="H80" s="2" t="str">
        <f>IF(DB_Artworks_Export!E80="","",DB_Artworks_Export!E80)</f>
        <v/>
      </c>
      <c r="I80" s="2" t="str">
        <f>IF(DB_Artworks_Export!F80="","",DB_Artworks_Export!F80)</f>
        <v/>
      </c>
      <c r="J80" s="2" t="str">
        <f>IF(DB_Artworks_Export!G80="","",DB_Artworks_Export!G80)</f>
        <v/>
      </c>
      <c r="K80" s="2" t="str">
        <f>IF(DB_Artworks_Export!H80="","",DB_Artworks_Export!H80)</f>
        <v/>
      </c>
      <c r="L80" s="2" t="str">
        <f>IF(DB_Artworks_Export!I80="","",DB_Artworks_Export!I80)</f>
        <v/>
      </c>
      <c r="M80" s="2" t="str">
        <f>IF(DB_Artworks_Export!J80="","",DB_Artworks_Export!J80)</f>
        <v/>
      </c>
      <c r="N80" s="2" t="str">
        <f>IF(DB_Artworks_Export!K80="","",DB_Artworks_Export!K80)</f>
        <v/>
      </c>
      <c r="O80" s="2" t="str">
        <f>IF(DB_Artworks_Export!L80="","",DB_Artworks_Export!L80)</f>
        <v/>
      </c>
      <c r="P80" s="2" t="str">
        <f>IF(DB_Artworks_Export!M80="","",DB_Artworks_Export!M80)</f>
        <v/>
      </c>
      <c r="Q80" s="2" t="str">
        <f>IF(DB_Artworks_Export!N80="","",DB_Artworks_Export!N80)</f>
        <v/>
      </c>
      <c r="R80" s="2" t="str">
        <f>IF($D80="","",IF(COUNTIF(DB_Categories_Export!$A:$A,$F80)&gt;0,"OK","INVALID CATEGORY"))</f>
        <v/>
      </c>
      <c r="S80" s="2" t="str">
        <f>IF($D80="","",COUNTIF(DB_Artwork_Sizes_Export!$B:$B,$D80))</f>
        <v/>
      </c>
      <c r="T80" s="2" t="str">
        <f>IF($D80="","",IFERROR(INDEX(DB_Artwork_Sizes_Export!$D:$D,MATCH($D80,DB_Artwork_Sizes_Export!$B:$B,0)),""))</f>
        <v/>
      </c>
      <c r="U80" s="2" t="str">
        <f>IF($D80="","",IFERROR(INDEX(DB_Artwork_Sizes_Export!$E:$E,MATCH($D80,DB_Artwork_Sizes_Export!$B:$B,0)),""))</f>
        <v/>
      </c>
      <c r="V80" s="2" t="str">
        <f>IF($D80="","",IFERROR(INDEX(DB_Artwork_Sizes_Export!$F:$F,MATCH($D80,DB_Artwork_Sizes_Export!$B:$B,0)),""))</f>
        <v/>
      </c>
      <c r="W80" s="2" t="str">
        <f t="shared" si="12"/>
        <v/>
      </c>
      <c r="X80" s="2"/>
      <c r="Y80" s="2"/>
      <c r="Z80" s="2"/>
      <c r="AA80" s="2"/>
      <c r="AB80" s="2"/>
      <c r="AC80" s="2"/>
      <c r="AD80" s="2"/>
      <c r="AE80" s="2"/>
      <c r="AF80" s="2" t="str">
        <f t="shared" si="13"/>
        <v/>
      </c>
      <c r="AG80" s="2" t="str">
        <f t="shared" si="14"/>
        <v/>
      </c>
      <c r="AH80" s="2" t="str">
        <f>IF($AG80="","",IFERROR(VLOOKUP($AG80,DB_Categories_Export!$A:$B,2,FALSE()),"INVALID CATEGORY"))</f>
        <v/>
      </c>
      <c r="AI80" s="2" t="str">
        <f t="shared" si="15"/>
        <v/>
      </c>
      <c r="AJ80" s="2" t="str">
        <f t="shared" si="16"/>
        <v/>
      </c>
      <c r="AK80" s="2" t="str">
        <f t="shared" si="17"/>
        <v/>
      </c>
      <c r="AL80" s="2" t="str">
        <f t="shared" si="18"/>
        <v/>
      </c>
      <c r="AM80" s="2" t="str">
        <f t="shared" si="19"/>
        <v/>
      </c>
      <c r="AN80" s="2"/>
      <c r="AO80" s="2"/>
    </row>
    <row r="81" spans="1:41" ht="12" customHeight="1" x14ac:dyDescent="0.3">
      <c r="A81" s="2"/>
      <c r="B81" s="2" t="str">
        <f t="shared" si="10"/>
        <v/>
      </c>
      <c r="C81" s="2" t="str">
        <f t="shared" si="11"/>
        <v/>
      </c>
      <c r="D81" s="2" t="str">
        <f>IF(DB_Artworks_Export!A81="","",DB_Artworks_Export!A81)</f>
        <v/>
      </c>
      <c r="E81" s="2" t="str">
        <f>IF(DB_Artworks_Export!B81="","",DB_Artworks_Export!B81)</f>
        <v/>
      </c>
      <c r="F81" s="2" t="str">
        <f>IF(DB_Artworks_Export!C81="","",DB_Artworks_Export!C81)</f>
        <v/>
      </c>
      <c r="G81" s="2" t="str">
        <f>IF(DB_Artworks_Export!D81="","",DB_Artworks_Export!D81)</f>
        <v/>
      </c>
      <c r="H81" s="2" t="str">
        <f>IF(DB_Artworks_Export!E81="","",DB_Artworks_Export!E81)</f>
        <v/>
      </c>
      <c r="I81" s="2" t="str">
        <f>IF(DB_Artworks_Export!F81="","",DB_Artworks_Export!F81)</f>
        <v/>
      </c>
      <c r="J81" s="2" t="str">
        <f>IF(DB_Artworks_Export!G81="","",DB_Artworks_Export!G81)</f>
        <v/>
      </c>
      <c r="K81" s="2" t="str">
        <f>IF(DB_Artworks_Export!H81="","",DB_Artworks_Export!H81)</f>
        <v/>
      </c>
      <c r="L81" s="2" t="str">
        <f>IF(DB_Artworks_Export!I81="","",DB_Artworks_Export!I81)</f>
        <v/>
      </c>
      <c r="M81" s="2" t="str">
        <f>IF(DB_Artworks_Export!J81="","",DB_Artworks_Export!J81)</f>
        <v/>
      </c>
      <c r="N81" s="2" t="str">
        <f>IF(DB_Artworks_Export!K81="","",DB_Artworks_Export!K81)</f>
        <v/>
      </c>
      <c r="O81" s="2" t="str">
        <f>IF(DB_Artworks_Export!L81="","",DB_Artworks_Export!L81)</f>
        <v/>
      </c>
      <c r="P81" s="2" t="str">
        <f>IF(DB_Artworks_Export!M81="","",DB_Artworks_Export!M81)</f>
        <v/>
      </c>
      <c r="Q81" s="2" t="str">
        <f>IF(DB_Artworks_Export!N81="","",DB_Artworks_Export!N81)</f>
        <v/>
      </c>
      <c r="R81" s="2" t="str">
        <f>IF($D81="","",IF(COUNTIF(DB_Categories_Export!$A:$A,$F81)&gt;0,"OK","INVALID CATEGORY"))</f>
        <v/>
      </c>
      <c r="S81" s="2" t="str">
        <f>IF($D81="","",COUNTIF(DB_Artwork_Sizes_Export!$B:$B,$D81))</f>
        <v/>
      </c>
      <c r="T81" s="2" t="str">
        <f>IF($D81="","",IFERROR(INDEX(DB_Artwork_Sizes_Export!$D:$D,MATCH($D81,DB_Artwork_Sizes_Export!$B:$B,0)),""))</f>
        <v/>
      </c>
      <c r="U81" s="2" t="str">
        <f>IF($D81="","",IFERROR(INDEX(DB_Artwork_Sizes_Export!$E:$E,MATCH($D81,DB_Artwork_Sizes_Export!$B:$B,0)),""))</f>
        <v/>
      </c>
      <c r="V81" s="2" t="str">
        <f>IF($D81="","",IFERROR(INDEX(DB_Artwork_Sizes_Export!$F:$F,MATCH($D81,DB_Artwork_Sizes_Export!$B:$B,0)),""))</f>
        <v/>
      </c>
      <c r="W81" s="2" t="str">
        <f t="shared" si="12"/>
        <v/>
      </c>
      <c r="X81" s="2"/>
      <c r="Y81" s="2"/>
      <c r="Z81" s="2"/>
      <c r="AA81" s="2"/>
      <c r="AB81" s="2"/>
      <c r="AC81" s="2"/>
      <c r="AD81" s="2"/>
      <c r="AE81" s="2"/>
      <c r="AF81" s="2" t="str">
        <f t="shared" si="13"/>
        <v/>
      </c>
      <c r="AG81" s="2" t="str">
        <f t="shared" si="14"/>
        <v/>
      </c>
      <c r="AH81" s="2" t="str">
        <f>IF($AG81="","",IFERROR(VLOOKUP($AG81,DB_Categories_Export!$A:$B,2,FALSE()),"INVALID CATEGORY"))</f>
        <v/>
      </c>
      <c r="AI81" s="2" t="str">
        <f t="shared" si="15"/>
        <v/>
      </c>
      <c r="AJ81" s="2" t="str">
        <f t="shared" si="16"/>
        <v/>
      </c>
      <c r="AK81" s="2" t="str">
        <f t="shared" si="17"/>
        <v/>
      </c>
      <c r="AL81" s="2" t="str">
        <f t="shared" si="18"/>
        <v/>
      </c>
      <c r="AM81" s="2" t="str">
        <f t="shared" si="19"/>
        <v/>
      </c>
      <c r="AN81" s="2"/>
      <c r="AO81" s="2"/>
    </row>
    <row r="82" spans="1:41" ht="12" customHeight="1" x14ac:dyDescent="0.3">
      <c r="A82" s="2"/>
      <c r="B82" s="2" t="str">
        <f t="shared" si="10"/>
        <v/>
      </c>
      <c r="C82" s="2" t="str">
        <f t="shared" si="11"/>
        <v/>
      </c>
      <c r="D82" s="2" t="str">
        <f>IF(DB_Artworks_Export!A82="","",DB_Artworks_Export!A82)</f>
        <v/>
      </c>
      <c r="E82" s="2" t="str">
        <f>IF(DB_Artworks_Export!B82="","",DB_Artworks_Export!B82)</f>
        <v/>
      </c>
      <c r="F82" s="2" t="str">
        <f>IF(DB_Artworks_Export!C82="","",DB_Artworks_Export!C82)</f>
        <v/>
      </c>
      <c r="G82" s="2" t="str">
        <f>IF(DB_Artworks_Export!D82="","",DB_Artworks_Export!D82)</f>
        <v/>
      </c>
      <c r="H82" s="2" t="str">
        <f>IF(DB_Artworks_Export!E82="","",DB_Artworks_Export!E82)</f>
        <v/>
      </c>
      <c r="I82" s="2" t="str">
        <f>IF(DB_Artworks_Export!F82="","",DB_Artworks_Export!F82)</f>
        <v/>
      </c>
      <c r="J82" s="2" t="str">
        <f>IF(DB_Artworks_Export!G82="","",DB_Artworks_Export!G82)</f>
        <v/>
      </c>
      <c r="K82" s="2" t="str">
        <f>IF(DB_Artworks_Export!H82="","",DB_Artworks_Export!H82)</f>
        <v/>
      </c>
      <c r="L82" s="2" t="str">
        <f>IF(DB_Artworks_Export!I82="","",DB_Artworks_Export!I82)</f>
        <v/>
      </c>
      <c r="M82" s="2" t="str">
        <f>IF(DB_Artworks_Export!J82="","",DB_Artworks_Export!J82)</f>
        <v/>
      </c>
      <c r="N82" s="2" t="str">
        <f>IF(DB_Artworks_Export!K82="","",DB_Artworks_Export!K82)</f>
        <v/>
      </c>
      <c r="O82" s="2" t="str">
        <f>IF(DB_Artworks_Export!L82="","",DB_Artworks_Export!L82)</f>
        <v/>
      </c>
      <c r="P82" s="2" t="str">
        <f>IF(DB_Artworks_Export!M82="","",DB_Artworks_Export!M82)</f>
        <v/>
      </c>
      <c r="Q82" s="2" t="str">
        <f>IF(DB_Artworks_Export!N82="","",DB_Artworks_Export!N82)</f>
        <v/>
      </c>
      <c r="R82" s="2" t="str">
        <f>IF($D82="","",IF(COUNTIF(DB_Categories_Export!$A:$A,$F82)&gt;0,"OK","INVALID CATEGORY"))</f>
        <v/>
      </c>
      <c r="S82" s="2" t="str">
        <f>IF($D82="","",COUNTIF(DB_Artwork_Sizes_Export!$B:$B,$D82))</f>
        <v/>
      </c>
      <c r="T82" s="2" t="str">
        <f>IF($D82="","",IFERROR(INDEX(DB_Artwork_Sizes_Export!$D:$D,MATCH($D82,DB_Artwork_Sizes_Export!$B:$B,0)),""))</f>
        <v/>
      </c>
      <c r="U82" s="2" t="str">
        <f>IF($D82="","",IFERROR(INDEX(DB_Artwork_Sizes_Export!$E:$E,MATCH($D82,DB_Artwork_Sizes_Export!$B:$B,0)),""))</f>
        <v/>
      </c>
      <c r="V82" s="2" t="str">
        <f>IF($D82="","",IFERROR(INDEX(DB_Artwork_Sizes_Export!$F:$F,MATCH($D82,DB_Artwork_Sizes_Export!$B:$B,0)),""))</f>
        <v/>
      </c>
      <c r="W82" s="2" t="str">
        <f t="shared" si="12"/>
        <v/>
      </c>
      <c r="X82" s="2"/>
      <c r="Y82" s="2"/>
      <c r="Z82" s="2"/>
      <c r="AA82" s="2"/>
      <c r="AB82" s="2"/>
      <c r="AC82" s="2"/>
      <c r="AD82" s="2"/>
      <c r="AE82" s="2"/>
      <c r="AF82" s="2" t="str">
        <f t="shared" si="13"/>
        <v/>
      </c>
      <c r="AG82" s="2" t="str">
        <f t="shared" si="14"/>
        <v/>
      </c>
      <c r="AH82" s="2" t="str">
        <f>IF($AG82="","",IFERROR(VLOOKUP($AG82,DB_Categories_Export!$A:$B,2,FALSE()),"INVALID CATEGORY"))</f>
        <v/>
      </c>
      <c r="AI82" s="2" t="str">
        <f t="shared" si="15"/>
        <v/>
      </c>
      <c r="AJ82" s="2" t="str">
        <f t="shared" si="16"/>
        <v/>
      </c>
      <c r="AK82" s="2" t="str">
        <f t="shared" si="17"/>
        <v/>
      </c>
      <c r="AL82" s="2" t="str">
        <f t="shared" si="18"/>
        <v/>
      </c>
      <c r="AM82" s="2" t="str">
        <f t="shared" si="19"/>
        <v/>
      </c>
      <c r="AN82" s="2"/>
      <c r="AO82" s="2"/>
    </row>
    <row r="83" spans="1:41" ht="12" customHeight="1" x14ac:dyDescent="0.3">
      <c r="A83" s="2"/>
      <c r="B83" s="2" t="str">
        <f t="shared" si="10"/>
        <v/>
      </c>
      <c r="C83" s="2" t="str">
        <f t="shared" si="11"/>
        <v/>
      </c>
      <c r="D83" s="2" t="str">
        <f>IF(DB_Artworks_Export!A83="","",DB_Artworks_Export!A83)</f>
        <v/>
      </c>
      <c r="E83" s="2" t="str">
        <f>IF(DB_Artworks_Export!B83="","",DB_Artworks_Export!B83)</f>
        <v/>
      </c>
      <c r="F83" s="2" t="str">
        <f>IF(DB_Artworks_Export!C83="","",DB_Artworks_Export!C83)</f>
        <v/>
      </c>
      <c r="G83" s="2" t="str">
        <f>IF(DB_Artworks_Export!D83="","",DB_Artworks_Export!D83)</f>
        <v/>
      </c>
      <c r="H83" s="2" t="str">
        <f>IF(DB_Artworks_Export!E83="","",DB_Artworks_Export!E83)</f>
        <v/>
      </c>
      <c r="I83" s="2" t="str">
        <f>IF(DB_Artworks_Export!F83="","",DB_Artworks_Export!F83)</f>
        <v/>
      </c>
      <c r="J83" s="2" t="str">
        <f>IF(DB_Artworks_Export!G83="","",DB_Artworks_Export!G83)</f>
        <v/>
      </c>
      <c r="K83" s="2" t="str">
        <f>IF(DB_Artworks_Export!H83="","",DB_Artworks_Export!H83)</f>
        <v/>
      </c>
      <c r="L83" s="2" t="str">
        <f>IF(DB_Artworks_Export!I83="","",DB_Artworks_Export!I83)</f>
        <v/>
      </c>
      <c r="M83" s="2" t="str">
        <f>IF(DB_Artworks_Export!J83="","",DB_Artworks_Export!J83)</f>
        <v/>
      </c>
      <c r="N83" s="2" t="str">
        <f>IF(DB_Artworks_Export!K83="","",DB_Artworks_Export!K83)</f>
        <v/>
      </c>
      <c r="O83" s="2" t="str">
        <f>IF(DB_Artworks_Export!L83="","",DB_Artworks_Export!L83)</f>
        <v/>
      </c>
      <c r="P83" s="2" t="str">
        <f>IF(DB_Artworks_Export!M83="","",DB_Artworks_Export!M83)</f>
        <v/>
      </c>
      <c r="Q83" s="2" t="str">
        <f>IF(DB_Artworks_Export!N83="","",DB_Artworks_Export!N83)</f>
        <v/>
      </c>
      <c r="R83" s="2" t="str">
        <f>IF($D83="","",IF(COUNTIF(DB_Categories_Export!$A:$A,$F83)&gt;0,"OK","INVALID CATEGORY"))</f>
        <v/>
      </c>
      <c r="S83" s="2" t="str">
        <f>IF($D83="","",COUNTIF(DB_Artwork_Sizes_Export!$B:$B,$D83))</f>
        <v/>
      </c>
      <c r="T83" s="2" t="str">
        <f>IF($D83="","",IFERROR(INDEX(DB_Artwork_Sizes_Export!$D:$D,MATCH($D83,DB_Artwork_Sizes_Export!$B:$B,0)),""))</f>
        <v/>
      </c>
      <c r="U83" s="2" t="str">
        <f>IF($D83="","",IFERROR(INDEX(DB_Artwork_Sizes_Export!$E:$E,MATCH($D83,DB_Artwork_Sizes_Export!$B:$B,0)),""))</f>
        <v/>
      </c>
      <c r="V83" s="2" t="str">
        <f>IF($D83="","",IFERROR(INDEX(DB_Artwork_Sizes_Export!$F:$F,MATCH($D83,DB_Artwork_Sizes_Export!$B:$B,0)),""))</f>
        <v/>
      </c>
      <c r="W83" s="2" t="str">
        <f t="shared" si="12"/>
        <v/>
      </c>
      <c r="X83" s="2"/>
      <c r="Y83" s="2"/>
      <c r="Z83" s="2"/>
      <c r="AA83" s="2"/>
      <c r="AB83" s="2"/>
      <c r="AC83" s="2"/>
      <c r="AD83" s="2"/>
      <c r="AE83" s="2"/>
      <c r="AF83" s="2" t="str">
        <f t="shared" si="13"/>
        <v/>
      </c>
      <c r="AG83" s="2" t="str">
        <f t="shared" si="14"/>
        <v/>
      </c>
      <c r="AH83" s="2" t="str">
        <f>IF($AG83="","",IFERROR(VLOOKUP($AG83,DB_Categories_Export!$A:$B,2,FALSE()),"INVALID CATEGORY"))</f>
        <v/>
      </c>
      <c r="AI83" s="2" t="str">
        <f t="shared" si="15"/>
        <v/>
      </c>
      <c r="AJ83" s="2" t="str">
        <f t="shared" si="16"/>
        <v/>
      </c>
      <c r="AK83" s="2" t="str">
        <f t="shared" si="17"/>
        <v/>
      </c>
      <c r="AL83" s="2" t="str">
        <f t="shared" si="18"/>
        <v/>
      </c>
      <c r="AM83" s="2" t="str">
        <f t="shared" si="19"/>
        <v/>
      </c>
      <c r="AN83" s="2"/>
      <c r="AO83" s="2"/>
    </row>
    <row r="84" spans="1:41" ht="12" customHeight="1" x14ac:dyDescent="0.3">
      <c r="A84" s="2"/>
      <c r="B84" s="2" t="str">
        <f t="shared" si="10"/>
        <v/>
      </c>
      <c r="C84" s="2" t="str">
        <f t="shared" si="11"/>
        <v/>
      </c>
      <c r="D84" s="2" t="str">
        <f>IF(DB_Artworks_Export!A84="","",DB_Artworks_Export!A84)</f>
        <v/>
      </c>
      <c r="E84" s="2" t="str">
        <f>IF(DB_Artworks_Export!B84="","",DB_Artworks_Export!B84)</f>
        <v/>
      </c>
      <c r="F84" s="2" t="str">
        <f>IF(DB_Artworks_Export!C84="","",DB_Artworks_Export!C84)</f>
        <v/>
      </c>
      <c r="G84" s="2" t="str">
        <f>IF(DB_Artworks_Export!D84="","",DB_Artworks_Export!D84)</f>
        <v/>
      </c>
      <c r="H84" s="2" t="str">
        <f>IF(DB_Artworks_Export!E84="","",DB_Artworks_Export!E84)</f>
        <v/>
      </c>
      <c r="I84" s="2" t="str">
        <f>IF(DB_Artworks_Export!F84="","",DB_Artworks_Export!F84)</f>
        <v/>
      </c>
      <c r="J84" s="2" t="str">
        <f>IF(DB_Artworks_Export!G84="","",DB_Artworks_Export!G84)</f>
        <v/>
      </c>
      <c r="K84" s="2" t="str">
        <f>IF(DB_Artworks_Export!H84="","",DB_Artworks_Export!H84)</f>
        <v/>
      </c>
      <c r="L84" s="2" t="str">
        <f>IF(DB_Artworks_Export!I84="","",DB_Artworks_Export!I84)</f>
        <v/>
      </c>
      <c r="M84" s="2" t="str">
        <f>IF(DB_Artworks_Export!J84="","",DB_Artworks_Export!J84)</f>
        <v/>
      </c>
      <c r="N84" s="2" t="str">
        <f>IF(DB_Artworks_Export!K84="","",DB_Artworks_Export!K84)</f>
        <v/>
      </c>
      <c r="O84" s="2" t="str">
        <f>IF(DB_Artworks_Export!L84="","",DB_Artworks_Export!L84)</f>
        <v/>
      </c>
      <c r="P84" s="2" t="str">
        <f>IF(DB_Artworks_Export!M84="","",DB_Artworks_Export!M84)</f>
        <v/>
      </c>
      <c r="Q84" s="2" t="str">
        <f>IF(DB_Artworks_Export!N84="","",DB_Artworks_Export!N84)</f>
        <v/>
      </c>
      <c r="R84" s="2" t="str">
        <f>IF($D84="","",IF(COUNTIF(DB_Categories_Export!$A:$A,$F84)&gt;0,"OK","INVALID CATEGORY"))</f>
        <v/>
      </c>
      <c r="S84" s="2" t="str">
        <f>IF($D84="","",COUNTIF(DB_Artwork_Sizes_Export!$B:$B,$D84))</f>
        <v/>
      </c>
      <c r="T84" s="2" t="str">
        <f>IF($D84="","",IFERROR(INDEX(DB_Artwork_Sizes_Export!$D:$D,MATCH($D84,DB_Artwork_Sizes_Export!$B:$B,0)),""))</f>
        <v/>
      </c>
      <c r="U84" s="2" t="str">
        <f>IF($D84="","",IFERROR(INDEX(DB_Artwork_Sizes_Export!$E:$E,MATCH($D84,DB_Artwork_Sizes_Export!$B:$B,0)),""))</f>
        <v/>
      </c>
      <c r="V84" s="2" t="str">
        <f>IF($D84="","",IFERROR(INDEX(DB_Artwork_Sizes_Export!$F:$F,MATCH($D84,DB_Artwork_Sizes_Export!$B:$B,0)),""))</f>
        <v/>
      </c>
      <c r="W84" s="2" t="str">
        <f t="shared" si="12"/>
        <v/>
      </c>
      <c r="X84" s="2"/>
      <c r="Y84" s="2"/>
      <c r="Z84" s="2"/>
      <c r="AA84" s="2"/>
      <c r="AB84" s="2"/>
      <c r="AC84" s="2"/>
      <c r="AD84" s="2"/>
      <c r="AE84" s="2"/>
      <c r="AF84" s="2" t="str">
        <f t="shared" si="13"/>
        <v/>
      </c>
      <c r="AG84" s="2" t="str">
        <f t="shared" si="14"/>
        <v/>
      </c>
      <c r="AH84" s="2" t="str">
        <f>IF($AG84="","",IFERROR(VLOOKUP($AG84,DB_Categories_Export!$A:$B,2,FALSE()),"INVALID CATEGORY"))</f>
        <v/>
      </c>
      <c r="AI84" s="2" t="str">
        <f t="shared" si="15"/>
        <v/>
      </c>
      <c r="AJ84" s="2" t="str">
        <f t="shared" si="16"/>
        <v/>
      </c>
      <c r="AK84" s="2" t="str">
        <f t="shared" si="17"/>
        <v/>
      </c>
      <c r="AL84" s="2" t="str">
        <f t="shared" si="18"/>
        <v/>
      </c>
      <c r="AM84" s="2" t="str">
        <f t="shared" si="19"/>
        <v/>
      </c>
      <c r="AN84" s="2"/>
      <c r="AO84" s="2"/>
    </row>
    <row r="85" spans="1:41" ht="12" customHeight="1" x14ac:dyDescent="0.3">
      <c r="A85" s="2"/>
      <c r="B85" s="2" t="str">
        <f t="shared" si="10"/>
        <v/>
      </c>
      <c r="C85" s="2" t="str">
        <f t="shared" si="11"/>
        <v/>
      </c>
      <c r="D85" s="2" t="str">
        <f>IF(DB_Artworks_Export!A85="","",DB_Artworks_Export!A85)</f>
        <v/>
      </c>
      <c r="E85" s="2" t="str">
        <f>IF(DB_Artworks_Export!B85="","",DB_Artworks_Export!B85)</f>
        <v/>
      </c>
      <c r="F85" s="2" t="str">
        <f>IF(DB_Artworks_Export!C85="","",DB_Artworks_Export!C85)</f>
        <v/>
      </c>
      <c r="G85" s="2" t="str">
        <f>IF(DB_Artworks_Export!D85="","",DB_Artworks_Export!D85)</f>
        <v/>
      </c>
      <c r="H85" s="2" t="str">
        <f>IF(DB_Artworks_Export!E85="","",DB_Artworks_Export!E85)</f>
        <v/>
      </c>
      <c r="I85" s="2" t="str">
        <f>IF(DB_Artworks_Export!F85="","",DB_Artworks_Export!F85)</f>
        <v/>
      </c>
      <c r="J85" s="2" t="str">
        <f>IF(DB_Artworks_Export!G85="","",DB_Artworks_Export!G85)</f>
        <v/>
      </c>
      <c r="K85" s="2" t="str">
        <f>IF(DB_Artworks_Export!H85="","",DB_Artworks_Export!H85)</f>
        <v/>
      </c>
      <c r="L85" s="2" t="str">
        <f>IF(DB_Artworks_Export!I85="","",DB_Artworks_Export!I85)</f>
        <v/>
      </c>
      <c r="M85" s="2" t="str">
        <f>IF(DB_Artworks_Export!J85="","",DB_Artworks_Export!J85)</f>
        <v/>
      </c>
      <c r="N85" s="2" t="str">
        <f>IF(DB_Artworks_Export!K85="","",DB_Artworks_Export!K85)</f>
        <v/>
      </c>
      <c r="O85" s="2" t="str">
        <f>IF(DB_Artworks_Export!L85="","",DB_Artworks_Export!L85)</f>
        <v/>
      </c>
      <c r="P85" s="2" t="str">
        <f>IF(DB_Artworks_Export!M85="","",DB_Artworks_Export!M85)</f>
        <v/>
      </c>
      <c r="Q85" s="2" t="str">
        <f>IF(DB_Artworks_Export!N85="","",DB_Artworks_Export!N85)</f>
        <v/>
      </c>
      <c r="R85" s="2" t="str">
        <f>IF($D85="","",IF(COUNTIF(DB_Categories_Export!$A:$A,$F85)&gt;0,"OK","INVALID CATEGORY"))</f>
        <v/>
      </c>
      <c r="S85" s="2" t="str">
        <f>IF($D85="","",COUNTIF(DB_Artwork_Sizes_Export!$B:$B,$D85))</f>
        <v/>
      </c>
      <c r="T85" s="2" t="str">
        <f>IF($D85="","",IFERROR(INDEX(DB_Artwork_Sizes_Export!$D:$D,MATCH($D85,DB_Artwork_Sizes_Export!$B:$B,0)),""))</f>
        <v/>
      </c>
      <c r="U85" s="2" t="str">
        <f>IF($D85="","",IFERROR(INDEX(DB_Artwork_Sizes_Export!$E:$E,MATCH($D85,DB_Artwork_Sizes_Export!$B:$B,0)),""))</f>
        <v/>
      </c>
      <c r="V85" s="2" t="str">
        <f>IF($D85="","",IFERROR(INDEX(DB_Artwork_Sizes_Export!$F:$F,MATCH($D85,DB_Artwork_Sizes_Export!$B:$B,0)),""))</f>
        <v/>
      </c>
      <c r="W85" s="2" t="str">
        <f t="shared" si="12"/>
        <v/>
      </c>
      <c r="X85" s="2"/>
      <c r="Y85" s="2"/>
      <c r="Z85" s="2"/>
      <c r="AA85" s="2"/>
      <c r="AB85" s="2"/>
      <c r="AC85" s="2"/>
      <c r="AD85" s="2"/>
      <c r="AE85" s="2"/>
      <c r="AF85" s="2" t="str">
        <f t="shared" si="13"/>
        <v/>
      </c>
      <c r="AG85" s="2" t="str">
        <f t="shared" si="14"/>
        <v/>
      </c>
      <c r="AH85" s="2" t="str">
        <f>IF($AG85="","",IFERROR(VLOOKUP($AG85,DB_Categories_Export!$A:$B,2,FALSE()),"INVALID CATEGORY"))</f>
        <v/>
      </c>
      <c r="AI85" s="2" t="str">
        <f t="shared" si="15"/>
        <v/>
      </c>
      <c r="AJ85" s="2" t="str">
        <f t="shared" si="16"/>
        <v/>
      </c>
      <c r="AK85" s="2" t="str">
        <f t="shared" si="17"/>
        <v/>
      </c>
      <c r="AL85" s="2" t="str">
        <f t="shared" si="18"/>
        <v/>
      </c>
      <c r="AM85" s="2" t="str">
        <f t="shared" si="19"/>
        <v/>
      </c>
      <c r="AN85" s="2"/>
      <c r="AO85" s="2"/>
    </row>
    <row r="86" spans="1:41" ht="12" customHeight="1" x14ac:dyDescent="0.3">
      <c r="A86" s="2"/>
      <c r="B86" s="2" t="str">
        <f t="shared" si="10"/>
        <v/>
      </c>
      <c r="C86" s="2" t="str">
        <f t="shared" si="11"/>
        <v/>
      </c>
      <c r="D86" s="2" t="str">
        <f>IF(DB_Artworks_Export!A86="","",DB_Artworks_Export!A86)</f>
        <v/>
      </c>
      <c r="E86" s="2" t="str">
        <f>IF(DB_Artworks_Export!B86="","",DB_Artworks_Export!B86)</f>
        <v/>
      </c>
      <c r="F86" s="2" t="str">
        <f>IF(DB_Artworks_Export!C86="","",DB_Artworks_Export!C86)</f>
        <v/>
      </c>
      <c r="G86" s="2" t="str">
        <f>IF(DB_Artworks_Export!D86="","",DB_Artworks_Export!D86)</f>
        <v/>
      </c>
      <c r="H86" s="2" t="str">
        <f>IF(DB_Artworks_Export!E86="","",DB_Artworks_Export!E86)</f>
        <v/>
      </c>
      <c r="I86" s="2" t="str">
        <f>IF(DB_Artworks_Export!F86="","",DB_Artworks_Export!F86)</f>
        <v/>
      </c>
      <c r="J86" s="2" t="str">
        <f>IF(DB_Artworks_Export!G86="","",DB_Artworks_Export!G86)</f>
        <v/>
      </c>
      <c r="K86" s="2" t="str">
        <f>IF(DB_Artworks_Export!H86="","",DB_Artworks_Export!H86)</f>
        <v/>
      </c>
      <c r="L86" s="2" t="str">
        <f>IF(DB_Artworks_Export!I86="","",DB_Artworks_Export!I86)</f>
        <v/>
      </c>
      <c r="M86" s="2" t="str">
        <f>IF(DB_Artworks_Export!J86="","",DB_Artworks_Export!J86)</f>
        <v/>
      </c>
      <c r="N86" s="2" t="str">
        <f>IF(DB_Artworks_Export!K86="","",DB_Artworks_Export!K86)</f>
        <v/>
      </c>
      <c r="O86" s="2" t="str">
        <f>IF(DB_Artworks_Export!L86="","",DB_Artworks_Export!L86)</f>
        <v/>
      </c>
      <c r="P86" s="2" t="str">
        <f>IF(DB_Artworks_Export!M86="","",DB_Artworks_Export!M86)</f>
        <v/>
      </c>
      <c r="Q86" s="2" t="str">
        <f>IF(DB_Artworks_Export!N86="","",DB_Artworks_Export!N86)</f>
        <v/>
      </c>
      <c r="R86" s="2" t="str">
        <f>IF($D86="","",IF(COUNTIF(DB_Categories_Export!$A:$A,$F86)&gt;0,"OK","INVALID CATEGORY"))</f>
        <v/>
      </c>
      <c r="S86" s="2" t="str">
        <f>IF($D86="","",COUNTIF(DB_Artwork_Sizes_Export!$B:$B,$D86))</f>
        <v/>
      </c>
      <c r="T86" s="2" t="str">
        <f>IF($D86="","",IFERROR(INDEX(DB_Artwork_Sizes_Export!$D:$D,MATCH($D86,DB_Artwork_Sizes_Export!$B:$B,0)),""))</f>
        <v/>
      </c>
      <c r="U86" s="2" t="str">
        <f>IF($D86="","",IFERROR(INDEX(DB_Artwork_Sizes_Export!$E:$E,MATCH($D86,DB_Artwork_Sizes_Export!$B:$B,0)),""))</f>
        <v/>
      </c>
      <c r="V86" s="2" t="str">
        <f>IF($D86="","",IFERROR(INDEX(DB_Artwork_Sizes_Export!$F:$F,MATCH($D86,DB_Artwork_Sizes_Export!$B:$B,0)),""))</f>
        <v/>
      </c>
      <c r="W86" s="2" t="str">
        <f t="shared" si="12"/>
        <v/>
      </c>
      <c r="X86" s="2"/>
      <c r="Y86" s="2"/>
      <c r="Z86" s="2"/>
      <c r="AA86" s="2"/>
      <c r="AB86" s="2"/>
      <c r="AC86" s="2"/>
      <c r="AD86" s="2"/>
      <c r="AE86" s="2"/>
      <c r="AF86" s="2" t="str">
        <f t="shared" si="13"/>
        <v/>
      </c>
      <c r="AG86" s="2" t="str">
        <f t="shared" si="14"/>
        <v/>
      </c>
      <c r="AH86" s="2" t="str">
        <f>IF($AG86="","",IFERROR(VLOOKUP($AG86,DB_Categories_Export!$A:$B,2,FALSE()),"INVALID CATEGORY"))</f>
        <v/>
      </c>
      <c r="AI86" s="2" t="str">
        <f t="shared" si="15"/>
        <v/>
      </c>
      <c r="AJ86" s="2" t="str">
        <f t="shared" si="16"/>
        <v/>
      </c>
      <c r="AK86" s="2" t="str">
        <f t="shared" si="17"/>
        <v/>
      </c>
      <c r="AL86" s="2" t="str">
        <f t="shared" si="18"/>
        <v/>
      </c>
      <c r="AM86" s="2" t="str">
        <f t="shared" si="19"/>
        <v/>
      </c>
      <c r="AN86" s="2"/>
      <c r="AO86" s="2"/>
    </row>
    <row r="87" spans="1:41" ht="12" customHeight="1" x14ac:dyDescent="0.3">
      <c r="A87" s="2"/>
      <c r="B87" s="2" t="str">
        <f t="shared" si="10"/>
        <v/>
      </c>
      <c r="C87" s="2" t="str">
        <f t="shared" si="11"/>
        <v/>
      </c>
      <c r="D87" s="2" t="str">
        <f>IF(DB_Artworks_Export!A87="","",DB_Artworks_Export!A87)</f>
        <v/>
      </c>
      <c r="E87" s="2" t="str">
        <f>IF(DB_Artworks_Export!B87="","",DB_Artworks_Export!B87)</f>
        <v/>
      </c>
      <c r="F87" s="2" t="str">
        <f>IF(DB_Artworks_Export!C87="","",DB_Artworks_Export!C87)</f>
        <v/>
      </c>
      <c r="G87" s="2" t="str">
        <f>IF(DB_Artworks_Export!D87="","",DB_Artworks_Export!D87)</f>
        <v/>
      </c>
      <c r="H87" s="2" t="str">
        <f>IF(DB_Artworks_Export!E87="","",DB_Artworks_Export!E87)</f>
        <v/>
      </c>
      <c r="I87" s="2" t="str">
        <f>IF(DB_Artworks_Export!F87="","",DB_Artworks_Export!F87)</f>
        <v/>
      </c>
      <c r="J87" s="2" t="str">
        <f>IF(DB_Artworks_Export!G87="","",DB_Artworks_Export!G87)</f>
        <v/>
      </c>
      <c r="K87" s="2" t="str">
        <f>IF(DB_Artworks_Export!H87="","",DB_Artworks_Export!H87)</f>
        <v/>
      </c>
      <c r="L87" s="2" t="str">
        <f>IF(DB_Artworks_Export!I87="","",DB_Artworks_Export!I87)</f>
        <v/>
      </c>
      <c r="M87" s="2" t="str">
        <f>IF(DB_Artworks_Export!J87="","",DB_Artworks_Export!J87)</f>
        <v/>
      </c>
      <c r="N87" s="2" t="str">
        <f>IF(DB_Artworks_Export!K87="","",DB_Artworks_Export!K87)</f>
        <v/>
      </c>
      <c r="O87" s="2" t="str">
        <f>IF(DB_Artworks_Export!L87="","",DB_Artworks_Export!L87)</f>
        <v/>
      </c>
      <c r="P87" s="2" t="str">
        <f>IF(DB_Artworks_Export!M87="","",DB_Artworks_Export!M87)</f>
        <v/>
      </c>
      <c r="Q87" s="2" t="str">
        <f>IF(DB_Artworks_Export!N87="","",DB_Artworks_Export!N87)</f>
        <v/>
      </c>
      <c r="R87" s="2" t="str">
        <f>IF($D87="","",IF(COUNTIF(DB_Categories_Export!$A:$A,$F87)&gt;0,"OK","INVALID CATEGORY"))</f>
        <v/>
      </c>
      <c r="S87" s="2" t="str">
        <f>IF($D87="","",COUNTIF(DB_Artwork_Sizes_Export!$B:$B,$D87))</f>
        <v/>
      </c>
      <c r="T87" s="2" t="str">
        <f>IF($D87="","",IFERROR(INDEX(DB_Artwork_Sizes_Export!$D:$D,MATCH($D87,DB_Artwork_Sizes_Export!$B:$B,0)),""))</f>
        <v/>
      </c>
      <c r="U87" s="2" t="str">
        <f>IF($D87="","",IFERROR(INDEX(DB_Artwork_Sizes_Export!$E:$E,MATCH($D87,DB_Artwork_Sizes_Export!$B:$B,0)),""))</f>
        <v/>
      </c>
      <c r="V87" s="2" t="str">
        <f>IF($D87="","",IFERROR(INDEX(DB_Artwork_Sizes_Export!$F:$F,MATCH($D87,DB_Artwork_Sizes_Export!$B:$B,0)),""))</f>
        <v/>
      </c>
      <c r="W87" s="2" t="str">
        <f t="shared" si="12"/>
        <v/>
      </c>
      <c r="X87" s="2"/>
      <c r="Y87" s="2"/>
      <c r="Z87" s="2"/>
      <c r="AA87" s="2"/>
      <c r="AB87" s="2"/>
      <c r="AC87" s="2"/>
      <c r="AD87" s="2"/>
      <c r="AE87" s="2"/>
      <c r="AF87" s="2" t="str">
        <f t="shared" si="13"/>
        <v/>
      </c>
      <c r="AG87" s="2" t="str">
        <f t="shared" si="14"/>
        <v/>
      </c>
      <c r="AH87" s="2" t="str">
        <f>IF($AG87="","",IFERROR(VLOOKUP($AG87,DB_Categories_Export!$A:$B,2,FALSE()),"INVALID CATEGORY"))</f>
        <v/>
      </c>
      <c r="AI87" s="2" t="str">
        <f t="shared" si="15"/>
        <v/>
      </c>
      <c r="AJ87" s="2" t="str">
        <f t="shared" si="16"/>
        <v/>
      </c>
      <c r="AK87" s="2" t="str">
        <f t="shared" si="17"/>
        <v/>
      </c>
      <c r="AL87" s="2" t="str">
        <f t="shared" si="18"/>
        <v/>
      </c>
      <c r="AM87" s="2" t="str">
        <f t="shared" si="19"/>
        <v/>
      </c>
      <c r="AN87" s="2"/>
      <c r="AO87" s="2"/>
    </row>
    <row r="88" spans="1:41" ht="12" customHeight="1" x14ac:dyDescent="0.3">
      <c r="A88" s="2"/>
      <c r="B88" s="2" t="str">
        <f t="shared" si="10"/>
        <v/>
      </c>
      <c r="C88" s="2" t="str">
        <f t="shared" si="11"/>
        <v/>
      </c>
      <c r="D88" s="2" t="str">
        <f>IF(DB_Artworks_Export!A88="","",DB_Artworks_Export!A88)</f>
        <v/>
      </c>
      <c r="E88" s="2" t="str">
        <f>IF(DB_Artworks_Export!B88="","",DB_Artworks_Export!B88)</f>
        <v/>
      </c>
      <c r="F88" s="2" t="str">
        <f>IF(DB_Artworks_Export!C88="","",DB_Artworks_Export!C88)</f>
        <v/>
      </c>
      <c r="G88" s="2" t="str">
        <f>IF(DB_Artworks_Export!D88="","",DB_Artworks_Export!D88)</f>
        <v/>
      </c>
      <c r="H88" s="2" t="str">
        <f>IF(DB_Artworks_Export!E88="","",DB_Artworks_Export!E88)</f>
        <v/>
      </c>
      <c r="I88" s="2" t="str">
        <f>IF(DB_Artworks_Export!F88="","",DB_Artworks_Export!F88)</f>
        <v/>
      </c>
      <c r="J88" s="2" t="str">
        <f>IF(DB_Artworks_Export!G88="","",DB_Artworks_Export!G88)</f>
        <v/>
      </c>
      <c r="K88" s="2" t="str">
        <f>IF(DB_Artworks_Export!H88="","",DB_Artworks_Export!H88)</f>
        <v/>
      </c>
      <c r="L88" s="2" t="str">
        <f>IF(DB_Artworks_Export!I88="","",DB_Artworks_Export!I88)</f>
        <v/>
      </c>
      <c r="M88" s="2" t="str">
        <f>IF(DB_Artworks_Export!J88="","",DB_Artworks_Export!J88)</f>
        <v/>
      </c>
      <c r="N88" s="2" t="str">
        <f>IF(DB_Artworks_Export!K88="","",DB_Artworks_Export!K88)</f>
        <v/>
      </c>
      <c r="O88" s="2" t="str">
        <f>IF(DB_Artworks_Export!L88="","",DB_Artworks_Export!L88)</f>
        <v/>
      </c>
      <c r="P88" s="2" t="str">
        <f>IF(DB_Artworks_Export!M88="","",DB_Artworks_Export!M88)</f>
        <v/>
      </c>
      <c r="Q88" s="2" t="str">
        <f>IF(DB_Artworks_Export!N88="","",DB_Artworks_Export!N88)</f>
        <v/>
      </c>
      <c r="R88" s="2" t="str">
        <f>IF($D88="","",IF(COUNTIF(DB_Categories_Export!$A:$A,$F88)&gt;0,"OK","INVALID CATEGORY"))</f>
        <v/>
      </c>
      <c r="S88" s="2" t="str">
        <f>IF($D88="","",COUNTIF(DB_Artwork_Sizes_Export!$B:$B,$D88))</f>
        <v/>
      </c>
      <c r="T88" s="2" t="str">
        <f>IF($D88="","",IFERROR(INDEX(DB_Artwork_Sizes_Export!$D:$D,MATCH($D88,DB_Artwork_Sizes_Export!$B:$B,0)),""))</f>
        <v/>
      </c>
      <c r="U88" s="2" t="str">
        <f>IF($D88="","",IFERROR(INDEX(DB_Artwork_Sizes_Export!$E:$E,MATCH($D88,DB_Artwork_Sizes_Export!$B:$B,0)),""))</f>
        <v/>
      </c>
      <c r="V88" s="2" t="str">
        <f>IF($D88="","",IFERROR(INDEX(DB_Artwork_Sizes_Export!$F:$F,MATCH($D88,DB_Artwork_Sizes_Export!$B:$B,0)),""))</f>
        <v/>
      </c>
      <c r="W88" s="2" t="str">
        <f t="shared" si="12"/>
        <v/>
      </c>
      <c r="X88" s="2"/>
      <c r="Y88" s="2"/>
      <c r="Z88" s="2"/>
      <c r="AA88" s="2"/>
      <c r="AB88" s="2"/>
      <c r="AC88" s="2"/>
      <c r="AD88" s="2"/>
      <c r="AE88" s="2"/>
      <c r="AF88" s="2" t="str">
        <f t="shared" si="13"/>
        <v/>
      </c>
      <c r="AG88" s="2" t="str">
        <f t="shared" si="14"/>
        <v/>
      </c>
      <c r="AH88" s="2" t="str">
        <f>IF($AG88="","",IFERROR(VLOOKUP($AG88,DB_Categories_Export!$A:$B,2,FALSE()),"INVALID CATEGORY"))</f>
        <v/>
      </c>
      <c r="AI88" s="2" t="str">
        <f t="shared" si="15"/>
        <v/>
      </c>
      <c r="AJ88" s="2" t="str">
        <f t="shared" si="16"/>
        <v/>
      </c>
      <c r="AK88" s="2" t="str">
        <f t="shared" si="17"/>
        <v/>
      </c>
      <c r="AL88" s="2" t="str">
        <f t="shared" si="18"/>
        <v/>
      </c>
      <c r="AM88" s="2" t="str">
        <f t="shared" si="19"/>
        <v/>
      </c>
      <c r="AN88" s="2"/>
      <c r="AO88" s="2"/>
    </row>
    <row r="89" spans="1:41" ht="12" customHeight="1" x14ac:dyDescent="0.3">
      <c r="A89" s="2"/>
      <c r="B89" s="2" t="str">
        <f t="shared" si="10"/>
        <v/>
      </c>
      <c r="C89" s="2" t="str">
        <f t="shared" si="11"/>
        <v/>
      </c>
      <c r="D89" s="2" t="str">
        <f>IF(DB_Artworks_Export!A89="","",DB_Artworks_Export!A89)</f>
        <v/>
      </c>
      <c r="E89" s="2" t="str">
        <f>IF(DB_Artworks_Export!B89="","",DB_Artworks_Export!B89)</f>
        <v/>
      </c>
      <c r="F89" s="2" t="str">
        <f>IF(DB_Artworks_Export!C89="","",DB_Artworks_Export!C89)</f>
        <v/>
      </c>
      <c r="G89" s="2" t="str">
        <f>IF(DB_Artworks_Export!D89="","",DB_Artworks_Export!D89)</f>
        <v/>
      </c>
      <c r="H89" s="2" t="str">
        <f>IF(DB_Artworks_Export!E89="","",DB_Artworks_Export!E89)</f>
        <v/>
      </c>
      <c r="I89" s="2" t="str">
        <f>IF(DB_Artworks_Export!F89="","",DB_Artworks_Export!F89)</f>
        <v/>
      </c>
      <c r="J89" s="2" t="str">
        <f>IF(DB_Artworks_Export!G89="","",DB_Artworks_Export!G89)</f>
        <v/>
      </c>
      <c r="K89" s="2" t="str">
        <f>IF(DB_Artworks_Export!H89="","",DB_Artworks_Export!H89)</f>
        <v/>
      </c>
      <c r="L89" s="2" t="str">
        <f>IF(DB_Artworks_Export!I89="","",DB_Artworks_Export!I89)</f>
        <v/>
      </c>
      <c r="M89" s="2" t="str">
        <f>IF(DB_Artworks_Export!J89="","",DB_Artworks_Export!J89)</f>
        <v/>
      </c>
      <c r="N89" s="2" t="str">
        <f>IF(DB_Artworks_Export!K89="","",DB_Artworks_Export!K89)</f>
        <v/>
      </c>
      <c r="O89" s="2" t="str">
        <f>IF(DB_Artworks_Export!L89="","",DB_Artworks_Export!L89)</f>
        <v/>
      </c>
      <c r="P89" s="2" t="str">
        <f>IF(DB_Artworks_Export!M89="","",DB_Artworks_Export!M89)</f>
        <v/>
      </c>
      <c r="Q89" s="2" t="str">
        <f>IF(DB_Artworks_Export!N89="","",DB_Artworks_Export!N89)</f>
        <v/>
      </c>
      <c r="R89" s="2" t="str">
        <f>IF($D89="","",IF(COUNTIF(DB_Categories_Export!$A:$A,$F89)&gt;0,"OK","INVALID CATEGORY"))</f>
        <v/>
      </c>
      <c r="S89" s="2" t="str">
        <f>IF($D89="","",COUNTIF(DB_Artwork_Sizes_Export!$B:$B,$D89))</f>
        <v/>
      </c>
      <c r="T89" s="2" t="str">
        <f>IF($D89="","",IFERROR(INDEX(DB_Artwork_Sizes_Export!$D:$D,MATCH($D89,DB_Artwork_Sizes_Export!$B:$B,0)),""))</f>
        <v/>
      </c>
      <c r="U89" s="2" t="str">
        <f>IF($D89="","",IFERROR(INDEX(DB_Artwork_Sizes_Export!$E:$E,MATCH($D89,DB_Artwork_Sizes_Export!$B:$B,0)),""))</f>
        <v/>
      </c>
      <c r="V89" s="2" t="str">
        <f>IF($D89="","",IFERROR(INDEX(DB_Artwork_Sizes_Export!$F:$F,MATCH($D89,DB_Artwork_Sizes_Export!$B:$B,0)),""))</f>
        <v/>
      </c>
      <c r="W89" s="2" t="str">
        <f t="shared" si="12"/>
        <v/>
      </c>
      <c r="X89" s="2"/>
      <c r="Y89" s="2"/>
      <c r="Z89" s="2"/>
      <c r="AA89" s="2"/>
      <c r="AB89" s="2"/>
      <c r="AC89" s="2"/>
      <c r="AD89" s="2"/>
      <c r="AE89" s="2"/>
      <c r="AF89" s="2" t="str">
        <f t="shared" si="13"/>
        <v/>
      </c>
      <c r="AG89" s="2" t="str">
        <f t="shared" si="14"/>
        <v/>
      </c>
      <c r="AH89" s="2" t="str">
        <f>IF($AG89="","",IFERROR(VLOOKUP($AG89,DB_Categories_Export!$A:$B,2,FALSE()),"INVALID CATEGORY"))</f>
        <v/>
      </c>
      <c r="AI89" s="2" t="str">
        <f t="shared" si="15"/>
        <v/>
      </c>
      <c r="AJ89" s="2" t="str">
        <f t="shared" si="16"/>
        <v/>
      </c>
      <c r="AK89" s="2" t="str">
        <f t="shared" si="17"/>
        <v/>
      </c>
      <c r="AL89" s="2" t="str">
        <f t="shared" si="18"/>
        <v/>
      </c>
      <c r="AM89" s="2" t="str">
        <f t="shared" si="19"/>
        <v/>
      </c>
      <c r="AN89" s="2"/>
      <c r="AO89" s="2"/>
    </row>
    <row r="90" spans="1:41" ht="12" customHeight="1" x14ac:dyDescent="0.3">
      <c r="A90" s="2"/>
      <c r="B90" s="2" t="str">
        <f t="shared" si="10"/>
        <v/>
      </c>
      <c r="C90" s="2" t="str">
        <f t="shared" si="11"/>
        <v/>
      </c>
      <c r="D90" s="2" t="str">
        <f>IF(DB_Artworks_Export!A90="","",DB_Artworks_Export!A90)</f>
        <v/>
      </c>
      <c r="E90" s="2" t="str">
        <f>IF(DB_Artworks_Export!B90="","",DB_Artworks_Export!B90)</f>
        <v/>
      </c>
      <c r="F90" s="2" t="str">
        <f>IF(DB_Artworks_Export!C90="","",DB_Artworks_Export!C90)</f>
        <v/>
      </c>
      <c r="G90" s="2" t="str">
        <f>IF(DB_Artworks_Export!D90="","",DB_Artworks_Export!D90)</f>
        <v/>
      </c>
      <c r="H90" s="2" t="str">
        <f>IF(DB_Artworks_Export!E90="","",DB_Artworks_Export!E90)</f>
        <v/>
      </c>
      <c r="I90" s="2" t="str">
        <f>IF(DB_Artworks_Export!F90="","",DB_Artworks_Export!F90)</f>
        <v/>
      </c>
      <c r="J90" s="2" t="str">
        <f>IF(DB_Artworks_Export!G90="","",DB_Artworks_Export!G90)</f>
        <v/>
      </c>
      <c r="K90" s="2" t="str">
        <f>IF(DB_Artworks_Export!H90="","",DB_Artworks_Export!H90)</f>
        <v/>
      </c>
      <c r="L90" s="2" t="str">
        <f>IF(DB_Artworks_Export!I90="","",DB_Artworks_Export!I90)</f>
        <v/>
      </c>
      <c r="M90" s="2" t="str">
        <f>IF(DB_Artworks_Export!J90="","",DB_Artworks_Export!J90)</f>
        <v/>
      </c>
      <c r="N90" s="2" t="str">
        <f>IF(DB_Artworks_Export!K90="","",DB_Artworks_Export!K90)</f>
        <v/>
      </c>
      <c r="O90" s="2" t="str">
        <f>IF(DB_Artworks_Export!L90="","",DB_Artworks_Export!L90)</f>
        <v/>
      </c>
      <c r="P90" s="2" t="str">
        <f>IF(DB_Artworks_Export!M90="","",DB_Artworks_Export!M90)</f>
        <v/>
      </c>
      <c r="Q90" s="2" t="str">
        <f>IF(DB_Artworks_Export!N90="","",DB_Artworks_Export!N90)</f>
        <v/>
      </c>
      <c r="R90" s="2" t="str">
        <f>IF($D90="","",IF(COUNTIF(DB_Categories_Export!$A:$A,$F90)&gt;0,"OK","INVALID CATEGORY"))</f>
        <v/>
      </c>
      <c r="S90" s="2" t="str">
        <f>IF($D90="","",COUNTIF(DB_Artwork_Sizes_Export!$B:$B,$D90))</f>
        <v/>
      </c>
      <c r="T90" s="2" t="str">
        <f>IF($D90="","",IFERROR(INDEX(DB_Artwork_Sizes_Export!$D:$D,MATCH($D90,DB_Artwork_Sizes_Export!$B:$B,0)),""))</f>
        <v/>
      </c>
      <c r="U90" s="2" t="str">
        <f>IF($D90="","",IFERROR(INDEX(DB_Artwork_Sizes_Export!$E:$E,MATCH($D90,DB_Artwork_Sizes_Export!$B:$B,0)),""))</f>
        <v/>
      </c>
      <c r="V90" s="2" t="str">
        <f>IF($D90="","",IFERROR(INDEX(DB_Artwork_Sizes_Export!$F:$F,MATCH($D90,DB_Artwork_Sizes_Export!$B:$B,0)),""))</f>
        <v/>
      </c>
      <c r="W90" s="2" t="str">
        <f t="shared" si="12"/>
        <v/>
      </c>
      <c r="X90" s="2"/>
      <c r="Y90" s="2"/>
      <c r="Z90" s="2"/>
      <c r="AA90" s="2"/>
      <c r="AB90" s="2"/>
      <c r="AC90" s="2"/>
      <c r="AD90" s="2"/>
      <c r="AE90" s="2"/>
      <c r="AF90" s="2" t="str">
        <f t="shared" si="13"/>
        <v/>
      </c>
      <c r="AG90" s="2" t="str">
        <f t="shared" si="14"/>
        <v/>
      </c>
      <c r="AH90" s="2" t="str">
        <f>IF($AG90="","",IFERROR(VLOOKUP($AG90,DB_Categories_Export!$A:$B,2,FALSE()),"INVALID CATEGORY"))</f>
        <v/>
      </c>
      <c r="AI90" s="2" t="str">
        <f t="shared" si="15"/>
        <v/>
      </c>
      <c r="AJ90" s="2" t="str">
        <f t="shared" si="16"/>
        <v/>
      </c>
      <c r="AK90" s="2" t="str">
        <f t="shared" si="17"/>
        <v/>
      </c>
      <c r="AL90" s="2" t="str">
        <f t="shared" si="18"/>
        <v/>
      </c>
      <c r="AM90" s="2" t="str">
        <f t="shared" si="19"/>
        <v/>
      </c>
      <c r="AN90" s="2"/>
      <c r="AO90" s="2"/>
    </row>
    <row r="91" spans="1:41" ht="12" customHeight="1" x14ac:dyDescent="0.3">
      <c r="A91" s="2"/>
      <c r="B91" s="2" t="str">
        <f t="shared" si="10"/>
        <v/>
      </c>
      <c r="C91" s="2" t="str">
        <f t="shared" si="11"/>
        <v/>
      </c>
      <c r="D91" s="2" t="str">
        <f>IF(DB_Artworks_Export!A91="","",DB_Artworks_Export!A91)</f>
        <v/>
      </c>
      <c r="E91" s="2" t="str">
        <f>IF(DB_Artworks_Export!B91="","",DB_Artworks_Export!B91)</f>
        <v/>
      </c>
      <c r="F91" s="2" t="str">
        <f>IF(DB_Artworks_Export!C91="","",DB_Artworks_Export!C91)</f>
        <v/>
      </c>
      <c r="G91" s="2" t="str">
        <f>IF(DB_Artworks_Export!D91="","",DB_Artworks_Export!D91)</f>
        <v/>
      </c>
      <c r="H91" s="2" t="str">
        <f>IF(DB_Artworks_Export!E91="","",DB_Artworks_Export!E91)</f>
        <v/>
      </c>
      <c r="I91" s="2" t="str">
        <f>IF(DB_Artworks_Export!F91="","",DB_Artworks_Export!F91)</f>
        <v/>
      </c>
      <c r="J91" s="2" t="str">
        <f>IF(DB_Artworks_Export!G91="","",DB_Artworks_Export!G91)</f>
        <v/>
      </c>
      <c r="K91" s="2" t="str">
        <f>IF(DB_Artworks_Export!H91="","",DB_Artworks_Export!H91)</f>
        <v/>
      </c>
      <c r="L91" s="2" t="str">
        <f>IF(DB_Artworks_Export!I91="","",DB_Artworks_Export!I91)</f>
        <v/>
      </c>
      <c r="M91" s="2" t="str">
        <f>IF(DB_Artworks_Export!J91="","",DB_Artworks_Export!J91)</f>
        <v/>
      </c>
      <c r="N91" s="2" t="str">
        <f>IF(DB_Artworks_Export!K91="","",DB_Artworks_Export!K91)</f>
        <v/>
      </c>
      <c r="O91" s="2" t="str">
        <f>IF(DB_Artworks_Export!L91="","",DB_Artworks_Export!L91)</f>
        <v/>
      </c>
      <c r="P91" s="2" t="str">
        <f>IF(DB_Artworks_Export!M91="","",DB_Artworks_Export!M91)</f>
        <v/>
      </c>
      <c r="Q91" s="2" t="str">
        <f>IF(DB_Artworks_Export!N91="","",DB_Artworks_Export!N91)</f>
        <v/>
      </c>
      <c r="R91" s="2" t="str">
        <f>IF($D91="","",IF(COUNTIF(DB_Categories_Export!$A:$A,$F91)&gt;0,"OK","INVALID CATEGORY"))</f>
        <v/>
      </c>
      <c r="S91" s="2" t="str">
        <f>IF($D91="","",COUNTIF(DB_Artwork_Sizes_Export!$B:$B,$D91))</f>
        <v/>
      </c>
      <c r="T91" s="2" t="str">
        <f>IF($D91="","",IFERROR(INDEX(DB_Artwork_Sizes_Export!$D:$D,MATCH($D91,DB_Artwork_Sizes_Export!$B:$B,0)),""))</f>
        <v/>
      </c>
      <c r="U91" s="2" t="str">
        <f>IF($D91="","",IFERROR(INDEX(DB_Artwork_Sizes_Export!$E:$E,MATCH($D91,DB_Artwork_Sizes_Export!$B:$B,0)),""))</f>
        <v/>
      </c>
      <c r="V91" s="2" t="str">
        <f>IF($D91="","",IFERROR(INDEX(DB_Artwork_Sizes_Export!$F:$F,MATCH($D91,DB_Artwork_Sizes_Export!$B:$B,0)),""))</f>
        <v/>
      </c>
      <c r="W91" s="2" t="str">
        <f t="shared" si="12"/>
        <v/>
      </c>
      <c r="X91" s="2"/>
      <c r="Y91" s="2"/>
      <c r="Z91" s="2"/>
      <c r="AA91" s="2"/>
      <c r="AB91" s="2"/>
      <c r="AC91" s="2"/>
      <c r="AD91" s="2"/>
      <c r="AE91" s="2"/>
      <c r="AF91" s="2" t="str">
        <f t="shared" si="13"/>
        <v/>
      </c>
      <c r="AG91" s="2" t="str">
        <f t="shared" si="14"/>
        <v/>
      </c>
      <c r="AH91" s="2" t="str">
        <f>IF($AG91="","",IFERROR(VLOOKUP($AG91,DB_Categories_Export!$A:$B,2,FALSE()),"INVALID CATEGORY"))</f>
        <v/>
      </c>
      <c r="AI91" s="2" t="str">
        <f t="shared" si="15"/>
        <v/>
      </c>
      <c r="AJ91" s="2" t="str">
        <f t="shared" si="16"/>
        <v/>
      </c>
      <c r="AK91" s="2" t="str">
        <f t="shared" si="17"/>
        <v/>
      </c>
      <c r="AL91" s="2" t="str">
        <f t="shared" si="18"/>
        <v/>
      </c>
      <c r="AM91" s="2" t="str">
        <f t="shared" si="19"/>
        <v/>
      </c>
      <c r="AN91" s="2"/>
      <c r="AO91" s="2"/>
    </row>
    <row r="92" spans="1:41" ht="12" customHeight="1" x14ac:dyDescent="0.3">
      <c r="A92" s="2"/>
      <c r="B92" s="2" t="str">
        <f t="shared" si="10"/>
        <v/>
      </c>
      <c r="C92" s="2" t="str">
        <f t="shared" si="11"/>
        <v/>
      </c>
      <c r="D92" s="2" t="str">
        <f>IF(DB_Artworks_Export!A92="","",DB_Artworks_Export!A92)</f>
        <v/>
      </c>
      <c r="E92" s="2" t="str">
        <f>IF(DB_Artworks_Export!B92="","",DB_Artworks_Export!B92)</f>
        <v/>
      </c>
      <c r="F92" s="2" t="str">
        <f>IF(DB_Artworks_Export!C92="","",DB_Artworks_Export!C92)</f>
        <v/>
      </c>
      <c r="G92" s="2" t="str">
        <f>IF(DB_Artworks_Export!D92="","",DB_Artworks_Export!D92)</f>
        <v/>
      </c>
      <c r="H92" s="2" t="str">
        <f>IF(DB_Artworks_Export!E92="","",DB_Artworks_Export!E92)</f>
        <v/>
      </c>
      <c r="I92" s="2" t="str">
        <f>IF(DB_Artworks_Export!F92="","",DB_Artworks_Export!F92)</f>
        <v/>
      </c>
      <c r="J92" s="2" t="str">
        <f>IF(DB_Artworks_Export!G92="","",DB_Artworks_Export!G92)</f>
        <v/>
      </c>
      <c r="K92" s="2" t="str">
        <f>IF(DB_Artworks_Export!H92="","",DB_Artworks_Export!H92)</f>
        <v/>
      </c>
      <c r="L92" s="2" t="str">
        <f>IF(DB_Artworks_Export!I92="","",DB_Artworks_Export!I92)</f>
        <v/>
      </c>
      <c r="M92" s="2" t="str">
        <f>IF(DB_Artworks_Export!J92="","",DB_Artworks_Export!J92)</f>
        <v/>
      </c>
      <c r="N92" s="2" t="str">
        <f>IF(DB_Artworks_Export!K92="","",DB_Artworks_Export!K92)</f>
        <v/>
      </c>
      <c r="O92" s="2" t="str">
        <f>IF(DB_Artworks_Export!L92="","",DB_Artworks_Export!L92)</f>
        <v/>
      </c>
      <c r="P92" s="2" t="str">
        <f>IF(DB_Artworks_Export!M92="","",DB_Artworks_Export!M92)</f>
        <v/>
      </c>
      <c r="Q92" s="2" t="str">
        <f>IF(DB_Artworks_Export!N92="","",DB_Artworks_Export!N92)</f>
        <v/>
      </c>
      <c r="R92" s="2" t="str">
        <f>IF($D92="","",IF(COUNTIF(DB_Categories_Export!$A:$A,$F92)&gt;0,"OK","INVALID CATEGORY"))</f>
        <v/>
      </c>
      <c r="S92" s="2" t="str">
        <f>IF($D92="","",COUNTIF(DB_Artwork_Sizes_Export!$B:$B,$D92))</f>
        <v/>
      </c>
      <c r="T92" s="2" t="str">
        <f>IF($D92="","",IFERROR(INDEX(DB_Artwork_Sizes_Export!$D:$D,MATCH($D92,DB_Artwork_Sizes_Export!$B:$B,0)),""))</f>
        <v/>
      </c>
      <c r="U92" s="2" t="str">
        <f>IF($D92="","",IFERROR(INDEX(DB_Artwork_Sizes_Export!$E:$E,MATCH($D92,DB_Artwork_Sizes_Export!$B:$B,0)),""))</f>
        <v/>
      </c>
      <c r="V92" s="2" t="str">
        <f>IF($D92="","",IFERROR(INDEX(DB_Artwork_Sizes_Export!$F:$F,MATCH($D92,DB_Artwork_Sizes_Export!$B:$B,0)),""))</f>
        <v/>
      </c>
      <c r="W92" s="2" t="str">
        <f t="shared" si="12"/>
        <v/>
      </c>
      <c r="X92" s="2"/>
      <c r="Y92" s="2"/>
      <c r="Z92" s="2"/>
      <c r="AA92" s="2"/>
      <c r="AB92" s="2"/>
      <c r="AC92" s="2"/>
      <c r="AD92" s="2"/>
      <c r="AE92" s="2"/>
      <c r="AF92" s="2" t="str">
        <f t="shared" si="13"/>
        <v/>
      </c>
      <c r="AG92" s="2" t="str">
        <f t="shared" si="14"/>
        <v/>
      </c>
      <c r="AH92" s="2" t="str">
        <f>IF($AG92="","",IFERROR(VLOOKUP($AG92,DB_Categories_Export!$A:$B,2,FALSE()),"INVALID CATEGORY"))</f>
        <v/>
      </c>
      <c r="AI92" s="2" t="str">
        <f t="shared" si="15"/>
        <v/>
      </c>
      <c r="AJ92" s="2" t="str">
        <f t="shared" si="16"/>
        <v/>
      </c>
      <c r="AK92" s="2" t="str">
        <f t="shared" si="17"/>
        <v/>
      </c>
      <c r="AL92" s="2" t="str">
        <f t="shared" si="18"/>
        <v/>
      </c>
      <c r="AM92" s="2" t="str">
        <f t="shared" si="19"/>
        <v/>
      </c>
      <c r="AN92" s="2"/>
      <c r="AO92" s="2"/>
    </row>
    <row r="93" spans="1:41" ht="12" customHeight="1" x14ac:dyDescent="0.3">
      <c r="A93" s="2"/>
      <c r="B93" s="2" t="str">
        <f t="shared" si="10"/>
        <v/>
      </c>
      <c r="C93" s="2" t="str">
        <f t="shared" si="11"/>
        <v/>
      </c>
      <c r="D93" s="2" t="str">
        <f>IF(DB_Artworks_Export!A93="","",DB_Artworks_Export!A93)</f>
        <v/>
      </c>
      <c r="E93" s="2" t="str">
        <f>IF(DB_Artworks_Export!B93="","",DB_Artworks_Export!B93)</f>
        <v/>
      </c>
      <c r="F93" s="2" t="str">
        <f>IF(DB_Artworks_Export!C93="","",DB_Artworks_Export!C93)</f>
        <v/>
      </c>
      <c r="G93" s="2" t="str">
        <f>IF(DB_Artworks_Export!D93="","",DB_Artworks_Export!D93)</f>
        <v/>
      </c>
      <c r="H93" s="2" t="str">
        <f>IF(DB_Artworks_Export!E93="","",DB_Artworks_Export!E93)</f>
        <v/>
      </c>
      <c r="I93" s="2" t="str">
        <f>IF(DB_Artworks_Export!F93="","",DB_Artworks_Export!F93)</f>
        <v/>
      </c>
      <c r="J93" s="2" t="str">
        <f>IF(DB_Artworks_Export!G93="","",DB_Artworks_Export!G93)</f>
        <v/>
      </c>
      <c r="K93" s="2" t="str">
        <f>IF(DB_Artworks_Export!H93="","",DB_Artworks_Export!H93)</f>
        <v/>
      </c>
      <c r="L93" s="2" t="str">
        <f>IF(DB_Artworks_Export!I93="","",DB_Artworks_Export!I93)</f>
        <v/>
      </c>
      <c r="M93" s="2" t="str">
        <f>IF(DB_Artworks_Export!J93="","",DB_Artworks_Export!J93)</f>
        <v/>
      </c>
      <c r="N93" s="2" t="str">
        <f>IF(DB_Artworks_Export!K93="","",DB_Artworks_Export!K93)</f>
        <v/>
      </c>
      <c r="O93" s="2" t="str">
        <f>IF(DB_Artworks_Export!L93="","",DB_Artworks_Export!L93)</f>
        <v/>
      </c>
      <c r="P93" s="2" t="str">
        <f>IF(DB_Artworks_Export!M93="","",DB_Artworks_Export!M93)</f>
        <v/>
      </c>
      <c r="Q93" s="2" t="str">
        <f>IF(DB_Artworks_Export!N93="","",DB_Artworks_Export!N93)</f>
        <v/>
      </c>
      <c r="R93" s="2" t="str">
        <f>IF($D93="","",IF(COUNTIF(DB_Categories_Export!$A:$A,$F93)&gt;0,"OK","INVALID CATEGORY"))</f>
        <v/>
      </c>
      <c r="S93" s="2" t="str">
        <f>IF($D93="","",COUNTIF(DB_Artwork_Sizes_Export!$B:$B,$D93))</f>
        <v/>
      </c>
      <c r="T93" s="2" t="str">
        <f>IF($D93="","",IFERROR(INDEX(DB_Artwork_Sizes_Export!$D:$D,MATCH($D93,DB_Artwork_Sizes_Export!$B:$B,0)),""))</f>
        <v/>
      </c>
      <c r="U93" s="2" t="str">
        <f>IF($D93="","",IFERROR(INDEX(DB_Artwork_Sizes_Export!$E:$E,MATCH($D93,DB_Artwork_Sizes_Export!$B:$B,0)),""))</f>
        <v/>
      </c>
      <c r="V93" s="2" t="str">
        <f>IF($D93="","",IFERROR(INDEX(DB_Artwork_Sizes_Export!$F:$F,MATCH($D93,DB_Artwork_Sizes_Export!$B:$B,0)),""))</f>
        <v/>
      </c>
      <c r="W93" s="2" t="str">
        <f t="shared" si="12"/>
        <v/>
      </c>
      <c r="X93" s="2"/>
      <c r="Y93" s="2"/>
      <c r="Z93" s="2"/>
      <c r="AA93" s="2"/>
      <c r="AB93" s="2"/>
      <c r="AC93" s="2"/>
      <c r="AD93" s="2"/>
      <c r="AE93" s="2"/>
      <c r="AF93" s="2" t="str">
        <f t="shared" si="13"/>
        <v/>
      </c>
      <c r="AG93" s="2" t="str">
        <f t="shared" si="14"/>
        <v/>
      </c>
      <c r="AH93" s="2" t="str">
        <f>IF($AG93="","",IFERROR(VLOOKUP($AG93,DB_Categories_Export!$A:$B,2,FALSE()),"INVALID CATEGORY"))</f>
        <v/>
      </c>
      <c r="AI93" s="2" t="str">
        <f t="shared" si="15"/>
        <v/>
      </c>
      <c r="AJ93" s="2" t="str">
        <f t="shared" si="16"/>
        <v/>
      </c>
      <c r="AK93" s="2" t="str">
        <f t="shared" si="17"/>
        <v/>
      </c>
      <c r="AL93" s="2" t="str">
        <f t="shared" si="18"/>
        <v/>
      </c>
      <c r="AM93" s="2" t="str">
        <f t="shared" si="19"/>
        <v/>
      </c>
      <c r="AN93" s="2"/>
      <c r="AO93" s="2"/>
    </row>
    <row r="94" spans="1:41" ht="12" customHeight="1" x14ac:dyDescent="0.3">
      <c r="A94" s="2"/>
      <c r="B94" s="2" t="str">
        <f t="shared" si="10"/>
        <v/>
      </c>
      <c r="C94" s="2" t="str">
        <f t="shared" si="11"/>
        <v/>
      </c>
      <c r="D94" s="2" t="str">
        <f>IF(DB_Artworks_Export!A94="","",DB_Artworks_Export!A94)</f>
        <v/>
      </c>
      <c r="E94" s="2" t="str">
        <f>IF(DB_Artworks_Export!B94="","",DB_Artworks_Export!B94)</f>
        <v/>
      </c>
      <c r="F94" s="2" t="str">
        <f>IF(DB_Artworks_Export!C94="","",DB_Artworks_Export!C94)</f>
        <v/>
      </c>
      <c r="G94" s="2" t="str">
        <f>IF(DB_Artworks_Export!D94="","",DB_Artworks_Export!D94)</f>
        <v/>
      </c>
      <c r="H94" s="2" t="str">
        <f>IF(DB_Artworks_Export!E94="","",DB_Artworks_Export!E94)</f>
        <v/>
      </c>
      <c r="I94" s="2" t="str">
        <f>IF(DB_Artworks_Export!F94="","",DB_Artworks_Export!F94)</f>
        <v/>
      </c>
      <c r="J94" s="2" t="str">
        <f>IF(DB_Artworks_Export!G94="","",DB_Artworks_Export!G94)</f>
        <v/>
      </c>
      <c r="K94" s="2" t="str">
        <f>IF(DB_Artworks_Export!H94="","",DB_Artworks_Export!H94)</f>
        <v/>
      </c>
      <c r="L94" s="2" t="str">
        <f>IF(DB_Artworks_Export!I94="","",DB_Artworks_Export!I94)</f>
        <v/>
      </c>
      <c r="M94" s="2" t="str">
        <f>IF(DB_Artworks_Export!J94="","",DB_Artworks_Export!J94)</f>
        <v/>
      </c>
      <c r="N94" s="2" t="str">
        <f>IF(DB_Artworks_Export!K94="","",DB_Artworks_Export!K94)</f>
        <v/>
      </c>
      <c r="O94" s="2" t="str">
        <f>IF(DB_Artworks_Export!L94="","",DB_Artworks_Export!L94)</f>
        <v/>
      </c>
      <c r="P94" s="2" t="str">
        <f>IF(DB_Artworks_Export!M94="","",DB_Artworks_Export!M94)</f>
        <v/>
      </c>
      <c r="Q94" s="2" t="str">
        <f>IF(DB_Artworks_Export!N94="","",DB_Artworks_Export!N94)</f>
        <v/>
      </c>
      <c r="R94" s="2" t="str">
        <f>IF($D94="","",IF(COUNTIF(DB_Categories_Export!$A:$A,$F94)&gt;0,"OK","INVALID CATEGORY"))</f>
        <v/>
      </c>
      <c r="S94" s="2" t="str">
        <f>IF($D94="","",COUNTIF(DB_Artwork_Sizes_Export!$B:$B,$D94))</f>
        <v/>
      </c>
      <c r="T94" s="2" t="str">
        <f>IF($D94="","",IFERROR(INDEX(DB_Artwork_Sizes_Export!$D:$D,MATCH($D94,DB_Artwork_Sizes_Export!$B:$B,0)),""))</f>
        <v/>
      </c>
      <c r="U94" s="2" t="str">
        <f>IF($D94="","",IFERROR(INDEX(DB_Artwork_Sizes_Export!$E:$E,MATCH($D94,DB_Artwork_Sizes_Export!$B:$B,0)),""))</f>
        <v/>
      </c>
      <c r="V94" s="2" t="str">
        <f>IF($D94="","",IFERROR(INDEX(DB_Artwork_Sizes_Export!$F:$F,MATCH($D94,DB_Artwork_Sizes_Export!$B:$B,0)),""))</f>
        <v/>
      </c>
      <c r="W94" s="2" t="str">
        <f t="shared" si="12"/>
        <v/>
      </c>
      <c r="X94" s="2"/>
      <c r="Y94" s="2"/>
      <c r="Z94" s="2"/>
      <c r="AA94" s="2"/>
      <c r="AB94" s="2"/>
      <c r="AC94" s="2"/>
      <c r="AD94" s="2"/>
      <c r="AE94" s="2"/>
      <c r="AF94" s="2" t="str">
        <f t="shared" si="13"/>
        <v/>
      </c>
      <c r="AG94" s="2" t="str">
        <f t="shared" si="14"/>
        <v/>
      </c>
      <c r="AH94" s="2" t="str">
        <f>IF($AG94="","",IFERROR(VLOOKUP($AG94,DB_Categories_Export!$A:$B,2,FALSE()),"INVALID CATEGORY"))</f>
        <v/>
      </c>
      <c r="AI94" s="2" t="str">
        <f t="shared" si="15"/>
        <v/>
      </c>
      <c r="AJ94" s="2" t="str">
        <f t="shared" si="16"/>
        <v/>
      </c>
      <c r="AK94" s="2" t="str">
        <f t="shared" si="17"/>
        <v/>
      </c>
      <c r="AL94" s="2" t="str">
        <f t="shared" si="18"/>
        <v/>
      </c>
      <c r="AM94" s="2" t="str">
        <f t="shared" si="19"/>
        <v/>
      </c>
      <c r="AN94" s="2"/>
      <c r="AO94" s="2"/>
    </row>
    <row r="95" spans="1:41" ht="12" customHeight="1" x14ac:dyDescent="0.3">
      <c r="A95" s="2"/>
      <c r="B95" s="2" t="str">
        <f t="shared" si="10"/>
        <v/>
      </c>
      <c r="C95" s="2" t="str">
        <f t="shared" si="11"/>
        <v/>
      </c>
      <c r="D95" s="2" t="str">
        <f>IF(DB_Artworks_Export!A95="","",DB_Artworks_Export!A95)</f>
        <v/>
      </c>
      <c r="E95" s="2" t="str">
        <f>IF(DB_Artworks_Export!B95="","",DB_Artworks_Export!B95)</f>
        <v/>
      </c>
      <c r="F95" s="2" t="str">
        <f>IF(DB_Artworks_Export!C95="","",DB_Artworks_Export!C95)</f>
        <v/>
      </c>
      <c r="G95" s="2" t="str">
        <f>IF(DB_Artworks_Export!D95="","",DB_Artworks_Export!D95)</f>
        <v/>
      </c>
      <c r="H95" s="2" t="str">
        <f>IF(DB_Artworks_Export!E95="","",DB_Artworks_Export!E95)</f>
        <v/>
      </c>
      <c r="I95" s="2" t="str">
        <f>IF(DB_Artworks_Export!F95="","",DB_Artworks_Export!F95)</f>
        <v/>
      </c>
      <c r="J95" s="2" t="str">
        <f>IF(DB_Artworks_Export!G95="","",DB_Artworks_Export!G95)</f>
        <v/>
      </c>
      <c r="K95" s="2" t="str">
        <f>IF(DB_Artworks_Export!H95="","",DB_Artworks_Export!H95)</f>
        <v/>
      </c>
      <c r="L95" s="2" t="str">
        <f>IF(DB_Artworks_Export!I95="","",DB_Artworks_Export!I95)</f>
        <v/>
      </c>
      <c r="M95" s="2" t="str">
        <f>IF(DB_Artworks_Export!J95="","",DB_Artworks_Export!J95)</f>
        <v/>
      </c>
      <c r="N95" s="2" t="str">
        <f>IF(DB_Artworks_Export!K95="","",DB_Artworks_Export!K95)</f>
        <v/>
      </c>
      <c r="O95" s="2" t="str">
        <f>IF(DB_Artworks_Export!L95="","",DB_Artworks_Export!L95)</f>
        <v/>
      </c>
      <c r="P95" s="2" t="str">
        <f>IF(DB_Artworks_Export!M95="","",DB_Artworks_Export!M95)</f>
        <v/>
      </c>
      <c r="Q95" s="2" t="str">
        <f>IF(DB_Artworks_Export!N95="","",DB_Artworks_Export!N95)</f>
        <v/>
      </c>
      <c r="R95" s="2" t="str">
        <f>IF($D95="","",IF(COUNTIF(DB_Categories_Export!$A:$A,$F95)&gt;0,"OK","INVALID CATEGORY"))</f>
        <v/>
      </c>
      <c r="S95" s="2" t="str">
        <f>IF($D95="","",COUNTIF(DB_Artwork_Sizes_Export!$B:$B,$D95))</f>
        <v/>
      </c>
      <c r="T95" s="2" t="str">
        <f>IF($D95="","",IFERROR(INDEX(DB_Artwork_Sizes_Export!$D:$D,MATCH($D95,DB_Artwork_Sizes_Export!$B:$B,0)),""))</f>
        <v/>
      </c>
      <c r="U95" s="2" t="str">
        <f>IF($D95="","",IFERROR(INDEX(DB_Artwork_Sizes_Export!$E:$E,MATCH($D95,DB_Artwork_Sizes_Export!$B:$B,0)),""))</f>
        <v/>
      </c>
      <c r="V95" s="2" t="str">
        <f>IF($D95="","",IFERROR(INDEX(DB_Artwork_Sizes_Export!$F:$F,MATCH($D95,DB_Artwork_Sizes_Export!$B:$B,0)),""))</f>
        <v/>
      </c>
      <c r="W95" s="2" t="str">
        <f t="shared" si="12"/>
        <v/>
      </c>
      <c r="X95" s="2"/>
      <c r="Y95" s="2"/>
      <c r="Z95" s="2"/>
      <c r="AA95" s="2"/>
      <c r="AB95" s="2"/>
      <c r="AC95" s="2"/>
      <c r="AD95" s="2"/>
      <c r="AE95" s="2"/>
      <c r="AF95" s="2" t="str">
        <f t="shared" si="13"/>
        <v/>
      </c>
      <c r="AG95" s="2" t="str">
        <f t="shared" si="14"/>
        <v/>
      </c>
      <c r="AH95" s="2" t="str">
        <f>IF($AG95="","",IFERROR(VLOOKUP($AG95,DB_Categories_Export!$A:$B,2,FALSE()),"INVALID CATEGORY"))</f>
        <v/>
      </c>
      <c r="AI95" s="2" t="str">
        <f t="shared" si="15"/>
        <v/>
      </c>
      <c r="AJ95" s="2" t="str">
        <f t="shared" si="16"/>
        <v/>
      </c>
      <c r="AK95" s="2" t="str">
        <f t="shared" si="17"/>
        <v/>
      </c>
      <c r="AL95" s="2" t="str">
        <f t="shared" si="18"/>
        <v/>
      </c>
      <c r="AM95" s="2" t="str">
        <f t="shared" si="19"/>
        <v/>
      </c>
      <c r="AN95" s="2"/>
      <c r="AO95" s="2"/>
    </row>
    <row r="96" spans="1:41" ht="12" customHeight="1" x14ac:dyDescent="0.3">
      <c r="A96" s="2"/>
      <c r="B96" s="2" t="str">
        <f t="shared" si="10"/>
        <v/>
      </c>
      <c r="C96" s="2" t="str">
        <f t="shared" si="11"/>
        <v/>
      </c>
      <c r="D96" s="2" t="str">
        <f>IF(DB_Artworks_Export!A96="","",DB_Artworks_Export!A96)</f>
        <v/>
      </c>
      <c r="E96" s="2" t="str">
        <f>IF(DB_Artworks_Export!B96="","",DB_Artworks_Export!B96)</f>
        <v/>
      </c>
      <c r="F96" s="2" t="str">
        <f>IF(DB_Artworks_Export!C96="","",DB_Artworks_Export!C96)</f>
        <v/>
      </c>
      <c r="G96" s="2" t="str">
        <f>IF(DB_Artworks_Export!D96="","",DB_Artworks_Export!D96)</f>
        <v/>
      </c>
      <c r="H96" s="2" t="str">
        <f>IF(DB_Artworks_Export!E96="","",DB_Artworks_Export!E96)</f>
        <v/>
      </c>
      <c r="I96" s="2" t="str">
        <f>IF(DB_Artworks_Export!F96="","",DB_Artworks_Export!F96)</f>
        <v/>
      </c>
      <c r="J96" s="2" t="str">
        <f>IF(DB_Artworks_Export!G96="","",DB_Artworks_Export!G96)</f>
        <v/>
      </c>
      <c r="K96" s="2" t="str">
        <f>IF(DB_Artworks_Export!H96="","",DB_Artworks_Export!H96)</f>
        <v/>
      </c>
      <c r="L96" s="2" t="str">
        <f>IF(DB_Artworks_Export!I96="","",DB_Artworks_Export!I96)</f>
        <v/>
      </c>
      <c r="M96" s="2" t="str">
        <f>IF(DB_Artworks_Export!J96="","",DB_Artworks_Export!J96)</f>
        <v/>
      </c>
      <c r="N96" s="2" t="str">
        <f>IF(DB_Artworks_Export!K96="","",DB_Artworks_Export!K96)</f>
        <v/>
      </c>
      <c r="O96" s="2" t="str">
        <f>IF(DB_Artworks_Export!L96="","",DB_Artworks_Export!L96)</f>
        <v/>
      </c>
      <c r="P96" s="2" t="str">
        <f>IF(DB_Artworks_Export!M96="","",DB_Artworks_Export!M96)</f>
        <v/>
      </c>
      <c r="Q96" s="2" t="str">
        <f>IF(DB_Artworks_Export!N96="","",DB_Artworks_Export!N96)</f>
        <v/>
      </c>
      <c r="R96" s="2" t="str">
        <f>IF($D96="","",IF(COUNTIF(DB_Categories_Export!$A:$A,$F96)&gt;0,"OK","INVALID CATEGORY"))</f>
        <v/>
      </c>
      <c r="S96" s="2" t="str">
        <f>IF($D96="","",COUNTIF(DB_Artwork_Sizes_Export!$B:$B,$D96))</f>
        <v/>
      </c>
      <c r="T96" s="2" t="str">
        <f>IF($D96="","",IFERROR(INDEX(DB_Artwork_Sizes_Export!$D:$D,MATCH($D96,DB_Artwork_Sizes_Export!$B:$B,0)),""))</f>
        <v/>
      </c>
      <c r="U96" s="2" t="str">
        <f>IF($D96="","",IFERROR(INDEX(DB_Artwork_Sizes_Export!$E:$E,MATCH($D96,DB_Artwork_Sizes_Export!$B:$B,0)),""))</f>
        <v/>
      </c>
      <c r="V96" s="2" t="str">
        <f>IF($D96="","",IFERROR(INDEX(DB_Artwork_Sizes_Export!$F:$F,MATCH($D96,DB_Artwork_Sizes_Export!$B:$B,0)),""))</f>
        <v/>
      </c>
      <c r="W96" s="2" t="str">
        <f t="shared" si="12"/>
        <v/>
      </c>
      <c r="X96" s="2"/>
      <c r="Y96" s="2"/>
      <c r="Z96" s="2"/>
      <c r="AA96" s="2"/>
      <c r="AB96" s="2"/>
      <c r="AC96" s="2"/>
      <c r="AD96" s="2"/>
      <c r="AE96" s="2"/>
      <c r="AF96" s="2" t="str">
        <f t="shared" si="13"/>
        <v/>
      </c>
      <c r="AG96" s="2" t="str">
        <f t="shared" si="14"/>
        <v/>
      </c>
      <c r="AH96" s="2" t="str">
        <f>IF($AG96="","",IFERROR(VLOOKUP($AG96,DB_Categories_Export!$A:$B,2,FALSE()),"INVALID CATEGORY"))</f>
        <v/>
      </c>
      <c r="AI96" s="2" t="str">
        <f t="shared" si="15"/>
        <v/>
      </c>
      <c r="AJ96" s="2" t="str">
        <f t="shared" si="16"/>
        <v/>
      </c>
      <c r="AK96" s="2" t="str">
        <f t="shared" si="17"/>
        <v/>
      </c>
      <c r="AL96" s="2" t="str">
        <f t="shared" si="18"/>
        <v/>
      </c>
      <c r="AM96" s="2" t="str">
        <f t="shared" si="19"/>
        <v/>
      </c>
      <c r="AN96" s="2"/>
      <c r="AO96" s="2"/>
    </row>
    <row r="97" spans="1:41" ht="12" customHeight="1" x14ac:dyDescent="0.3">
      <c r="A97" s="2"/>
      <c r="B97" s="2" t="str">
        <f t="shared" si="10"/>
        <v/>
      </c>
      <c r="C97" s="2" t="str">
        <f t="shared" si="11"/>
        <v/>
      </c>
      <c r="D97" s="2" t="str">
        <f>IF(DB_Artworks_Export!A97="","",DB_Artworks_Export!A97)</f>
        <v/>
      </c>
      <c r="E97" s="2" t="str">
        <f>IF(DB_Artworks_Export!B97="","",DB_Artworks_Export!B97)</f>
        <v/>
      </c>
      <c r="F97" s="2" t="str">
        <f>IF(DB_Artworks_Export!C97="","",DB_Artworks_Export!C97)</f>
        <v/>
      </c>
      <c r="G97" s="2" t="str">
        <f>IF(DB_Artworks_Export!D97="","",DB_Artworks_Export!D97)</f>
        <v/>
      </c>
      <c r="H97" s="2" t="str">
        <f>IF(DB_Artworks_Export!E97="","",DB_Artworks_Export!E97)</f>
        <v/>
      </c>
      <c r="I97" s="2" t="str">
        <f>IF(DB_Artworks_Export!F97="","",DB_Artworks_Export!F97)</f>
        <v/>
      </c>
      <c r="J97" s="2" t="str">
        <f>IF(DB_Artworks_Export!G97="","",DB_Artworks_Export!G97)</f>
        <v/>
      </c>
      <c r="K97" s="2" t="str">
        <f>IF(DB_Artworks_Export!H97="","",DB_Artworks_Export!H97)</f>
        <v/>
      </c>
      <c r="L97" s="2" t="str">
        <f>IF(DB_Artworks_Export!I97="","",DB_Artworks_Export!I97)</f>
        <v/>
      </c>
      <c r="M97" s="2" t="str">
        <f>IF(DB_Artworks_Export!J97="","",DB_Artworks_Export!J97)</f>
        <v/>
      </c>
      <c r="N97" s="2" t="str">
        <f>IF(DB_Artworks_Export!K97="","",DB_Artworks_Export!K97)</f>
        <v/>
      </c>
      <c r="O97" s="2" t="str">
        <f>IF(DB_Artworks_Export!L97="","",DB_Artworks_Export!L97)</f>
        <v/>
      </c>
      <c r="P97" s="2" t="str">
        <f>IF(DB_Artworks_Export!M97="","",DB_Artworks_Export!M97)</f>
        <v/>
      </c>
      <c r="Q97" s="2" t="str">
        <f>IF(DB_Artworks_Export!N97="","",DB_Artworks_Export!N97)</f>
        <v/>
      </c>
      <c r="R97" s="2" t="str">
        <f>IF($D97="","",IF(COUNTIF(DB_Categories_Export!$A:$A,$F97)&gt;0,"OK","INVALID CATEGORY"))</f>
        <v/>
      </c>
      <c r="S97" s="2" t="str">
        <f>IF($D97="","",COUNTIF(DB_Artwork_Sizes_Export!$B:$B,$D97))</f>
        <v/>
      </c>
      <c r="T97" s="2" t="str">
        <f>IF($D97="","",IFERROR(INDEX(DB_Artwork_Sizes_Export!$D:$D,MATCH($D97,DB_Artwork_Sizes_Export!$B:$B,0)),""))</f>
        <v/>
      </c>
      <c r="U97" s="2" t="str">
        <f>IF($D97="","",IFERROR(INDEX(DB_Artwork_Sizes_Export!$E:$E,MATCH($D97,DB_Artwork_Sizes_Export!$B:$B,0)),""))</f>
        <v/>
      </c>
      <c r="V97" s="2" t="str">
        <f>IF($D97="","",IFERROR(INDEX(DB_Artwork_Sizes_Export!$F:$F,MATCH($D97,DB_Artwork_Sizes_Export!$B:$B,0)),""))</f>
        <v/>
      </c>
      <c r="W97" s="2" t="str">
        <f t="shared" si="12"/>
        <v/>
      </c>
      <c r="X97" s="2"/>
      <c r="Y97" s="2"/>
      <c r="Z97" s="2"/>
      <c r="AA97" s="2"/>
      <c r="AB97" s="2"/>
      <c r="AC97" s="2"/>
      <c r="AD97" s="2"/>
      <c r="AE97" s="2"/>
      <c r="AF97" s="2" t="str">
        <f t="shared" si="13"/>
        <v/>
      </c>
      <c r="AG97" s="2" t="str">
        <f t="shared" si="14"/>
        <v/>
      </c>
      <c r="AH97" s="2" t="str">
        <f>IF($AG97="","",IFERROR(VLOOKUP($AG97,DB_Categories_Export!$A:$B,2,FALSE()),"INVALID CATEGORY"))</f>
        <v/>
      </c>
      <c r="AI97" s="2" t="str">
        <f t="shared" si="15"/>
        <v/>
      </c>
      <c r="AJ97" s="2" t="str">
        <f t="shared" si="16"/>
        <v/>
      </c>
      <c r="AK97" s="2" t="str">
        <f t="shared" si="17"/>
        <v/>
      </c>
      <c r="AL97" s="2" t="str">
        <f t="shared" si="18"/>
        <v/>
      </c>
      <c r="AM97" s="2" t="str">
        <f t="shared" si="19"/>
        <v/>
      </c>
      <c r="AN97" s="2"/>
      <c r="AO97" s="2"/>
    </row>
    <row r="98" spans="1:41" ht="12" customHeight="1" x14ac:dyDescent="0.3">
      <c r="A98" s="2"/>
      <c r="B98" s="2" t="str">
        <f t="shared" si="10"/>
        <v/>
      </c>
      <c r="C98" s="2" t="str">
        <f t="shared" si="11"/>
        <v/>
      </c>
      <c r="D98" s="2" t="str">
        <f>IF(DB_Artworks_Export!A98="","",DB_Artworks_Export!A98)</f>
        <v/>
      </c>
      <c r="E98" s="2" t="str">
        <f>IF(DB_Artworks_Export!B98="","",DB_Artworks_Export!B98)</f>
        <v/>
      </c>
      <c r="F98" s="2" t="str">
        <f>IF(DB_Artworks_Export!C98="","",DB_Artworks_Export!C98)</f>
        <v/>
      </c>
      <c r="G98" s="2" t="str">
        <f>IF(DB_Artworks_Export!D98="","",DB_Artworks_Export!D98)</f>
        <v/>
      </c>
      <c r="H98" s="2" t="str">
        <f>IF(DB_Artworks_Export!E98="","",DB_Artworks_Export!E98)</f>
        <v/>
      </c>
      <c r="I98" s="2" t="str">
        <f>IF(DB_Artworks_Export!F98="","",DB_Artworks_Export!F98)</f>
        <v/>
      </c>
      <c r="J98" s="2" t="str">
        <f>IF(DB_Artworks_Export!G98="","",DB_Artworks_Export!G98)</f>
        <v/>
      </c>
      <c r="K98" s="2" t="str">
        <f>IF(DB_Artworks_Export!H98="","",DB_Artworks_Export!H98)</f>
        <v/>
      </c>
      <c r="L98" s="2" t="str">
        <f>IF(DB_Artworks_Export!I98="","",DB_Artworks_Export!I98)</f>
        <v/>
      </c>
      <c r="M98" s="2" t="str">
        <f>IF(DB_Artworks_Export!J98="","",DB_Artworks_Export!J98)</f>
        <v/>
      </c>
      <c r="N98" s="2" t="str">
        <f>IF(DB_Artworks_Export!K98="","",DB_Artworks_Export!K98)</f>
        <v/>
      </c>
      <c r="O98" s="2" t="str">
        <f>IF(DB_Artworks_Export!L98="","",DB_Artworks_Export!L98)</f>
        <v/>
      </c>
      <c r="P98" s="2" t="str">
        <f>IF(DB_Artworks_Export!M98="","",DB_Artworks_Export!M98)</f>
        <v/>
      </c>
      <c r="Q98" s="2" t="str">
        <f>IF(DB_Artworks_Export!N98="","",DB_Artworks_Export!N98)</f>
        <v/>
      </c>
      <c r="R98" s="2" t="str">
        <f>IF($D98="","",IF(COUNTIF(DB_Categories_Export!$A:$A,$F98)&gt;0,"OK","INVALID CATEGORY"))</f>
        <v/>
      </c>
      <c r="S98" s="2" t="str">
        <f>IF($D98="","",COUNTIF(DB_Artwork_Sizes_Export!$B:$B,$D98))</f>
        <v/>
      </c>
      <c r="T98" s="2" t="str">
        <f>IF($D98="","",IFERROR(INDEX(DB_Artwork_Sizes_Export!$D:$D,MATCH($D98,DB_Artwork_Sizes_Export!$B:$B,0)),""))</f>
        <v/>
      </c>
      <c r="U98" s="2" t="str">
        <f>IF($D98="","",IFERROR(INDEX(DB_Artwork_Sizes_Export!$E:$E,MATCH($D98,DB_Artwork_Sizes_Export!$B:$B,0)),""))</f>
        <v/>
      </c>
      <c r="V98" s="2" t="str">
        <f>IF($D98="","",IFERROR(INDEX(DB_Artwork_Sizes_Export!$F:$F,MATCH($D98,DB_Artwork_Sizes_Export!$B:$B,0)),""))</f>
        <v/>
      </c>
      <c r="W98" s="2" t="str">
        <f t="shared" si="12"/>
        <v/>
      </c>
      <c r="X98" s="2"/>
      <c r="Y98" s="2"/>
      <c r="Z98" s="2"/>
      <c r="AA98" s="2"/>
      <c r="AB98" s="2"/>
      <c r="AC98" s="2"/>
      <c r="AD98" s="2"/>
      <c r="AE98" s="2"/>
      <c r="AF98" s="2" t="str">
        <f t="shared" si="13"/>
        <v/>
      </c>
      <c r="AG98" s="2" t="str">
        <f t="shared" si="14"/>
        <v/>
      </c>
      <c r="AH98" s="2" t="str">
        <f>IF($AG98="","",IFERROR(VLOOKUP($AG98,DB_Categories_Export!$A:$B,2,FALSE()),"INVALID CATEGORY"))</f>
        <v/>
      </c>
      <c r="AI98" s="2" t="str">
        <f t="shared" si="15"/>
        <v/>
      </c>
      <c r="AJ98" s="2" t="str">
        <f t="shared" si="16"/>
        <v/>
      </c>
      <c r="AK98" s="2" t="str">
        <f t="shared" si="17"/>
        <v/>
      </c>
      <c r="AL98" s="2" t="str">
        <f t="shared" si="18"/>
        <v/>
      </c>
      <c r="AM98" s="2" t="str">
        <f t="shared" si="19"/>
        <v/>
      </c>
      <c r="AN98" s="2"/>
      <c r="AO98" s="2"/>
    </row>
    <row r="99" spans="1:41" ht="12" customHeight="1" x14ac:dyDescent="0.3">
      <c r="A99" s="2"/>
      <c r="B99" s="2" t="str">
        <f t="shared" si="10"/>
        <v/>
      </c>
      <c r="C99" s="2" t="str">
        <f t="shared" si="11"/>
        <v/>
      </c>
      <c r="D99" s="2" t="str">
        <f>IF(DB_Artworks_Export!A99="","",DB_Artworks_Export!A99)</f>
        <v/>
      </c>
      <c r="E99" s="2" t="str">
        <f>IF(DB_Artworks_Export!B99="","",DB_Artworks_Export!B99)</f>
        <v/>
      </c>
      <c r="F99" s="2" t="str">
        <f>IF(DB_Artworks_Export!C99="","",DB_Artworks_Export!C99)</f>
        <v/>
      </c>
      <c r="G99" s="2" t="str">
        <f>IF(DB_Artworks_Export!D99="","",DB_Artworks_Export!D99)</f>
        <v/>
      </c>
      <c r="H99" s="2" t="str">
        <f>IF(DB_Artworks_Export!E99="","",DB_Artworks_Export!E99)</f>
        <v/>
      </c>
      <c r="I99" s="2" t="str">
        <f>IF(DB_Artworks_Export!F99="","",DB_Artworks_Export!F99)</f>
        <v/>
      </c>
      <c r="J99" s="2" t="str">
        <f>IF(DB_Artworks_Export!G99="","",DB_Artworks_Export!G99)</f>
        <v/>
      </c>
      <c r="K99" s="2" t="str">
        <f>IF(DB_Artworks_Export!H99="","",DB_Artworks_Export!H99)</f>
        <v/>
      </c>
      <c r="L99" s="2" t="str">
        <f>IF(DB_Artworks_Export!I99="","",DB_Artworks_Export!I99)</f>
        <v/>
      </c>
      <c r="M99" s="2" t="str">
        <f>IF(DB_Artworks_Export!J99="","",DB_Artworks_Export!J99)</f>
        <v/>
      </c>
      <c r="N99" s="2" t="str">
        <f>IF(DB_Artworks_Export!K99="","",DB_Artworks_Export!K99)</f>
        <v/>
      </c>
      <c r="O99" s="2" t="str">
        <f>IF(DB_Artworks_Export!L99="","",DB_Artworks_Export!L99)</f>
        <v/>
      </c>
      <c r="P99" s="2" t="str">
        <f>IF(DB_Artworks_Export!M99="","",DB_Artworks_Export!M99)</f>
        <v/>
      </c>
      <c r="Q99" s="2" t="str">
        <f>IF(DB_Artworks_Export!N99="","",DB_Artworks_Export!N99)</f>
        <v/>
      </c>
      <c r="R99" s="2" t="str">
        <f>IF($D99="","",IF(COUNTIF(DB_Categories_Export!$A:$A,$F99)&gt;0,"OK","INVALID CATEGORY"))</f>
        <v/>
      </c>
      <c r="S99" s="2" t="str">
        <f>IF($D99="","",COUNTIF(DB_Artwork_Sizes_Export!$B:$B,$D99))</f>
        <v/>
      </c>
      <c r="T99" s="2" t="str">
        <f>IF($D99="","",IFERROR(INDEX(DB_Artwork_Sizes_Export!$D:$D,MATCH($D99,DB_Artwork_Sizes_Export!$B:$B,0)),""))</f>
        <v/>
      </c>
      <c r="U99" s="2" t="str">
        <f>IF($D99="","",IFERROR(INDEX(DB_Artwork_Sizes_Export!$E:$E,MATCH($D99,DB_Artwork_Sizes_Export!$B:$B,0)),""))</f>
        <v/>
      </c>
      <c r="V99" s="2" t="str">
        <f>IF($D99="","",IFERROR(INDEX(DB_Artwork_Sizes_Export!$F:$F,MATCH($D99,DB_Artwork_Sizes_Export!$B:$B,0)),""))</f>
        <v/>
      </c>
      <c r="W99" s="2" t="str">
        <f t="shared" si="12"/>
        <v/>
      </c>
      <c r="X99" s="2"/>
      <c r="Y99" s="2"/>
      <c r="Z99" s="2"/>
      <c r="AA99" s="2"/>
      <c r="AB99" s="2"/>
      <c r="AC99" s="2"/>
      <c r="AD99" s="2"/>
      <c r="AE99" s="2"/>
      <c r="AF99" s="2" t="str">
        <f t="shared" si="13"/>
        <v/>
      </c>
      <c r="AG99" s="2" t="str">
        <f t="shared" si="14"/>
        <v/>
      </c>
      <c r="AH99" s="2" t="str">
        <f>IF($AG99="","",IFERROR(VLOOKUP($AG99,DB_Categories_Export!$A:$B,2,FALSE()),"INVALID CATEGORY"))</f>
        <v/>
      </c>
      <c r="AI99" s="2" t="str">
        <f t="shared" si="15"/>
        <v/>
      </c>
      <c r="AJ99" s="2" t="str">
        <f t="shared" si="16"/>
        <v/>
      </c>
      <c r="AK99" s="2" t="str">
        <f t="shared" si="17"/>
        <v/>
      </c>
      <c r="AL99" s="2" t="str">
        <f t="shared" si="18"/>
        <v/>
      </c>
      <c r="AM99" s="2" t="str">
        <f t="shared" si="19"/>
        <v/>
      </c>
      <c r="AN99" s="2"/>
      <c r="AO99" s="2"/>
    </row>
    <row r="100" spans="1:41" ht="12" customHeight="1" x14ac:dyDescent="0.3">
      <c r="A100" s="2"/>
      <c r="B100" s="2" t="str">
        <f t="shared" si="10"/>
        <v/>
      </c>
      <c r="C100" s="2" t="str">
        <f t="shared" si="11"/>
        <v/>
      </c>
      <c r="D100" s="2" t="str">
        <f>IF(DB_Artworks_Export!A100="","",DB_Artworks_Export!A100)</f>
        <v/>
      </c>
      <c r="E100" s="2" t="str">
        <f>IF(DB_Artworks_Export!B100="","",DB_Artworks_Export!B100)</f>
        <v/>
      </c>
      <c r="F100" s="2" t="str">
        <f>IF(DB_Artworks_Export!C100="","",DB_Artworks_Export!C100)</f>
        <v/>
      </c>
      <c r="G100" s="2" t="str">
        <f>IF(DB_Artworks_Export!D100="","",DB_Artworks_Export!D100)</f>
        <v/>
      </c>
      <c r="H100" s="2" t="str">
        <f>IF(DB_Artworks_Export!E100="","",DB_Artworks_Export!E100)</f>
        <v/>
      </c>
      <c r="I100" s="2" t="str">
        <f>IF(DB_Artworks_Export!F100="","",DB_Artworks_Export!F100)</f>
        <v/>
      </c>
      <c r="J100" s="2" t="str">
        <f>IF(DB_Artworks_Export!G100="","",DB_Artworks_Export!G100)</f>
        <v/>
      </c>
      <c r="K100" s="2" t="str">
        <f>IF(DB_Artworks_Export!H100="","",DB_Artworks_Export!H100)</f>
        <v/>
      </c>
      <c r="L100" s="2" t="str">
        <f>IF(DB_Artworks_Export!I100="","",DB_Artworks_Export!I100)</f>
        <v/>
      </c>
      <c r="M100" s="2" t="str">
        <f>IF(DB_Artworks_Export!J100="","",DB_Artworks_Export!J100)</f>
        <v/>
      </c>
      <c r="N100" s="2" t="str">
        <f>IF(DB_Artworks_Export!K100="","",DB_Artworks_Export!K100)</f>
        <v/>
      </c>
      <c r="O100" s="2" t="str">
        <f>IF(DB_Artworks_Export!L100="","",DB_Artworks_Export!L100)</f>
        <v/>
      </c>
      <c r="P100" s="2" t="str">
        <f>IF(DB_Artworks_Export!M100="","",DB_Artworks_Export!M100)</f>
        <v/>
      </c>
      <c r="Q100" s="2" t="str">
        <f>IF(DB_Artworks_Export!N100="","",DB_Artworks_Export!N100)</f>
        <v/>
      </c>
      <c r="R100" s="2" t="str">
        <f>IF($D100="","",IF(COUNTIF(DB_Categories_Export!$A:$A,$F100)&gt;0,"OK","INVALID CATEGORY"))</f>
        <v/>
      </c>
      <c r="S100" s="2" t="str">
        <f>IF($D100="","",COUNTIF(DB_Artwork_Sizes_Export!$B:$B,$D100))</f>
        <v/>
      </c>
      <c r="T100" s="2" t="str">
        <f>IF($D100="","",IFERROR(INDEX(DB_Artwork_Sizes_Export!$D:$D,MATCH($D100,DB_Artwork_Sizes_Export!$B:$B,0)),""))</f>
        <v/>
      </c>
      <c r="U100" s="2" t="str">
        <f>IF($D100="","",IFERROR(INDEX(DB_Artwork_Sizes_Export!$E:$E,MATCH($D100,DB_Artwork_Sizes_Export!$B:$B,0)),""))</f>
        <v/>
      </c>
      <c r="V100" s="2" t="str">
        <f>IF($D100="","",IFERROR(INDEX(DB_Artwork_Sizes_Export!$F:$F,MATCH($D100,DB_Artwork_Sizes_Export!$B:$B,0)),""))</f>
        <v/>
      </c>
      <c r="W100" s="2" t="str">
        <f t="shared" si="12"/>
        <v/>
      </c>
      <c r="X100" s="2"/>
      <c r="Y100" s="2"/>
      <c r="Z100" s="2"/>
      <c r="AA100" s="2"/>
      <c r="AB100" s="2"/>
      <c r="AC100" s="2"/>
      <c r="AD100" s="2"/>
      <c r="AE100" s="2"/>
      <c r="AF100" s="2" t="str">
        <f t="shared" si="13"/>
        <v/>
      </c>
      <c r="AG100" s="2" t="str">
        <f t="shared" si="14"/>
        <v/>
      </c>
      <c r="AH100" s="2" t="str">
        <f>IF($AG100="","",IFERROR(VLOOKUP($AG100,DB_Categories_Export!$A:$B,2,FALSE()),"INVALID CATEGORY"))</f>
        <v/>
      </c>
      <c r="AI100" s="2" t="str">
        <f t="shared" si="15"/>
        <v/>
      </c>
      <c r="AJ100" s="2" t="str">
        <f t="shared" si="16"/>
        <v/>
      </c>
      <c r="AK100" s="2" t="str">
        <f t="shared" si="17"/>
        <v/>
      </c>
      <c r="AL100" s="2" t="str">
        <f t="shared" si="18"/>
        <v/>
      </c>
      <c r="AM100" s="2" t="str">
        <f t="shared" si="19"/>
        <v/>
      </c>
      <c r="AN100" s="2"/>
      <c r="AO100" s="2"/>
    </row>
    <row r="101" spans="1:41" ht="12" customHeight="1" x14ac:dyDescent="0.3">
      <c r="A101" s="2"/>
      <c r="B101" s="2" t="str">
        <f t="shared" si="10"/>
        <v/>
      </c>
      <c r="C101" s="2" t="str">
        <f t="shared" si="11"/>
        <v/>
      </c>
      <c r="D101" s="2" t="str">
        <f>IF(DB_Artworks_Export!A101="","",DB_Artworks_Export!A101)</f>
        <v/>
      </c>
      <c r="E101" s="2" t="str">
        <f>IF(DB_Artworks_Export!B101="","",DB_Artworks_Export!B101)</f>
        <v/>
      </c>
      <c r="F101" s="2" t="str">
        <f>IF(DB_Artworks_Export!C101="","",DB_Artworks_Export!C101)</f>
        <v/>
      </c>
      <c r="G101" s="2" t="str">
        <f>IF(DB_Artworks_Export!D101="","",DB_Artworks_Export!D101)</f>
        <v/>
      </c>
      <c r="H101" s="2" t="str">
        <f>IF(DB_Artworks_Export!E101="","",DB_Artworks_Export!E101)</f>
        <v/>
      </c>
      <c r="I101" s="2" t="str">
        <f>IF(DB_Artworks_Export!F101="","",DB_Artworks_Export!F101)</f>
        <v/>
      </c>
      <c r="J101" s="2" t="str">
        <f>IF(DB_Artworks_Export!G101="","",DB_Artworks_Export!G101)</f>
        <v/>
      </c>
      <c r="K101" s="2" t="str">
        <f>IF(DB_Artworks_Export!H101="","",DB_Artworks_Export!H101)</f>
        <v/>
      </c>
      <c r="L101" s="2" t="str">
        <f>IF(DB_Artworks_Export!I101="","",DB_Artworks_Export!I101)</f>
        <v/>
      </c>
      <c r="M101" s="2" t="str">
        <f>IF(DB_Artworks_Export!J101="","",DB_Artworks_Export!J101)</f>
        <v/>
      </c>
      <c r="N101" s="2" t="str">
        <f>IF(DB_Artworks_Export!K101="","",DB_Artworks_Export!K101)</f>
        <v/>
      </c>
      <c r="O101" s="2" t="str">
        <f>IF(DB_Artworks_Export!L101="","",DB_Artworks_Export!L101)</f>
        <v/>
      </c>
      <c r="P101" s="2" t="str">
        <f>IF(DB_Artworks_Export!M101="","",DB_Artworks_Export!M101)</f>
        <v/>
      </c>
      <c r="Q101" s="2" t="str">
        <f>IF(DB_Artworks_Export!N101="","",DB_Artworks_Export!N101)</f>
        <v/>
      </c>
      <c r="R101" s="2" t="str">
        <f>IF($D101="","",IF(COUNTIF(DB_Categories_Export!$A:$A,$F101)&gt;0,"OK","INVALID CATEGORY"))</f>
        <v/>
      </c>
      <c r="S101" s="2" t="str">
        <f>IF($D101="","",COUNTIF(DB_Artwork_Sizes_Export!$B:$B,$D101))</f>
        <v/>
      </c>
      <c r="T101" s="2" t="str">
        <f>IF($D101="","",IFERROR(INDEX(DB_Artwork_Sizes_Export!$D:$D,MATCH($D101,DB_Artwork_Sizes_Export!$B:$B,0)),""))</f>
        <v/>
      </c>
      <c r="U101" s="2" t="str">
        <f>IF($D101="","",IFERROR(INDEX(DB_Artwork_Sizes_Export!$E:$E,MATCH($D101,DB_Artwork_Sizes_Export!$B:$B,0)),""))</f>
        <v/>
      </c>
      <c r="V101" s="2" t="str">
        <f>IF($D101="","",IFERROR(INDEX(DB_Artwork_Sizes_Export!$F:$F,MATCH($D101,DB_Artwork_Sizes_Export!$B:$B,0)),""))</f>
        <v/>
      </c>
      <c r="W101" s="2" t="str">
        <f t="shared" si="12"/>
        <v/>
      </c>
      <c r="X101" s="2"/>
      <c r="Y101" s="2"/>
      <c r="Z101" s="2"/>
      <c r="AA101" s="2"/>
      <c r="AB101" s="2"/>
      <c r="AC101" s="2"/>
      <c r="AD101" s="2"/>
      <c r="AE101" s="2"/>
      <c r="AF101" s="2" t="str">
        <f t="shared" si="13"/>
        <v/>
      </c>
      <c r="AG101" s="2" t="str">
        <f t="shared" si="14"/>
        <v/>
      </c>
      <c r="AH101" s="2" t="str">
        <f>IF($AG101="","",IFERROR(VLOOKUP($AG101,DB_Categories_Export!$A:$B,2,FALSE()),"INVALID CATEGORY"))</f>
        <v/>
      </c>
      <c r="AI101" s="2" t="str">
        <f t="shared" si="15"/>
        <v/>
      </c>
      <c r="AJ101" s="2" t="str">
        <f t="shared" si="16"/>
        <v/>
      </c>
      <c r="AK101" s="2" t="str">
        <f t="shared" si="17"/>
        <v/>
      </c>
      <c r="AL101" s="2" t="str">
        <f t="shared" si="18"/>
        <v/>
      </c>
      <c r="AM101" s="2" t="str">
        <f t="shared" si="19"/>
        <v/>
      </c>
      <c r="AN101" s="2"/>
      <c r="AO101" s="2"/>
    </row>
    <row r="102" spans="1:41" ht="12" customHeight="1" x14ac:dyDescent="0.3">
      <c r="A102" s="2"/>
      <c r="B102" s="2" t="str">
        <f t="shared" si="10"/>
        <v/>
      </c>
      <c r="C102" s="2" t="str">
        <f t="shared" si="11"/>
        <v/>
      </c>
      <c r="D102" s="2" t="str">
        <f>IF(DB_Artworks_Export!A102="","",DB_Artworks_Export!A102)</f>
        <v/>
      </c>
      <c r="E102" s="2" t="str">
        <f>IF(DB_Artworks_Export!B102="","",DB_Artworks_Export!B102)</f>
        <v/>
      </c>
      <c r="F102" s="2" t="str">
        <f>IF(DB_Artworks_Export!C102="","",DB_Artworks_Export!C102)</f>
        <v/>
      </c>
      <c r="G102" s="2" t="str">
        <f>IF(DB_Artworks_Export!D102="","",DB_Artworks_Export!D102)</f>
        <v/>
      </c>
      <c r="H102" s="2" t="str">
        <f>IF(DB_Artworks_Export!E102="","",DB_Artworks_Export!E102)</f>
        <v/>
      </c>
      <c r="I102" s="2" t="str">
        <f>IF(DB_Artworks_Export!F102="","",DB_Artworks_Export!F102)</f>
        <v/>
      </c>
      <c r="J102" s="2" t="str">
        <f>IF(DB_Artworks_Export!G102="","",DB_Artworks_Export!G102)</f>
        <v/>
      </c>
      <c r="K102" s="2" t="str">
        <f>IF(DB_Artworks_Export!H102="","",DB_Artworks_Export!H102)</f>
        <v/>
      </c>
      <c r="L102" s="2" t="str">
        <f>IF(DB_Artworks_Export!I102="","",DB_Artworks_Export!I102)</f>
        <v/>
      </c>
      <c r="M102" s="2" t="str">
        <f>IF(DB_Artworks_Export!J102="","",DB_Artworks_Export!J102)</f>
        <v/>
      </c>
      <c r="N102" s="2" t="str">
        <f>IF(DB_Artworks_Export!K102="","",DB_Artworks_Export!K102)</f>
        <v/>
      </c>
      <c r="O102" s="2" t="str">
        <f>IF(DB_Artworks_Export!L102="","",DB_Artworks_Export!L102)</f>
        <v/>
      </c>
      <c r="P102" s="2" t="str">
        <f>IF(DB_Artworks_Export!M102="","",DB_Artworks_Export!M102)</f>
        <v/>
      </c>
      <c r="Q102" s="2" t="str">
        <f>IF(DB_Artworks_Export!N102="","",DB_Artworks_Export!N102)</f>
        <v/>
      </c>
      <c r="R102" s="2" t="str">
        <f>IF($D102="","",IF(COUNTIF(DB_Categories_Export!$A:$A,$F102)&gt;0,"OK","INVALID CATEGORY"))</f>
        <v/>
      </c>
      <c r="S102" s="2" t="str">
        <f>IF($D102="","",COUNTIF(DB_Artwork_Sizes_Export!$B:$B,$D102))</f>
        <v/>
      </c>
      <c r="T102" s="2" t="str">
        <f>IF($D102="","",IFERROR(INDEX(DB_Artwork_Sizes_Export!$D:$D,MATCH($D102,DB_Artwork_Sizes_Export!$B:$B,0)),""))</f>
        <v/>
      </c>
      <c r="U102" s="2" t="str">
        <f>IF($D102="","",IFERROR(INDEX(DB_Artwork_Sizes_Export!$E:$E,MATCH($D102,DB_Artwork_Sizes_Export!$B:$B,0)),""))</f>
        <v/>
      </c>
      <c r="V102" s="2" t="str">
        <f>IF($D102="","",IFERROR(INDEX(DB_Artwork_Sizes_Export!$F:$F,MATCH($D102,DB_Artwork_Sizes_Export!$B:$B,0)),""))</f>
        <v/>
      </c>
      <c r="W102" s="2" t="str">
        <f t="shared" si="12"/>
        <v/>
      </c>
      <c r="X102" s="2"/>
      <c r="Y102" s="2"/>
      <c r="Z102" s="2"/>
      <c r="AA102" s="2"/>
      <c r="AB102" s="2"/>
      <c r="AC102" s="2"/>
      <c r="AD102" s="2"/>
      <c r="AE102" s="2"/>
      <c r="AF102" s="2" t="str">
        <f t="shared" si="13"/>
        <v/>
      </c>
      <c r="AG102" s="2" t="str">
        <f t="shared" si="14"/>
        <v/>
      </c>
      <c r="AH102" s="2" t="str">
        <f>IF($AG102="","",IFERROR(VLOOKUP($AG102,DB_Categories_Export!$A:$B,2,FALSE()),"INVALID CATEGORY"))</f>
        <v/>
      </c>
      <c r="AI102" s="2" t="str">
        <f t="shared" si="15"/>
        <v/>
      </c>
      <c r="AJ102" s="2" t="str">
        <f t="shared" si="16"/>
        <v/>
      </c>
      <c r="AK102" s="2" t="str">
        <f t="shared" si="17"/>
        <v/>
      </c>
      <c r="AL102" s="2" t="str">
        <f t="shared" si="18"/>
        <v/>
      </c>
      <c r="AM102" s="2" t="str">
        <f t="shared" si="19"/>
        <v/>
      </c>
      <c r="AN102" s="2"/>
      <c r="AO102" s="2"/>
    </row>
    <row r="103" spans="1:41" ht="12" customHeight="1" x14ac:dyDescent="0.3">
      <c r="A103" s="2"/>
      <c r="B103" s="2" t="str">
        <f t="shared" si="10"/>
        <v/>
      </c>
      <c r="C103" s="2" t="str">
        <f t="shared" si="11"/>
        <v/>
      </c>
      <c r="D103" s="2" t="str">
        <f>IF(DB_Artworks_Export!A103="","",DB_Artworks_Export!A103)</f>
        <v/>
      </c>
      <c r="E103" s="2" t="str">
        <f>IF(DB_Artworks_Export!B103="","",DB_Artworks_Export!B103)</f>
        <v/>
      </c>
      <c r="F103" s="2" t="str">
        <f>IF(DB_Artworks_Export!C103="","",DB_Artworks_Export!C103)</f>
        <v/>
      </c>
      <c r="G103" s="2" t="str">
        <f>IF(DB_Artworks_Export!D103="","",DB_Artworks_Export!D103)</f>
        <v/>
      </c>
      <c r="H103" s="2" t="str">
        <f>IF(DB_Artworks_Export!E103="","",DB_Artworks_Export!E103)</f>
        <v/>
      </c>
      <c r="I103" s="2" t="str">
        <f>IF(DB_Artworks_Export!F103="","",DB_Artworks_Export!F103)</f>
        <v/>
      </c>
      <c r="J103" s="2" t="str">
        <f>IF(DB_Artworks_Export!G103="","",DB_Artworks_Export!G103)</f>
        <v/>
      </c>
      <c r="K103" s="2" t="str">
        <f>IF(DB_Artworks_Export!H103="","",DB_Artworks_Export!H103)</f>
        <v/>
      </c>
      <c r="L103" s="2" t="str">
        <f>IF(DB_Artworks_Export!I103="","",DB_Artworks_Export!I103)</f>
        <v/>
      </c>
      <c r="M103" s="2" t="str">
        <f>IF(DB_Artworks_Export!J103="","",DB_Artworks_Export!J103)</f>
        <v/>
      </c>
      <c r="N103" s="2" t="str">
        <f>IF(DB_Artworks_Export!K103="","",DB_Artworks_Export!K103)</f>
        <v/>
      </c>
      <c r="O103" s="2" t="str">
        <f>IF(DB_Artworks_Export!L103="","",DB_Artworks_Export!L103)</f>
        <v/>
      </c>
      <c r="P103" s="2" t="str">
        <f>IF(DB_Artworks_Export!M103="","",DB_Artworks_Export!M103)</f>
        <v/>
      </c>
      <c r="Q103" s="2" t="str">
        <f>IF(DB_Artworks_Export!N103="","",DB_Artworks_Export!N103)</f>
        <v/>
      </c>
      <c r="R103" s="2" t="str">
        <f>IF($D103="","",IF(COUNTIF(DB_Categories_Export!$A:$A,$F103)&gt;0,"OK","INVALID CATEGORY"))</f>
        <v/>
      </c>
      <c r="S103" s="2" t="str">
        <f>IF($D103="","",COUNTIF(DB_Artwork_Sizes_Export!$B:$B,$D103))</f>
        <v/>
      </c>
      <c r="T103" s="2" t="str">
        <f>IF($D103="","",IFERROR(INDEX(DB_Artwork_Sizes_Export!$D:$D,MATCH($D103,DB_Artwork_Sizes_Export!$B:$B,0)),""))</f>
        <v/>
      </c>
      <c r="U103" s="2" t="str">
        <f>IF($D103="","",IFERROR(INDEX(DB_Artwork_Sizes_Export!$E:$E,MATCH($D103,DB_Artwork_Sizes_Export!$B:$B,0)),""))</f>
        <v/>
      </c>
      <c r="V103" s="2" t="str">
        <f>IF($D103="","",IFERROR(INDEX(DB_Artwork_Sizes_Export!$F:$F,MATCH($D103,DB_Artwork_Sizes_Export!$B:$B,0)),""))</f>
        <v/>
      </c>
      <c r="W103" s="2" t="str">
        <f t="shared" si="12"/>
        <v/>
      </c>
      <c r="X103" s="2"/>
      <c r="Y103" s="2"/>
      <c r="Z103" s="2"/>
      <c r="AA103" s="2"/>
      <c r="AB103" s="2"/>
      <c r="AC103" s="2"/>
      <c r="AD103" s="2"/>
      <c r="AE103" s="2"/>
      <c r="AF103" s="2" t="str">
        <f t="shared" si="13"/>
        <v/>
      </c>
      <c r="AG103" s="2" t="str">
        <f t="shared" si="14"/>
        <v/>
      </c>
      <c r="AH103" s="2" t="str">
        <f>IF($AG103="","",IFERROR(VLOOKUP($AG103,DB_Categories_Export!$A:$B,2,FALSE()),"INVALID CATEGORY"))</f>
        <v/>
      </c>
      <c r="AI103" s="2" t="str">
        <f t="shared" si="15"/>
        <v/>
      </c>
      <c r="AJ103" s="2" t="str">
        <f t="shared" si="16"/>
        <v/>
      </c>
      <c r="AK103" s="2" t="str">
        <f t="shared" si="17"/>
        <v/>
      </c>
      <c r="AL103" s="2" t="str">
        <f t="shared" si="18"/>
        <v/>
      </c>
      <c r="AM103" s="2" t="str">
        <f t="shared" si="19"/>
        <v/>
      </c>
      <c r="AN103" s="2"/>
      <c r="AO103" s="2"/>
    </row>
    <row r="104" spans="1:41" ht="12" customHeight="1" x14ac:dyDescent="0.3">
      <c r="A104" s="2"/>
      <c r="B104" s="2" t="str">
        <f t="shared" si="10"/>
        <v/>
      </c>
      <c r="C104" s="2" t="str">
        <f t="shared" si="11"/>
        <v/>
      </c>
      <c r="D104" s="2" t="str">
        <f>IF(DB_Artworks_Export!A104="","",DB_Artworks_Export!A104)</f>
        <v/>
      </c>
      <c r="E104" s="2" t="str">
        <f>IF(DB_Artworks_Export!B104="","",DB_Artworks_Export!B104)</f>
        <v/>
      </c>
      <c r="F104" s="2" t="str">
        <f>IF(DB_Artworks_Export!C104="","",DB_Artworks_Export!C104)</f>
        <v/>
      </c>
      <c r="G104" s="2" t="str">
        <f>IF(DB_Artworks_Export!D104="","",DB_Artworks_Export!D104)</f>
        <v/>
      </c>
      <c r="H104" s="2" t="str">
        <f>IF(DB_Artworks_Export!E104="","",DB_Artworks_Export!E104)</f>
        <v/>
      </c>
      <c r="I104" s="2" t="str">
        <f>IF(DB_Artworks_Export!F104="","",DB_Artworks_Export!F104)</f>
        <v/>
      </c>
      <c r="J104" s="2" t="str">
        <f>IF(DB_Artworks_Export!G104="","",DB_Artworks_Export!G104)</f>
        <v/>
      </c>
      <c r="K104" s="2" t="str">
        <f>IF(DB_Artworks_Export!H104="","",DB_Artworks_Export!H104)</f>
        <v/>
      </c>
      <c r="L104" s="2" t="str">
        <f>IF(DB_Artworks_Export!I104="","",DB_Artworks_Export!I104)</f>
        <v/>
      </c>
      <c r="M104" s="2" t="str">
        <f>IF(DB_Artworks_Export!J104="","",DB_Artworks_Export!J104)</f>
        <v/>
      </c>
      <c r="N104" s="2" t="str">
        <f>IF(DB_Artworks_Export!K104="","",DB_Artworks_Export!K104)</f>
        <v/>
      </c>
      <c r="O104" s="2" t="str">
        <f>IF(DB_Artworks_Export!L104="","",DB_Artworks_Export!L104)</f>
        <v/>
      </c>
      <c r="P104" s="2" t="str">
        <f>IF(DB_Artworks_Export!M104="","",DB_Artworks_Export!M104)</f>
        <v/>
      </c>
      <c r="Q104" s="2" t="str">
        <f>IF(DB_Artworks_Export!N104="","",DB_Artworks_Export!N104)</f>
        <v/>
      </c>
      <c r="R104" s="2" t="str">
        <f>IF($D104="","",IF(COUNTIF(DB_Categories_Export!$A:$A,$F104)&gt;0,"OK","INVALID CATEGORY"))</f>
        <v/>
      </c>
      <c r="S104" s="2" t="str">
        <f>IF($D104="","",COUNTIF(DB_Artwork_Sizes_Export!$B:$B,$D104))</f>
        <v/>
      </c>
      <c r="T104" s="2" t="str">
        <f>IF($D104="","",IFERROR(INDEX(DB_Artwork_Sizes_Export!$D:$D,MATCH($D104,DB_Artwork_Sizes_Export!$B:$B,0)),""))</f>
        <v/>
      </c>
      <c r="U104" s="2" t="str">
        <f>IF($D104="","",IFERROR(INDEX(DB_Artwork_Sizes_Export!$E:$E,MATCH($D104,DB_Artwork_Sizes_Export!$B:$B,0)),""))</f>
        <v/>
      </c>
      <c r="V104" s="2" t="str">
        <f>IF($D104="","",IFERROR(INDEX(DB_Artwork_Sizes_Export!$F:$F,MATCH($D104,DB_Artwork_Sizes_Export!$B:$B,0)),""))</f>
        <v/>
      </c>
      <c r="W104" s="2" t="str">
        <f t="shared" si="12"/>
        <v/>
      </c>
      <c r="X104" s="2"/>
      <c r="Y104" s="2"/>
      <c r="Z104" s="2"/>
      <c r="AA104" s="2"/>
      <c r="AB104" s="2"/>
      <c r="AC104" s="2"/>
      <c r="AD104" s="2"/>
      <c r="AE104" s="2"/>
      <c r="AF104" s="2" t="str">
        <f t="shared" si="13"/>
        <v/>
      </c>
      <c r="AG104" s="2" t="str">
        <f t="shared" si="14"/>
        <v/>
      </c>
      <c r="AH104" s="2" t="str">
        <f>IF($AG104="","",IFERROR(VLOOKUP($AG104,DB_Categories_Export!$A:$B,2,FALSE()),"INVALID CATEGORY"))</f>
        <v/>
      </c>
      <c r="AI104" s="2" t="str">
        <f t="shared" si="15"/>
        <v/>
      </c>
      <c r="AJ104" s="2" t="str">
        <f t="shared" si="16"/>
        <v/>
      </c>
      <c r="AK104" s="2" t="str">
        <f t="shared" si="17"/>
        <v/>
      </c>
      <c r="AL104" s="2" t="str">
        <f t="shared" si="18"/>
        <v/>
      </c>
      <c r="AM104" s="2" t="str">
        <f t="shared" si="19"/>
        <v/>
      </c>
      <c r="AN104" s="2"/>
      <c r="AO104" s="2"/>
    </row>
    <row r="105" spans="1:41" ht="12" customHeight="1" x14ac:dyDescent="0.3">
      <c r="A105" s="2"/>
      <c r="B105" s="2" t="str">
        <f t="shared" si="10"/>
        <v/>
      </c>
      <c r="C105" s="2" t="str">
        <f t="shared" si="11"/>
        <v/>
      </c>
      <c r="D105" s="2" t="str">
        <f>IF(DB_Artworks_Export!A105="","",DB_Artworks_Export!A105)</f>
        <v/>
      </c>
      <c r="E105" s="2" t="str">
        <f>IF(DB_Artworks_Export!B105="","",DB_Artworks_Export!B105)</f>
        <v/>
      </c>
      <c r="F105" s="2" t="str">
        <f>IF(DB_Artworks_Export!C105="","",DB_Artworks_Export!C105)</f>
        <v/>
      </c>
      <c r="G105" s="2" t="str">
        <f>IF(DB_Artworks_Export!D105="","",DB_Artworks_Export!D105)</f>
        <v/>
      </c>
      <c r="H105" s="2" t="str">
        <f>IF(DB_Artworks_Export!E105="","",DB_Artworks_Export!E105)</f>
        <v/>
      </c>
      <c r="I105" s="2" t="str">
        <f>IF(DB_Artworks_Export!F105="","",DB_Artworks_Export!F105)</f>
        <v/>
      </c>
      <c r="J105" s="2" t="str">
        <f>IF(DB_Artworks_Export!G105="","",DB_Artworks_Export!G105)</f>
        <v/>
      </c>
      <c r="K105" s="2" t="str">
        <f>IF(DB_Artworks_Export!H105="","",DB_Artworks_Export!H105)</f>
        <v/>
      </c>
      <c r="L105" s="2" t="str">
        <f>IF(DB_Artworks_Export!I105="","",DB_Artworks_Export!I105)</f>
        <v/>
      </c>
      <c r="M105" s="2" t="str">
        <f>IF(DB_Artworks_Export!J105="","",DB_Artworks_Export!J105)</f>
        <v/>
      </c>
      <c r="N105" s="2" t="str">
        <f>IF(DB_Artworks_Export!K105="","",DB_Artworks_Export!K105)</f>
        <v/>
      </c>
      <c r="O105" s="2" t="str">
        <f>IF(DB_Artworks_Export!L105="","",DB_Artworks_Export!L105)</f>
        <v/>
      </c>
      <c r="P105" s="2" t="str">
        <f>IF(DB_Artworks_Export!M105="","",DB_Artworks_Export!M105)</f>
        <v/>
      </c>
      <c r="Q105" s="2" t="str">
        <f>IF(DB_Artworks_Export!N105="","",DB_Artworks_Export!N105)</f>
        <v/>
      </c>
      <c r="R105" s="2" t="str">
        <f>IF($D105="","",IF(COUNTIF(DB_Categories_Export!$A:$A,$F105)&gt;0,"OK","INVALID CATEGORY"))</f>
        <v/>
      </c>
      <c r="S105" s="2" t="str">
        <f>IF($D105="","",COUNTIF(DB_Artwork_Sizes_Export!$B:$B,$D105))</f>
        <v/>
      </c>
      <c r="T105" s="2" t="str">
        <f>IF($D105="","",IFERROR(INDEX(DB_Artwork_Sizes_Export!$D:$D,MATCH($D105,DB_Artwork_Sizes_Export!$B:$B,0)),""))</f>
        <v/>
      </c>
      <c r="U105" s="2" t="str">
        <f>IF($D105="","",IFERROR(INDEX(DB_Artwork_Sizes_Export!$E:$E,MATCH($D105,DB_Artwork_Sizes_Export!$B:$B,0)),""))</f>
        <v/>
      </c>
      <c r="V105" s="2" t="str">
        <f>IF($D105="","",IFERROR(INDEX(DB_Artwork_Sizes_Export!$F:$F,MATCH($D105,DB_Artwork_Sizes_Export!$B:$B,0)),""))</f>
        <v/>
      </c>
      <c r="W105" s="2" t="str">
        <f t="shared" si="12"/>
        <v/>
      </c>
      <c r="X105" s="2"/>
      <c r="Y105" s="2"/>
      <c r="Z105" s="2"/>
      <c r="AA105" s="2"/>
      <c r="AB105" s="2"/>
      <c r="AC105" s="2"/>
      <c r="AD105" s="2"/>
      <c r="AE105" s="2"/>
      <c r="AF105" s="2" t="str">
        <f t="shared" si="13"/>
        <v/>
      </c>
      <c r="AG105" s="2" t="str">
        <f t="shared" si="14"/>
        <v/>
      </c>
      <c r="AH105" s="2" t="str">
        <f>IF($AG105="","",IFERROR(VLOOKUP($AG105,DB_Categories_Export!$A:$B,2,FALSE()),"INVALID CATEGORY"))</f>
        <v/>
      </c>
      <c r="AI105" s="2" t="str">
        <f t="shared" si="15"/>
        <v/>
      </c>
      <c r="AJ105" s="2" t="str">
        <f t="shared" si="16"/>
        <v/>
      </c>
      <c r="AK105" s="2" t="str">
        <f t="shared" si="17"/>
        <v/>
      </c>
      <c r="AL105" s="2" t="str">
        <f t="shared" si="18"/>
        <v/>
      </c>
      <c r="AM105" s="2" t="str">
        <f t="shared" si="19"/>
        <v/>
      </c>
      <c r="AN105" s="2"/>
      <c r="AO105" s="2"/>
    </row>
    <row r="106" spans="1:41" ht="12" customHeight="1" x14ac:dyDescent="0.3">
      <c r="A106" s="2"/>
      <c r="B106" s="2" t="str">
        <f t="shared" si="10"/>
        <v/>
      </c>
      <c r="C106" s="2" t="str">
        <f t="shared" si="11"/>
        <v/>
      </c>
      <c r="D106" s="2" t="str">
        <f>IF(DB_Artworks_Export!A106="","",DB_Artworks_Export!A106)</f>
        <v/>
      </c>
      <c r="E106" s="2" t="str">
        <f>IF(DB_Artworks_Export!B106="","",DB_Artworks_Export!B106)</f>
        <v/>
      </c>
      <c r="F106" s="2" t="str">
        <f>IF(DB_Artworks_Export!C106="","",DB_Artworks_Export!C106)</f>
        <v/>
      </c>
      <c r="G106" s="2" t="str">
        <f>IF(DB_Artworks_Export!D106="","",DB_Artworks_Export!D106)</f>
        <v/>
      </c>
      <c r="H106" s="2" t="str">
        <f>IF(DB_Artworks_Export!E106="","",DB_Artworks_Export!E106)</f>
        <v/>
      </c>
      <c r="I106" s="2" t="str">
        <f>IF(DB_Artworks_Export!F106="","",DB_Artworks_Export!F106)</f>
        <v/>
      </c>
      <c r="J106" s="2" t="str">
        <f>IF(DB_Artworks_Export!G106="","",DB_Artworks_Export!G106)</f>
        <v/>
      </c>
      <c r="K106" s="2" t="str">
        <f>IF(DB_Artworks_Export!H106="","",DB_Artworks_Export!H106)</f>
        <v/>
      </c>
      <c r="L106" s="2" t="str">
        <f>IF(DB_Artworks_Export!I106="","",DB_Artworks_Export!I106)</f>
        <v/>
      </c>
      <c r="M106" s="2" t="str">
        <f>IF(DB_Artworks_Export!J106="","",DB_Artworks_Export!J106)</f>
        <v/>
      </c>
      <c r="N106" s="2" t="str">
        <f>IF(DB_Artworks_Export!K106="","",DB_Artworks_Export!K106)</f>
        <v/>
      </c>
      <c r="O106" s="2" t="str">
        <f>IF(DB_Artworks_Export!L106="","",DB_Artworks_Export!L106)</f>
        <v/>
      </c>
      <c r="P106" s="2" t="str">
        <f>IF(DB_Artworks_Export!M106="","",DB_Artworks_Export!M106)</f>
        <v/>
      </c>
      <c r="Q106" s="2" t="str">
        <f>IF(DB_Artworks_Export!N106="","",DB_Artworks_Export!N106)</f>
        <v/>
      </c>
      <c r="R106" s="2" t="str">
        <f>IF($D106="","",IF(COUNTIF(DB_Categories_Export!$A:$A,$F106)&gt;0,"OK","INVALID CATEGORY"))</f>
        <v/>
      </c>
      <c r="S106" s="2" t="str">
        <f>IF($D106="","",COUNTIF(DB_Artwork_Sizes_Export!$B:$B,$D106))</f>
        <v/>
      </c>
      <c r="T106" s="2" t="str">
        <f>IF($D106="","",IFERROR(INDEX(DB_Artwork_Sizes_Export!$D:$D,MATCH($D106,DB_Artwork_Sizes_Export!$B:$B,0)),""))</f>
        <v/>
      </c>
      <c r="U106" s="2" t="str">
        <f>IF($D106="","",IFERROR(INDEX(DB_Artwork_Sizes_Export!$E:$E,MATCH($D106,DB_Artwork_Sizes_Export!$B:$B,0)),""))</f>
        <v/>
      </c>
      <c r="V106" s="2" t="str">
        <f>IF($D106="","",IFERROR(INDEX(DB_Artwork_Sizes_Export!$F:$F,MATCH($D106,DB_Artwork_Sizes_Export!$B:$B,0)),""))</f>
        <v/>
      </c>
      <c r="W106" s="2" t="str">
        <f t="shared" si="12"/>
        <v/>
      </c>
      <c r="X106" s="2"/>
      <c r="Y106" s="2"/>
      <c r="Z106" s="2"/>
      <c r="AA106" s="2"/>
      <c r="AB106" s="2"/>
      <c r="AC106" s="2"/>
      <c r="AD106" s="2"/>
      <c r="AE106" s="2"/>
      <c r="AF106" s="2" t="str">
        <f t="shared" si="13"/>
        <v/>
      </c>
      <c r="AG106" s="2" t="str">
        <f t="shared" si="14"/>
        <v/>
      </c>
      <c r="AH106" s="2" t="str">
        <f>IF($AG106="","",IFERROR(VLOOKUP($AG106,DB_Categories_Export!$A:$B,2,FALSE()),"INVALID CATEGORY"))</f>
        <v/>
      </c>
      <c r="AI106" s="2" t="str">
        <f t="shared" si="15"/>
        <v/>
      </c>
      <c r="AJ106" s="2" t="str">
        <f t="shared" si="16"/>
        <v/>
      </c>
      <c r="AK106" s="2" t="str">
        <f t="shared" si="17"/>
        <v/>
      </c>
      <c r="AL106" s="2" t="str">
        <f t="shared" si="18"/>
        <v/>
      </c>
      <c r="AM106" s="2" t="str">
        <f t="shared" si="19"/>
        <v/>
      </c>
      <c r="AN106" s="2"/>
      <c r="AO106" s="2"/>
    </row>
    <row r="107" spans="1:41" ht="12" customHeight="1" x14ac:dyDescent="0.3">
      <c r="A107" s="2"/>
      <c r="B107" s="2" t="str">
        <f t="shared" si="10"/>
        <v/>
      </c>
      <c r="C107" s="2" t="str">
        <f t="shared" si="11"/>
        <v/>
      </c>
      <c r="D107" s="2" t="str">
        <f>IF(DB_Artworks_Export!A107="","",DB_Artworks_Export!A107)</f>
        <v/>
      </c>
      <c r="E107" s="2" t="str">
        <f>IF(DB_Artworks_Export!B107="","",DB_Artworks_Export!B107)</f>
        <v/>
      </c>
      <c r="F107" s="2" t="str">
        <f>IF(DB_Artworks_Export!C107="","",DB_Artworks_Export!C107)</f>
        <v/>
      </c>
      <c r="G107" s="2" t="str">
        <f>IF(DB_Artworks_Export!D107="","",DB_Artworks_Export!D107)</f>
        <v/>
      </c>
      <c r="H107" s="2" t="str">
        <f>IF(DB_Artworks_Export!E107="","",DB_Artworks_Export!E107)</f>
        <v/>
      </c>
      <c r="I107" s="2" t="str">
        <f>IF(DB_Artworks_Export!F107="","",DB_Artworks_Export!F107)</f>
        <v/>
      </c>
      <c r="J107" s="2" t="str">
        <f>IF(DB_Artworks_Export!G107="","",DB_Artworks_Export!G107)</f>
        <v/>
      </c>
      <c r="K107" s="2" t="str">
        <f>IF(DB_Artworks_Export!H107="","",DB_Artworks_Export!H107)</f>
        <v/>
      </c>
      <c r="L107" s="2" t="str">
        <f>IF(DB_Artworks_Export!I107="","",DB_Artworks_Export!I107)</f>
        <v/>
      </c>
      <c r="M107" s="2" t="str">
        <f>IF(DB_Artworks_Export!J107="","",DB_Artworks_Export!J107)</f>
        <v/>
      </c>
      <c r="N107" s="2" t="str">
        <f>IF(DB_Artworks_Export!K107="","",DB_Artworks_Export!K107)</f>
        <v/>
      </c>
      <c r="O107" s="2" t="str">
        <f>IF(DB_Artworks_Export!L107="","",DB_Artworks_Export!L107)</f>
        <v/>
      </c>
      <c r="P107" s="2" t="str">
        <f>IF(DB_Artworks_Export!M107="","",DB_Artworks_Export!M107)</f>
        <v/>
      </c>
      <c r="Q107" s="2" t="str">
        <f>IF(DB_Artworks_Export!N107="","",DB_Artworks_Export!N107)</f>
        <v/>
      </c>
      <c r="R107" s="2" t="str">
        <f>IF($D107="","",IF(COUNTIF(DB_Categories_Export!$A:$A,$F107)&gt;0,"OK","INVALID CATEGORY"))</f>
        <v/>
      </c>
      <c r="S107" s="2" t="str">
        <f>IF($D107="","",COUNTIF(DB_Artwork_Sizes_Export!$B:$B,$D107))</f>
        <v/>
      </c>
      <c r="T107" s="2" t="str">
        <f>IF($D107="","",IFERROR(INDEX(DB_Artwork_Sizes_Export!$D:$D,MATCH($D107,DB_Artwork_Sizes_Export!$B:$B,0)),""))</f>
        <v/>
      </c>
      <c r="U107" s="2" t="str">
        <f>IF($D107="","",IFERROR(INDEX(DB_Artwork_Sizes_Export!$E:$E,MATCH($D107,DB_Artwork_Sizes_Export!$B:$B,0)),""))</f>
        <v/>
      </c>
      <c r="V107" s="2" t="str">
        <f>IF($D107="","",IFERROR(INDEX(DB_Artwork_Sizes_Export!$F:$F,MATCH($D107,DB_Artwork_Sizes_Export!$B:$B,0)),""))</f>
        <v/>
      </c>
      <c r="W107" s="2" t="str">
        <f t="shared" si="12"/>
        <v/>
      </c>
      <c r="X107" s="2"/>
      <c r="Y107" s="2"/>
      <c r="Z107" s="2"/>
      <c r="AA107" s="2"/>
      <c r="AB107" s="2"/>
      <c r="AC107" s="2"/>
      <c r="AD107" s="2"/>
      <c r="AE107" s="2"/>
      <c r="AF107" s="2" t="str">
        <f t="shared" si="13"/>
        <v/>
      </c>
      <c r="AG107" s="2" t="str">
        <f t="shared" si="14"/>
        <v/>
      </c>
      <c r="AH107" s="2" t="str">
        <f>IF($AG107="","",IFERROR(VLOOKUP($AG107,DB_Categories_Export!$A:$B,2,FALSE()),"INVALID CATEGORY"))</f>
        <v/>
      </c>
      <c r="AI107" s="2" t="str">
        <f t="shared" si="15"/>
        <v/>
      </c>
      <c r="AJ107" s="2" t="str">
        <f t="shared" si="16"/>
        <v/>
      </c>
      <c r="AK107" s="2" t="str">
        <f t="shared" si="17"/>
        <v/>
      </c>
      <c r="AL107" s="2" t="str">
        <f t="shared" si="18"/>
        <v/>
      </c>
      <c r="AM107" s="2" t="str">
        <f t="shared" si="19"/>
        <v/>
      </c>
      <c r="AN107" s="2"/>
      <c r="AO107" s="2"/>
    </row>
    <row r="108" spans="1:41" ht="12" customHeight="1" x14ac:dyDescent="0.3">
      <c r="A108" s="2"/>
      <c r="B108" s="2" t="str">
        <f t="shared" si="10"/>
        <v/>
      </c>
      <c r="C108" s="2" t="str">
        <f t="shared" si="11"/>
        <v/>
      </c>
      <c r="D108" s="2" t="str">
        <f>IF(DB_Artworks_Export!A108="","",DB_Artworks_Export!A108)</f>
        <v/>
      </c>
      <c r="E108" s="2" t="str">
        <f>IF(DB_Artworks_Export!B108="","",DB_Artworks_Export!B108)</f>
        <v/>
      </c>
      <c r="F108" s="2" t="str">
        <f>IF(DB_Artworks_Export!C108="","",DB_Artworks_Export!C108)</f>
        <v/>
      </c>
      <c r="G108" s="2" t="str">
        <f>IF(DB_Artworks_Export!D108="","",DB_Artworks_Export!D108)</f>
        <v/>
      </c>
      <c r="H108" s="2" t="str">
        <f>IF(DB_Artworks_Export!E108="","",DB_Artworks_Export!E108)</f>
        <v/>
      </c>
      <c r="I108" s="2" t="str">
        <f>IF(DB_Artworks_Export!F108="","",DB_Artworks_Export!F108)</f>
        <v/>
      </c>
      <c r="J108" s="2" t="str">
        <f>IF(DB_Artworks_Export!G108="","",DB_Artworks_Export!G108)</f>
        <v/>
      </c>
      <c r="K108" s="2" t="str">
        <f>IF(DB_Artworks_Export!H108="","",DB_Artworks_Export!H108)</f>
        <v/>
      </c>
      <c r="L108" s="2" t="str">
        <f>IF(DB_Artworks_Export!I108="","",DB_Artworks_Export!I108)</f>
        <v/>
      </c>
      <c r="M108" s="2" t="str">
        <f>IF(DB_Artworks_Export!J108="","",DB_Artworks_Export!J108)</f>
        <v/>
      </c>
      <c r="N108" s="2" t="str">
        <f>IF(DB_Artworks_Export!K108="","",DB_Artworks_Export!K108)</f>
        <v/>
      </c>
      <c r="O108" s="2" t="str">
        <f>IF(DB_Artworks_Export!L108="","",DB_Artworks_Export!L108)</f>
        <v/>
      </c>
      <c r="P108" s="2" t="str">
        <f>IF(DB_Artworks_Export!M108="","",DB_Artworks_Export!M108)</f>
        <v/>
      </c>
      <c r="Q108" s="2" t="str">
        <f>IF(DB_Artworks_Export!N108="","",DB_Artworks_Export!N108)</f>
        <v/>
      </c>
      <c r="R108" s="2" t="str">
        <f>IF($D108="","",IF(COUNTIF(DB_Categories_Export!$A:$A,$F108)&gt;0,"OK","INVALID CATEGORY"))</f>
        <v/>
      </c>
      <c r="S108" s="2" t="str">
        <f>IF($D108="","",COUNTIF(DB_Artwork_Sizes_Export!$B:$B,$D108))</f>
        <v/>
      </c>
      <c r="T108" s="2" t="str">
        <f>IF($D108="","",IFERROR(INDEX(DB_Artwork_Sizes_Export!$D:$D,MATCH($D108,DB_Artwork_Sizes_Export!$B:$B,0)),""))</f>
        <v/>
      </c>
      <c r="U108" s="2" t="str">
        <f>IF($D108="","",IFERROR(INDEX(DB_Artwork_Sizes_Export!$E:$E,MATCH($D108,DB_Artwork_Sizes_Export!$B:$B,0)),""))</f>
        <v/>
      </c>
      <c r="V108" s="2" t="str">
        <f>IF($D108="","",IFERROR(INDEX(DB_Artwork_Sizes_Export!$F:$F,MATCH($D108,DB_Artwork_Sizes_Export!$B:$B,0)),""))</f>
        <v/>
      </c>
      <c r="W108" s="2" t="str">
        <f t="shared" si="12"/>
        <v/>
      </c>
      <c r="X108" s="2"/>
      <c r="Y108" s="2"/>
      <c r="Z108" s="2"/>
      <c r="AA108" s="2"/>
      <c r="AB108" s="2"/>
      <c r="AC108" s="2"/>
      <c r="AD108" s="2"/>
      <c r="AE108" s="2"/>
      <c r="AF108" s="2" t="str">
        <f t="shared" si="13"/>
        <v/>
      </c>
      <c r="AG108" s="2" t="str">
        <f t="shared" si="14"/>
        <v/>
      </c>
      <c r="AH108" s="2" t="str">
        <f>IF($AG108="","",IFERROR(VLOOKUP($AG108,DB_Categories_Export!$A:$B,2,FALSE()),"INVALID CATEGORY"))</f>
        <v/>
      </c>
      <c r="AI108" s="2" t="str">
        <f t="shared" si="15"/>
        <v/>
      </c>
      <c r="AJ108" s="2" t="str">
        <f t="shared" si="16"/>
        <v/>
      </c>
      <c r="AK108" s="2" t="str">
        <f t="shared" si="17"/>
        <v/>
      </c>
      <c r="AL108" s="2" t="str">
        <f t="shared" si="18"/>
        <v/>
      </c>
      <c r="AM108" s="2" t="str">
        <f t="shared" si="19"/>
        <v/>
      </c>
      <c r="AN108" s="2"/>
      <c r="AO108" s="2"/>
    </row>
    <row r="109" spans="1:41" ht="12" customHeight="1" x14ac:dyDescent="0.3">
      <c r="A109" s="2"/>
      <c r="B109" s="2" t="str">
        <f t="shared" si="10"/>
        <v/>
      </c>
      <c r="C109" s="2" t="str">
        <f t="shared" si="11"/>
        <v/>
      </c>
      <c r="D109" s="2" t="str">
        <f>IF(DB_Artworks_Export!A109="","",DB_Artworks_Export!A109)</f>
        <v/>
      </c>
      <c r="E109" s="2" t="str">
        <f>IF(DB_Artworks_Export!B109="","",DB_Artworks_Export!B109)</f>
        <v/>
      </c>
      <c r="F109" s="2" t="str">
        <f>IF(DB_Artworks_Export!C109="","",DB_Artworks_Export!C109)</f>
        <v/>
      </c>
      <c r="G109" s="2" t="str">
        <f>IF(DB_Artworks_Export!D109="","",DB_Artworks_Export!D109)</f>
        <v/>
      </c>
      <c r="H109" s="2" t="str">
        <f>IF(DB_Artworks_Export!E109="","",DB_Artworks_Export!E109)</f>
        <v/>
      </c>
      <c r="I109" s="2" t="str">
        <f>IF(DB_Artworks_Export!F109="","",DB_Artworks_Export!F109)</f>
        <v/>
      </c>
      <c r="J109" s="2" t="str">
        <f>IF(DB_Artworks_Export!G109="","",DB_Artworks_Export!G109)</f>
        <v/>
      </c>
      <c r="K109" s="2" t="str">
        <f>IF(DB_Artworks_Export!H109="","",DB_Artworks_Export!H109)</f>
        <v/>
      </c>
      <c r="L109" s="2" t="str">
        <f>IF(DB_Artworks_Export!I109="","",DB_Artworks_Export!I109)</f>
        <v/>
      </c>
      <c r="M109" s="2" t="str">
        <f>IF(DB_Artworks_Export!J109="","",DB_Artworks_Export!J109)</f>
        <v/>
      </c>
      <c r="N109" s="2" t="str">
        <f>IF(DB_Artworks_Export!K109="","",DB_Artworks_Export!K109)</f>
        <v/>
      </c>
      <c r="O109" s="2" t="str">
        <f>IF(DB_Artworks_Export!L109="","",DB_Artworks_Export!L109)</f>
        <v/>
      </c>
      <c r="P109" s="2" t="str">
        <f>IF(DB_Artworks_Export!M109="","",DB_Artworks_Export!M109)</f>
        <v/>
      </c>
      <c r="Q109" s="2" t="str">
        <f>IF(DB_Artworks_Export!N109="","",DB_Artworks_Export!N109)</f>
        <v/>
      </c>
      <c r="R109" s="2" t="str">
        <f>IF($D109="","",IF(COUNTIF(DB_Categories_Export!$A:$A,$F109)&gt;0,"OK","INVALID CATEGORY"))</f>
        <v/>
      </c>
      <c r="S109" s="2" t="str">
        <f>IF($D109="","",COUNTIF(DB_Artwork_Sizes_Export!$B:$B,$D109))</f>
        <v/>
      </c>
      <c r="T109" s="2" t="str">
        <f>IF($D109="","",IFERROR(INDEX(DB_Artwork_Sizes_Export!$D:$D,MATCH($D109,DB_Artwork_Sizes_Export!$B:$B,0)),""))</f>
        <v/>
      </c>
      <c r="U109" s="2" t="str">
        <f>IF($D109="","",IFERROR(INDEX(DB_Artwork_Sizes_Export!$E:$E,MATCH($D109,DB_Artwork_Sizes_Export!$B:$B,0)),""))</f>
        <v/>
      </c>
      <c r="V109" s="2" t="str">
        <f>IF($D109="","",IFERROR(INDEX(DB_Artwork_Sizes_Export!$F:$F,MATCH($D109,DB_Artwork_Sizes_Export!$B:$B,0)),""))</f>
        <v/>
      </c>
      <c r="W109" s="2" t="str">
        <f t="shared" si="12"/>
        <v/>
      </c>
      <c r="X109" s="2"/>
      <c r="Y109" s="2"/>
      <c r="Z109" s="2"/>
      <c r="AA109" s="2"/>
      <c r="AB109" s="2"/>
      <c r="AC109" s="2"/>
      <c r="AD109" s="2"/>
      <c r="AE109" s="2"/>
      <c r="AF109" s="2" t="str">
        <f t="shared" si="13"/>
        <v/>
      </c>
      <c r="AG109" s="2" t="str">
        <f t="shared" si="14"/>
        <v/>
      </c>
      <c r="AH109" s="2" t="str">
        <f>IF($AG109="","",IFERROR(VLOOKUP($AG109,DB_Categories_Export!$A:$B,2,FALSE()),"INVALID CATEGORY"))</f>
        <v/>
      </c>
      <c r="AI109" s="2" t="str">
        <f t="shared" si="15"/>
        <v/>
      </c>
      <c r="AJ109" s="2" t="str">
        <f t="shared" si="16"/>
        <v/>
      </c>
      <c r="AK109" s="2" t="str">
        <f t="shared" si="17"/>
        <v/>
      </c>
      <c r="AL109" s="2" t="str">
        <f t="shared" si="18"/>
        <v/>
      </c>
      <c r="AM109" s="2" t="str">
        <f t="shared" si="19"/>
        <v/>
      </c>
      <c r="AN109" s="2"/>
      <c r="AO109" s="2"/>
    </row>
    <row r="110" spans="1:41" ht="12" customHeight="1" x14ac:dyDescent="0.3">
      <c r="A110" s="2"/>
      <c r="B110" s="2" t="str">
        <f t="shared" si="10"/>
        <v/>
      </c>
      <c r="C110" s="2" t="str">
        <f t="shared" si="11"/>
        <v/>
      </c>
      <c r="D110" s="2" t="str">
        <f>IF(DB_Artworks_Export!A110="","",DB_Artworks_Export!A110)</f>
        <v/>
      </c>
      <c r="E110" s="2" t="str">
        <f>IF(DB_Artworks_Export!B110="","",DB_Artworks_Export!B110)</f>
        <v/>
      </c>
      <c r="F110" s="2" t="str">
        <f>IF(DB_Artworks_Export!C110="","",DB_Artworks_Export!C110)</f>
        <v/>
      </c>
      <c r="G110" s="2" t="str">
        <f>IF(DB_Artworks_Export!D110="","",DB_Artworks_Export!D110)</f>
        <v/>
      </c>
      <c r="H110" s="2" t="str">
        <f>IF(DB_Artworks_Export!E110="","",DB_Artworks_Export!E110)</f>
        <v/>
      </c>
      <c r="I110" s="2" t="str">
        <f>IF(DB_Artworks_Export!F110="","",DB_Artworks_Export!F110)</f>
        <v/>
      </c>
      <c r="J110" s="2" t="str">
        <f>IF(DB_Artworks_Export!G110="","",DB_Artworks_Export!G110)</f>
        <v/>
      </c>
      <c r="K110" s="2" t="str">
        <f>IF(DB_Artworks_Export!H110="","",DB_Artworks_Export!H110)</f>
        <v/>
      </c>
      <c r="L110" s="2" t="str">
        <f>IF(DB_Artworks_Export!I110="","",DB_Artworks_Export!I110)</f>
        <v/>
      </c>
      <c r="M110" s="2" t="str">
        <f>IF(DB_Artworks_Export!J110="","",DB_Artworks_Export!J110)</f>
        <v/>
      </c>
      <c r="N110" s="2" t="str">
        <f>IF(DB_Artworks_Export!K110="","",DB_Artworks_Export!K110)</f>
        <v/>
      </c>
      <c r="O110" s="2" t="str">
        <f>IF(DB_Artworks_Export!L110="","",DB_Artworks_Export!L110)</f>
        <v/>
      </c>
      <c r="P110" s="2" t="str">
        <f>IF(DB_Artworks_Export!M110="","",DB_Artworks_Export!M110)</f>
        <v/>
      </c>
      <c r="Q110" s="2" t="str">
        <f>IF(DB_Artworks_Export!N110="","",DB_Artworks_Export!N110)</f>
        <v/>
      </c>
      <c r="R110" s="2" t="str">
        <f>IF($D110="","",IF(COUNTIF(DB_Categories_Export!$A:$A,$F110)&gt;0,"OK","INVALID CATEGORY"))</f>
        <v/>
      </c>
      <c r="S110" s="2" t="str">
        <f>IF($D110="","",COUNTIF(DB_Artwork_Sizes_Export!$B:$B,$D110))</f>
        <v/>
      </c>
      <c r="T110" s="2" t="str">
        <f>IF($D110="","",IFERROR(INDEX(DB_Artwork_Sizes_Export!$D:$D,MATCH($D110,DB_Artwork_Sizes_Export!$B:$B,0)),""))</f>
        <v/>
      </c>
      <c r="U110" s="2" t="str">
        <f>IF($D110="","",IFERROR(INDEX(DB_Artwork_Sizes_Export!$E:$E,MATCH($D110,DB_Artwork_Sizes_Export!$B:$B,0)),""))</f>
        <v/>
      </c>
      <c r="V110" s="2" t="str">
        <f>IF($D110="","",IFERROR(INDEX(DB_Artwork_Sizes_Export!$F:$F,MATCH($D110,DB_Artwork_Sizes_Export!$B:$B,0)),""))</f>
        <v/>
      </c>
      <c r="W110" s="2" t="str">
        <f t="shared" si="12"/>
        <v/>
      </c>
      <c r="X110" s="2"/>
      <c r="Y110" s="2"/>
      <c r="Z110" s="2"/>
      <c r="AA110" s="2"/>
      <c r="AB110" s="2"/>
      <c r="AC110" s="2"/>
      <c r="AD110" s="2"/>
      <c r="AE110" s="2"/>
      <c r="AF110" s="2" t="str">
        <f t="shared" si="13"/>
        <v/>
      </c>
      <c r="AG110" s="2" t="str">
        <f t="shared" si="14"/>
        <v/>
      </c>
      <c r="AH110" s="2" t="str">
        <f>IF($AG110="","",IFERROR(VLOOKUP($AG110,DB_Categories_Export!$A:$B,2,FALSE()),"INVALID CATEGORY"))</f>
        <v/>
      </c>
      <c r="AI110" s="2" t="str">
        <f t="shared" si="15"/>
        <v/>
      </c>
      <c r="AJ110" s="2" t="str">
        <f t="shared" si="16"/>
        <v/>
      </c>
      <c r="AK110" s="2" t="str">
        <f t="shared" si="17"/>
        <v/>
      </c>
      <c r="AL110" s="2" t="str">
        <f t="shared" si="18"/>
        <v/>
      </c>
      <c r="AM110" s="2" t="str">
        <f t="shared" si="19"/>
        <v/>
      </c>
      <c r="AN110" s="2"/>
      <c r="AO110" s="2"/>
    </row>
    <row r="111" spans="1:41" ht="12" customHeight="1" x14ac:dyDescent="0.3">
      <c r="A111" s="2"/>
      <c r="B111" s="2" t="str">
        <f t="shared" si="10"/>
        <v/>
      </c>
      <c r="C111" s="2" t="str">
        <f t="shared" si="11"/>
        <v/>
      </c>
      <c r="D111" s="2" t="str">
        <f>IF(DB_Artworks_Export!A111="","",DB_Artworks_Export!A111)</f>
        <v/>
      </c>
      <c r="E111" s="2" t="str">
        <f>IF(DB_Artworks_Export!B111="","",DB_Artworks_Export!B111)</f>
        <v/>
      </c>
      <c r="F111" s="2" t="str">
        <f>IF(DB_Artworks_Export!C111="","",DB_Artworks_Export!C111)</f>
        <v/>
      </c>
      <c r="G111" s="2" t="str">
        <f>IF(DB_Artworks_Export!D111="","",DB_Artworks_Export!D111)</f>
        <v/>
      </c>
      <c r="H111" s="2" t="str">
        <f>IF(DB_Artworks_Export!E111="","",DB_Artworks_Export!E111)</f>
        <v/>
      </c>
      <c r="I111" s="2" t="str">
        <f>IF(DB_Artworks_Export!F111="","",DB_Artworks_Export!F111)</f>
        <v/>
      </c>
      <c r="J111" s="2" t="str">
        <f>IF(DB_Artworks_Export!G111="","",DB_Artworks_Export!G111)</f>
        <v/>
      </c>
      <c r="K111" s="2" t="str">
        <f>IF(DB_Artworks_Export!H111="","",DB_Artworks_Export!H111)</f>
        <v/>
      </c>
      <c r="L111" s="2" t="str">
        <f>IF(DB_Artworks_Export!I111="","",DB_Artworks_Export!I111)</f>
        <v/>
      </c>
      <c r="M111" s="2" t="str">
        <f>IF(DB_Artworks_Export!J111="","",DB_Artworks_Export!J111)</f>
        <v/>
      </c>
      <c r="N111" s="2" t="str">
        <f>IF(DB_Artworks_Export!K111="","",DB_Artworks_Export!K111)</f>
        <v/>
      </c>
      <c r="O111" s="2" t="str">
        <f>IF(DB_Artworks_Export!L111="","",DB_Artworks_Export!L111)</f>
        <v/>
      </c>
      <c r="P111" s="2" t="str">
        <f>IF(DB_Artworks_Export!M111="","",DB_Artworks_Export!M111)</f>
        <v/>
      </c>
      <c r="Q111" s="2" t="str">
        <f>IF(DB_Artworks_Export!N111="","",DB_Artworks_Export!N111)</f>
        <v/>
      </c>
      <c r="R111" s="2" t="str">
        <f>IF($D111="","",IF(COUNTIF(DB_Categories_Export!$A:$A,$F111)&gt;0,"OK","INVALID CATEGORY"))</f>
        <v/>
      </c>
      <c r="S111" s="2" t="str">
        <f>IF($D111="","",COUNTIF(DB_Artwork_Sizes_Export!$B:$B,$D111))</f>
        <v/>
      </c>
      <c r="T111" s="2" t="str">
        <f>IF($D111="","",IFERROR(INDEX(DB_Artwork_Sizes_Export!$D:$D,MATCH($D111,DB_Artwork_Sizes_Export!$B:$B,0)),""))</f>
        <v/>
      </c>
      <c r="U111" s="2" t="str">
        <f>IF($D111="","",IFERROR(INDEX(DB_Artwork_Sizes_Export!$E:$E,MATCH($D111,DB_Artwork_Sizes_Export!$B:$B,0)),""))</f>
        <v/>
      </c>
      <c r="V111" s="2" t="str">
        <f>IF($D111="","",IFERROR(INDEX(DB_Artwork_Sizes_Export!$F:$F,MATCH($D111,DB_Artwork_Sizes_Export!$B:$B,0)),""))</f>
        <v/>
      </c>
      <c r="W111" s="2" t="str">
        <f t="shared" si="12"/>
        <v/>
      </c>
      <c r="X111" s="2"/>
      <c r="Y111" s="2"/>
      <c r="Z111" s="2"/>
      <c r="AA111" s="2"/>
      <c r="AB111" s="2"/>
      <c r="AC111" s="2"/>
      <c r="AD111" s="2"/>
      <c r="AE111" s="2"/>
      <c r="AF111" s="2" t="str">
        <f t="shared" si="13"/>
        <v/>
      </c>
      <c r="AG111" s="2" t="str">
        <f t="shared" si="14"/>
        <v/>
      </c>
      <c r="AH111" s="2" t="str">
        <f>IF($AG111="","",IFERROR(VLOOKUP($AG111,DB_Categories_Export!$A:$B,2,FALSE()),"INVALID CATEGORY"))</f>
        <v/>
      </c>
      <c r="AI111" s="2" t="str">
        <f t="shared" si="15"/>
        <v/>
      </c>
      <c r="AJ111" s="2" t="str">
        <f t="shared" si="16"/>
        <v/>
      </c>
      <c r="AK111" s="2" t="str">
        <f t="shared" si="17"/>
        <v/>
      </c>
      <c r="AL111" s="2" t="str">
        <f t="shared" si="18"/>
        <v/>
      </c>
      <c r="AM111" s="2" t="str">
        <f t="shared" si="19"/>
        <v/>
      </c>
      <c r="AN111" s="2"/>
      <c r="AO111" s="2"/>
    </row>
    <row r="112" spans="1:41" ht="12" customHeight="1" x14ac:dyDescent="0.3">
      <c r="A112" s="2"/>
      <c r="B112" s="2" t="str">
        <f t="shared" si="10"/>
        <v/>
      </c>
      <c r="C112" s="2" t="str">
        <f t="shared" si="11"/>
        <v/>
      </c>
      <c r="D112" s="2" t="str">
        <f>IF(DB_Artworks_Export!A112="","",DB_Artworks_Export!A112)</f>
        <v/>
      </c>
      <c r="E112" s="2" t="str">
        <f>IF(DB_Artworks_Export!B112="","",DB_Artworks_Export!B112)</f>
        <v/>
      </c>
      <c r="F112" s="2" t="str">
        <f>IF(DB_Artworks_Export!C112="","",DB_Artworks_Export!C112)</f>
        <v/>
      </c>
      <c r="G112" s="2" t="str">
        <f>IF(DB_Artworks_Export!D112="","",DB_Artworks_Export!D112)</f>
        <v/>
      </c>
      <c r="H112" s="2" t="str">
        <f>IF(DB_Artworks_Export!E112="","",DB_Artworks_Export!E112)</f>
        <v/>
      </c>
      <c r="I112" s="2" t="str">
        <f>IF(DB_Artworks_Export!F112="","",DB_Artworks_Export!F112)</f>
        <v/>
      </c>
      <c r="J112" s="2" t="str">
        <f>IF(DB_Artworks_Export!G112="","",DB_Artworks_Export!G112)</f>
        <v/>
      </c>
      <c r="K112" s="2" t="str">
        <f>IF(DB_Artworks_Export!H112="","",DB_Artworks_Export!H112)</f>
        <v/>
      </c>
      <c r="L112" s="2" t="str">
        <f>IF(DB_Artworks_Export!I112="","",DB_Artworks_Export!I112)</f>
        <v/>
      </c>
      <c r="M112" s="2" t="str">
        <f>IF(DB_Artworks_Export!J112="","",DB_Artworks_Export!J112)</f>
        <v/>
      </c>
      <c r="N112" s="2" t="str">
        <f>IF(DB_Artworks_Export!K112="","",DB_Artworks_Export!K112)</f>
        <v/>
      </c>
      <c r="O112" s="2" t="str">
        <f>IF(DB_Artworks_Export!L112="","",DB_Artworks_Export!L112)</f>
        <v/>
      </c>
      <c r="P112" s="2" t="str">
        <f>IF(DB_Artworks_Export!M112="","",DB_Artworks_Export!M112)</f>
        <v/>
      </c>
      <c r="Q112" s="2" t="str">
        <f>IF(DB_Artworks_Export!N112="","",DB_Artworks_Export!N112)</f>
        <v/>
      </c>
      <c r="R112" s="2" t="str">
        <f>IF($D112="","",IF(COUNTIF(DB_Categories_Export!$A:$A,$F112)&gt;0,"OK","INVALID CATEGORY"))</f>
        <v/>
      </c>
      <c r="S112" s="2" t="str">
        <f>IF($D112="","",COUNTIF(DB_Artwork_Sizes_Export!$B:$B,$D112))</f>
        <v/>
      </c>
      <c r="T112" s="2" t="str">
        <f>IF($D112="","",IFERROR(INDEX(DB_Artwork_Sizes_Export!$D:$D,MATCH($D112,DB_Artwork_Sizes_Export!$B:$B,0)),""))</f>
        <v/>
      </c>
      <c r="U112" s="2" t="str">
        <f>IF($D112="","",IFERROR(INDEX(DB_Artwork_Sizes_Export!$E:$E,MATCH($D112,DB_Artwork_Sizes_Export!$B:$B,0)),""))</f>
        <v/>
      </c>
      <c r="V112" s="2" t="str">
        <f>IF($D112="","",IFERROR(INDEX(DB_Artwork_Sizes_Export!$F:$F,MATCH($D112,DB_Artwork_Sizes_Export!$B:$B,0)),""))</f>
        <v/>
      </c>
      <c r="W112" s="2" t="str">
        <f t="shared" si="12"/>
        <v/>
      </c>
      <c r="X112" s="2"/>
      <c r="Y112" s="2"/>
      <c r="Z112" s="2"/>
      <c r="AA112" s="2"/>
      <c r="AB112" s="2"/>
      <c r="AC112" s="2"/>
      <c r="AD112" s="2"/>
      <c r="AE112" s="2"/>
      <c r="AF112" s="2" t="str">
        <f t="shared" si="13"/>
        <v/>
      </c>
      <c r="AG112" s="2" t="str">
        <f t="shared" si="14"/>
        <v/>
      </c>
      <c r="AH112" s="2" t="str">
        <f>IF($AG112="","",IFERROR(VLOOKUP($AG112,DB_Categories_Export!$A:$B,2,FALSE()),"INVALID CATEGORY"))</f>
        <v/>
      </c>
      <c r="AI112" s="2" t="str">
        <f t="shared" si="15"/>
        <v/>
      </c>
      <c r="AJ112" s="2" t="str">
        <f t="shared" si="16"/>
        <v/>
      </c>
      <c r="AK112" s="2" t="str">
        <f t="shared" si="17"/>
        <v/>
      </c>
      <c r="AL112" s="2" t="str">
        <f t="shared" si="18"/>
        <v/>
      </c>
      <c r="AM112" s="2" t="str">
        <f t="shared" si="19"/>
        <v/>
      </c>
      <c r="AN112" s="2"/>
      <c r="AO112" s="2"/>
    </row>
    <row r="113" spans="1:41" ht="12" customHeight="1" x14ac:dyDescent="0.3">
      <c r="A113" s="2"/>
      <c r="B113" s="2" t="str">
        <f t="shared" si="10"/>
        <v/>
      </c>
      <c r="C113" s="2" t="str">
        <f t="shared" si="11"/>
        <v/>
      </c>
      <c r="D113" s="2" t="str">
        <f>IF(DB_Artworks_Export!A113="","",DB_Artworks_Export!A113)</f>
        <v/>
      </c>
      <c r="E113" s="2" t="str">
        <f>IF(DB_Artworks_Export!B113="","",DB_Artworks_Export!B113)</f>
        <v/>
      </c>
      <c r="F113" s="2" t="str">
        <f>IF(DB_Artworks_Export!C113="","",DB_Artworks_Export!C113)</f>
        <v/>
      </c>
      <c r="G113" s="2" t="str">
        <f>IF(DB_Artworks_Export!D113="","",DB_Artworks_Export!D113)</f>
        <v/>
      </c>
      <c r="H113" s="2" t="str">
        <f>IF(DB_Artworks_Export!E113="","",DB_Artworks_Export!E113)</f>
        <v/>
      </c>
      <c r="I113" s="2" t="str">
        <f>IF(DB_Artworks_Export!F113="","",DB_Artworks_Export!F113)</f>
        <v/>
      </c>
      <c r="J113" s="2" t="str">
        <f>IF(DB_Artworks_Export!G113="","",DB_Artworks_Export!G113)</f>
        <v/>
      </c>
      <c r="K113" s="2" t="str">
        <f>IF(DB_Artworks_Export!H113="","",DB_Artworks_Export!H113)</f>
        <v/>
      </c>
      <c r="L113" s="2" t="str">
        <f>IF(DB_Artworks_Export!I113="","",DB_Artworks_Export!I113)</f>
        <v/>
      </c>
      <c r="M113" s="2" t="str">
        <f>IF(DB_Artworks_Export!J113="","",DB_Artworks_Export!J113)</f>
        <v/>
      </c>
      <c r="N113" s="2" t="str">
        <f>IF(DB_Artworks_Export!K113="","",DB_Artworks_Export!K113)</f>
        <v/>
      </c>
      <c r="O113" s="2" t="str">
        <f>IF(DB_Artworks_Export!L113="","",DB_Artworks_Export!L113)</f>
        <v/>
      </c>
      <c r="P113" s="2" t="str">
        <f>IF(DB_Artworks_Export!M113="","",DB_Artworks_Export!M113)</f>
        <v/>
      </c>
      <c r="Q113" s="2" t="str">
        <f>IF(DB_Artworks_Export!N113="","",DB_Artworks_Export!N113)</f>
        <v/>
      </c>
      <c r="R113" s="2" t="str">
        <f>IF($D113="","",IF(COUNTIF(DB_Categories_Export!$A:$A,$F113)&gt;0,"OK","INVALID CATEGORY"))</f>
        <v/>
      </c>
      <c r="S113" s="2" t="str">
        <f>IF($D113="","",COUNTIF(DB_Artwork_Sizes_Export!$B:$B,$D113))</f>
        <v/>
      </c>
      <c r="T113" s="2" t="str">
        <f>IF($D113="","",IFERROR(INDEX(DB_Artwork_Sizes_Export!$D:$D,MATCH($D113,DB_Artwork_Sizes_Export!$B:$B,0)),""))</f>
        <v/>
      </c>
      <c r="U113" s="2" t="str">
        <f>IF($D113="","",IFERROR(INDEX(DB_Artwork_Sizes_Export!$E:$E,MATCH($D113,DB_Artwork_Sizes_Export!$B:$B,0)),""))</f>
        <v/>
      </c>
      <c r="V113" s="2" t="str">
        <f>IF($D113="","",IFERROR(INDEX(DB_Artwork_Sizes_Export!$F:$F,MATCH($D113,DB_Artwork_Sizes_Export!$B:$B,0)),""))</f>
        <v/>
      </c>
      <c r="W113" s="2" t="str">
        <f t="shared" si="12"/>
        <v/>
      </c>
      <c r="X113" s="2"/>
      <c r="Y113" s="2"/>
      <c r="Z113" s="2"/>
      <c r="AA113" s="2"/>
      <c r="AB113" s="2"/>
      <c r="AC113" s="2"/>
      <c r="AD113" s="2"/>
      <c r="AE113" s="2"/>
      <c r="AF113" s="2" t="str">
        <f t="shared" si="13"/>
        <v/>
      </c>
      <c r="AG113" s="2" t="str">
        <f t="shared" si="14"/>
        <v/>
      </c>
      <c r="AH113" s="2" t="str">
        <f>IF($AG113="","",IFERROR(VLOOKUP($AG113,DB_Categories_Export!$A:$B,2,FALSE()),"INVALID CATEGORY"))</f>
        <v/>
      </c>
      <c r="AI113" s="2" t="str">
        <f t="shared" si="15"/>
        <v/>
      </c>
      <c r="AJ113" s="2" t="str">
        <f t="shared" si="16"/>
        <v/>
      </c>
      <c r="AK113" s="2" t="str">
        <f t="shared" si="17"/>
        <v/>
      </c>
      <c r="AL113" s="2" t="str">
        <f t="shared" si="18"/>
        <v/>
      </c>
      <c r="AM113" s="2" t="str">
        <f t="shared" si="19"/>
        <v/>
      </c>
      <c r="AN113" s="2"/>
      <c r="AO113" s="2"/>
    </row>
    <row r="114" spans="1:41" ht="12" customHeight="1" x14ac:dyDescent="0.3">
      <c r="A114" s="2"/>
      <c r="B114" s="2" t="str">
        <f t="shared" si="10"/>
        <v/>
      </c>
      <c r="C114" s="2" t="str">
        <f t="shared" si="11"/>
        <v/>
      </c>
      <c r="D114" s="2" t="str">
        <f>IF(DB_Artworks_Export!A114="","",DB_Artworks_Export!A114)</f>
        <v/>
      </c>
      <c r="E114" s="2" t="str">
        <f>IF(DB_Artworks_Export!B114="","",DB_Artworks_Export!B114)</f>
        <v/>
      </c>
      <c r="F114" s="2" t="str">
        <f>IF(DB_Artworks_Export!C114="","",DB_Artworks_Export!C114)</f>
        <v/>
      </c>
      <c r="G114" s="2" t="str">
        <f>IF(DB_Artworks_Export!D114="","",DB_Artworks_Export!D114)</f>
        <v/>
      </c>
      <c r="H114" s="2" t="str">
        <f>IF(DB_Artworks_Export!E114="","",DB_Artworks_Export!E114)</f>
        <v/>
      </c>
      <c r="I114" s="2" t="str">
        <f>IF(DB_Artworks_Export!F114="","",DB_Artworks_Export!F114)</f>
        <v/>
      </c>
      <c r="J114" s="2" t="str">
        <f>IF(DB_Artworks_Export!G114="","",DB_Artworks_Export!G114)</f>
        <v/>
      </c>
      <c r="K114" s="2" t="str">
        <f>IF(DB_Artworks_Export!H114="","",DB_Artworks_Export!H114)</f>
        <v/>
      </c>
      <c r="L114" s="2" t="str">
        <f>IF(DB_Artworks_Export!I114="","",DB_Artworks_Export!I114)</f>
        <v/>
      </c>
      <c r="M114" s="2" t="str">
        <f>IF(DB_Artworks_Export!J114="","",DB_Artworks_Export!J114)</f>
        <v/>
      </c>
      <c r="N114" s="2" t="str">
        <f>IF(DB_Artworks_Export!K114="","",DB_Artworks_Export!K114)</f>
        <v/>
      </c>
      <c r="O114" s="2" t="str">
        <f>IF(DB_Artworks_Export!L114="","",DB_Artworks_Export!L114)</f>
        <v/>
      </c>
      <c r="P114" s="2" t="str">
        <f>IF(DB_Artworks_Export!M114="","",DB_Artworks_Export!M114)</f>
        <v/>
      </c>
      <c r="Q114" s="2" t="str">
        <f>IF(DB_Artworks_Export!N114="","",DB_Artworks_Export!N114)</f>
        <v/>
      </c>
      <c r="R114" s="2" t="str">
        <f>IF($D114="","",IF(COUNTIF(DB_Categories_Export!$A:$A,$F114)&gt;0,"OK","INVALID CATEGORY"))</f>
        <v/>
      </c>
      <c r="S114" s="2" t="str">
        <f>IF($D114="","",COUNTIF(DB_Artwork_Sizes_Export!$B:$B,$D114))</f>
        <v/>
      </c>
      <c r="T114" s="2" t="str">
        <f>IF($D114="","",IFERROR(INDEX(DB_Artwork_Sizes_Export!$D:$D,MATCH($D114,DB_Artwork_Sizes_Export!$B:$B,0)),""))</f>
        <v/>
      </c>
      <c r="U114" s="2" t="str">
        <f>IF($D114="","",IFERROR(INDEX(DB_Artwork_Sizes_Export!$E:$E,MATCH($D114,DB_Artwork_Sizes_Export!$B:$B,0)),""))</f>
        <v/>
      </c>
      <c r="V114" s="2" t="str">
        <f>IF($D114="","",IFERROR(INDEX(DB_Artwork_Sizes_Export!$F:$F,MATCH($D114,DB_Artwork_Sizes_Export!$B:$B,0)),""))</f>
        <v/>
      </c>
      <c r="W114" s="2" t="str">
        <f t="shared" si="12"/>
        <v/>
      </c>
      <c r="X114" s="2"/>
      <c r="Y114" s="2"/>
      <c r="Z114" s="2"/>
      <c r="AA114" s="2"/>
      <c r="AB114" s="2"/>
      <c r="AC114" s="2"/>
      <c r="AD114" s="2"/>
      <c r="AE114" s="2"/>
      <c r="AF114" s="2" t="str">
        <f t="shared" si="13"/>
        <v/>
      </c>
      <c r="AG114" s="2" t="str">
        <f t="shared" si="14"/>
        <v/>
      </c>
      <c r="AH114" s="2" t="str">
        <f>IF($AG114="","",IFERROR(VLOOKUP($AG114,DB_Categories_Export!$A:$B,2,FALSE()),"INVALID CATEGORY"))</f>
        <v/>
      </c>
      <c r="AI114" s="2" t="str">
        <f t="shared" si="15"/>
        <v/>
      </c>
      <c r="AJ114" s="2" t="str">
        <f t="shared" si="16"/>
        <v/>
      </c>
      <c r="AK114" s="2" t="str">
        <f t="shared" si="17"/>
        <v/>
      </c>
      <c r="AL114" s="2" t="str">
        <f t="shared" si="18"/>
        <v/>
      </c>
      <c r="AM114" s="2" t="str">
        <f t="shared" si="19"/>
        <v/>
      </c>
      <c r="AN114" s="2"/>
      <c r="AO114" s="2"/>
    </row>
    <row r="115" spans="1:41" ht="12" customHeight="1" x14ac:dyDescent="0.3">
      <c r="A115" s="2"/>
      <c r="B115" s="2" t="str">
        <f t="shared" si="10"/>
        <v/>
      </c>
      <c r="C115" s="2" t="str">
        <f t="shared" si="11"/>
        <v/>
      </c>
      <c r="D115" s="2" t="str">
        <f>IF(DB_Artworks_Export!A115="","",DB_Artworks_Export!A115)</f>
        <v/>
      </c>
      <c r="E115" s="2" t="str">
        <f>IF(DB_Artworks_Export!B115="","",DB_Artworks_Export!B115)</f>
        <v/>
      </c>
      <c r="F115" s="2" t="str">
        <f>IF(DB_Artworks_Export!C115="","",DB_Artworks_Export!C115)</f>
        <v/>
      </c>
      <c r="G115" s="2" t="str">
        <f>IF(DB_Artworks_Export!D115="","",DB_Artworks_Export!D115)</f>
        <v/>
      </c>
      <c r="H115" s="2" t="str">
        <f>IF(DB_Artworks_Export!E115="","",DB_Artworks_Export!E115)</f>
        <v/>
      </c>
      <c r="I115" s="2" t="str">
        <f>IF(DB_Artworks_Export!F115="","",DB_Artworks_Export!F115)</f>
        <v/>
      </c>
      <c r="J115" s="2" t="str">
        <f>IF(DB_Artworks_Export!G115="","",DB_Artworks_Export!G115)</f>
        <v/>
      </c>
      <c r="K115" s="2" t="str">
        <f>IF(DB_Artworks_Export!H115="","",DB_Artworks_Export!H115)</f>
        <v/>
      </c>
      <c r="L115" s="2" t="str">
        <f>IF(DB_Artworks_Export!I115="","",DB_Artworks_Export!I115)</f>
        <v/>
      </c>
      <c r="M115" s="2" t="str">
        <f>IF(DB_Artworks_Export!J115="","",DB_Artworks_Export!J115)</f>
        <v/>
      </c>
      <c r="N115" s="2" t="str">
        <f>IF(DB_Artworks_Export!K115="","",DB_Artworks_Export!K115)</f>
        <v/>
      </c>
      <c r="O115" s="2" t="str">
        <f>IF(DB_Artworks_Export!L115="","",DB_Artworks_Export!L115)</f>
        <v/>
      </c>
      <c r="P115" s="2" t="str">
        <f>IF(DB_Artworks_Export!M115="","",DB_Artworks_Export!M115)</f>
        <v/>
      </c>
      <c r="Q115" s="2" t="str">
        <f>IF(DB_Artworks_Export!N115="","",DB_Artworks_Export!N115)</f>
        <v/>
      </c>
      <c r="R115" s="2" t="str">
        <f>IF($D115="","",IF(COUNTIF(DB_Categories_Export!$A:$A,$F115)&gt;0,"OK","INVALID CATEGORY"))</f>
        <v/>
      </c>
      <c r="S115" s="2" t="str">
        <f>IF($D115="","",COUNTIF(DB_Artwork_Sizes_Export!$B:$B,$D115))</f>
        <v/>
      </c>
      <c r="T115" s="2" t="str">
        <f>IF($D115="","",IFERROR(INDEX(DB_Artwork_Sizes_Export!$D:$D,MATCH($D115,DB_Artwork_Sizes_Export!$B:$B,0)),""))</f>
        <v/>
      </c>
      <c r="U115" s="2" t="str">
        <f>IF($D115="","",IFERROR(INDEX(DB_Artwork_Sizes_Export!$E:$E,MATCH($D115,DB_Artwork_Sizes_Export!$B:$B,0)),""))</f>
        <v/>
      </c>
      <c r="V115" s="2" t="str">
        <f>IF($D115="","",IFERROR(INDEX(DB_Artwork_Sizes_Export!$F:$F,MATCH($D115,DB_Artwork_Sizes_Export!$B:$B,0)),""))</f>
        <v/>
      </c>
      <c r="W115" s="2" t="str">
        <f t="shared" si="12"/>
        <v/>
      </c>
      <c r="X115" s="2"/>
      <c r="Y115" s="2"/>
      <c r="Z115" s="2"/>
      <c r="AA115" s="2"/>
      <c r="AB115" s="2"/>
      <c r="AC115" s="2"/>
      <c r="AD115" s="2"/>
      <c r="AE115" s="2"/>
      <c r="AF115" s="2" t="str">
        <f t="shared" si="13"/>
        <v/>
      </c>
      <c r="AG115" s="2" t="str">
        <f t="shared" si="14"/>
        <v/>
      </c>
      <c r="AH115" s="2" t="str">
        <f>IF($AG115="","",IFERROR(VLOOKUP($AG115,DB_Categories_Export!$A:$B,2,FALSE()),"INVALID CATEGORY"))</f>
        <v/>
      </c>
      <c r="AI115" s="2" t="str">
        <f t="shared" si="15"/>
        <v/>
      </c>
      <c r="AJ115" s="2" t="str">
        <f t="shared" si="16"/>
        <v/>
      </c>
      <c r="AK115" s="2" t="str">
        <f t="shared" si="17"/>
        <v/>
      </c>
      <c r="AL115" s="2" t="str">
        <f t="shared" si="18"/>
        <v/>
      </c>
      <c r="AM115" s="2" t="str">
        <f t="shared" si="19"/>
        <v/>
      </c>
      <c r="AN115" s="2"/>
      <c r="AO115" s="2"/>
    </row>
    <row r="116" spans="1:41" ht="12" customHeight="1" x14ac:dyDescent="0.3">
      <c r="A116" s="2"/>
      <c r="B116" s="2" t="str">
        <f t="shared" si="10"/>
        <v/>
      </c>
      <c r="C116" s="2" t="str">
        <f t="shared" si="11"/>
        <v/>
      </c>
      <c r="D116" s="2" t="str">
        <f>IF(DB_Artworks_Export!A116="","",DB_Artworks_Export!A116)</f>
        <v/>
      </c>
      <c r="E116" s="2" t="str">
        <f>IF(DB_Artworks_Export!B116="","",DB_Artworks_Export!B116)</f>
        <v/>
      </c>
      <c r="F116" s="2" t="str">
        <f>IF(DB_Artworks_Export!C116="","",DB_Artworks_Export!C116)</f>
        <v/>
      </c>
      <c r="G116" s="2" t="str">
        <f>IF(DB_Artworks_Export!D116="","",DB_Artworks_Export!D116)</f>
        <v/>
      </c>
      <c r="H116" s="2" t="str">
        <f>IF(DB_Artworks_Export!E116="","",DB_Artworks_Export!E116)</f>
        <v/>
      </c>
      <c r="I116" s="2" t="str">
        <f>IF(DB_Artworks_Export!F116="","",DB_Artworks_Export!F116)</f>
        <v/>
      </c>
      <c r="J116" s="2" t="str">
        <f>IF(DB_Artworks_Export!G116="","",DB_Artworks_Export!G116)</f>
        <v/>
      </c>
      <c r="K116" s="2" t="str">
        <f>IF(DB_Artworks_Export!H116="","",DB_Artworks_Export!H116)</f>
        <v/>
      </c>
      <c r="L116" s="2" t="str">
        <f>IF(DB_Artworks_Export!I116="","",DB_Artworks_Export!I116)</f>
        <v/>
      </c>
      <c r="M116" s="2" t="str">
        <f>IF(DB_Artworks_Export!J116="","",DB_Artworks_Export!J116)</f>
        <v/>
      </c>
      <c r="N116" s="2" t="str">
        <f>IF(DB_Artworks_Export!K116="","",DB_Artworks_Export!K116)</f>
        <v/>
      </c>
      <c r="O116" s="2" t="str">
        <f>IF(DB_Artworks_Export!L116="","",DB_Artworks_Export!L116)</f>
        <v/>
      </c>
      <c r="P116" s="2" t="str">
        <f>IF(DB_Artworks_Export!M116="","",DB_Artworks_Export!M116)</f>
        <v/>
      </c>
      <c r="Q116" s="2" t="str">
        <f>IF(DB_Artworks_Export!N116="","",DB_Artworks_Export!N116)</f>
        <v/>
      </c>
      <c r="R116" s="2" t="str">
        <f>IF($D116="","",IF(COUNTIF(DB_Categories_Export!$A:$A,$F116)&gt;0,"OK","INVALID CATEGORY"))</f>
        <v/>
      </c>
      <c r="S116" s="2" t="str">
        <f>IF($D116="","",COUNTIF(DB_Artwork_Sizes_Export!$B:$B,$D116))</f>
        <v/>
      </c>
      <c r="T116" s="2" t="str">
        <f>IF($D116="","",IFERROR(INDEX(DB_Artwork_Sizes_Export!$D:$D,MATCH($D116,DB_Artwork_Sizes_Export!$B:$B,0)),""))</f>
        <v/>
      </c>
      <c r="U116" s="2" t="str">
        <f>IF($D116="","",IFERROR(INDEX(DB_Artwork_Sizes_Export!$E:$E,MATCH($D116,DB_Artwork_Sizes_Export!$B:$B,0)),""))</f>
        <v/>
      </c>
      <c r="V116" s="2" t="str">
        <f>IF($D116="","",IFERROR(INDEX(DB_Artwork_Sizes_Export!$F:$F,MATCH($D116,DB_Artwork_Sizes_Export!$B:$B,0)),""))</f>
        <v/>
      </c>
      <c r="W116" s="2" t="str">
        <f t="shared" si="12"/>
        <v/>
      </c>
      <c r="X116" s="2"/>
      <c r="Y116" s="2"/>
      <c r="Z116" s="2"/>
      <c r="AA116" s="2"/>
      <c r="AB116" s="2"/>
      <c r="AC116" s="2"/>
      <c r="AD116" s="2"/>
      <c r="AE116" s="2"/>
      <c r="AF116" s="2" t="str">
        <f t="shared" si="13"/>
        <v/>
      </c>
      <c r="AG116" s="2" t="str">
        <f t="shared" si="14"/>
        <v/>
      </c>
      <c r="AH116" s="2" t="str">
        <f>IF($AG116="","",IFERROR(VLOOKUP($AG116,DB_Categories_Export!$A:$B,2,FALSE()),"INVALID CATEGORY"))</f>
        <v/>
      </c>
      <c r="AI116" s="2" t="str">
        <f t="shared" si="15"/>
        <v/>
      </c>
      <c r="AJ116" s="2" t="str">
        <f t="shared" si="16"/>
        <v/>
      </c>
      <c r="AK116" s="2" t="str">
        <f t="shared" si="17"/>
        <v/>
      </c>
      <c r="AL116" s="2" t="str">
        <f t="shared" si="18"/>
        <v/>
      </c>
      <c r="AM116" s="2" t="str">
        <f t="shared" si="19"/>
        <v/>
      </c>
      <c r="AN116" s="2"/>
      <c r="AO116" s="2"/>
    </row>
    <row r="117" spans="1:41" ht="12" customHeight="1" x14ac:dyDescent="0.3">
      <c r="A117" s="2"/>
      <c r="B117" s="2" t="str">
        <f t="shared" si="10"/>
        <v/>
      </c>
      <c r="C117" s="2" t="str">
        <f t="shared" si="11"/>
        <v/>
      </c>
      <c r="D117" s="2" t="str">
        <f>IF(DB_Artworks_Export!A117="","",DB_Artworks_Export!A117)</f>
        <v/>
      </c>
      <c r="E117" s="2" t="str">
        <f>IF(DB_Artworks_Export!B117="","",DB_Artworks_Export!B117)</f>
        <v/>
      </c>
      <c r="F117" s="2" t="str">
        <f>IF(DB_Artworks_Export!C117="","",DB_Artworks_Export!C117)</f>
        <v/>
      </c>
      <c r="G117" s="2" t="str">
        <f>IF(DB_Artworks_Export!D117="","",DB_Artworks_Export!D117)</f>
        <v/>
      </c>
      <c r="H117" s="2" t="str">
        <f>IF(DB_Artworks_Export!E117="","",DB_Artworks_Export!E117)</f>
        <v/>
      </c>
      <c r="I117" s="2" t="str">
        <f>IF(DB_Artworks_Export!F117="","",DB_Artworks_Export!F117)</f>
        <v/>
      </c>
      <c r="J117" s="2" t="str">
        <f>IF(DB_Artworks_Export!G117="","",DB_Artworks_Export!G117)</f>
        <v/>
      </c>
      <c r="K117" s="2" t="str">
        <f>IF(DB_Artworks_Export!H117="","",DB_Artworks_Export!H117)</f>
        <v/>
      </c>
      <c r="L117" s="2" t="str">
        <f>IF(DB_Artworks_Export!I117="","",DB_Artworks_Export!I117)</f>
        <v/>
      </c>
      <c r="M117" s="2" t="str">
        <f>IF(DB_Artworks_Export!J117="","",DB_Artworks_Export!J117)</f>
        <v/>
      </c>
      <c r="N117" s="2" t="str">
        <f>IF(DB_Artworks_Export!K117="","",DB_Artworks_Export!K117)</f>
        <v/>
      </c>
      <c r="O117" s="2" t="str">
        <f>IF(DB_Artworks_Export!L117="","",DB_Artworks_Export!L117)</f>
        <v/>
      </c>
      <c r="P117" s="2" t="str">
        <f>IF(DB_Artworks_Export!M117="","",DB_Artworks_Export!M117)</f>
        <v/>
      </c>
      <c r="Q117" s="2" t="str">
        <f>IF(DB_Artworks_Export!N117="","",DB_Artworks_Export!N117)</f>
        <v/>
      </c>
      <c r="R117" s="2" t="str">
        <f>IF($D117="","",IF(COUNTIF(DB_Categories_Export!$A:$A,$F117)&gt;0,"OK","INVALID CATEGORY"))</f>
        <v/>
      </c>
      <c r="S117" s="2" t="str">
        <f>IF($D117="","",COUNTIF(DB_Artwork_Sizes_Export!$B:$B,$D117))</f>
        <v/>
      </c>
      <c r="T117" s="2" t="str">
        <f>IF($D117="","",IFERROR(INDEX(DB_Artwork_Sizes_Export!$D:$D,MATCH($D117,DB_Artwork_Sizes_Export!$B:$B,0)),""))</f>
        <v/>
      </c>
      <c r="U117" s="2" t="str">
        <f>IF($D117="","",IFERROR(INDEX(DB_Artwork_Sizes_Export!$E:$E,MATCH($D117,DB_Artwork_Sizes_Export!$B:$B,0)),""))</f>
        <v/>
      </c>
      <c r="V117" s="2" t="str">
        <f>IF($D117="","",IFERROR(INDEX(DB_Artwork_Sizes_Export!$F:$F,MATCH($D117,DB_Artwork_Sizes_Export!$B:$B,0)),""))</f>
        <v/>
      </c>
      <c r="W117" s="2" t="str">
        <f t="shared" si="12"/>
        <v/>
      </c>
      <c r="X117" s="2"/>
      <c r="Y117" s="2"/>
      <c r="Z117" s="2"/>
      <c r="AA117" s="2"/>
      <c r="AB117" s="2"/>
      <c r="AC117" s="2"/>
      <c r="AD117" s="2"/>
      <c r="AE117" s="2"/>
      <c r="AF117" s="2" t="str">
        <f t="shared" si="13"/>
        <v/>
      </c>
      <c r="AG117" s="2" t="str">
        <f t="shared" si="14"/>
        <v/>
      </c>
      <c r="AH117" s="2" t="str">
        <f>IF($AG117="","",IFERROR(VLOOKUP($AG117,DB_Categories_Export!$A:$B,2,FALSE()),"INVALID CATEGORY"))</f>
        <v/>
      </c>
      <c r="AI117" s="2" t="str">
        <f t="shared" si="15"/>
        <v/>
      </c>
      <c r="AJ117" s="2" t="str">
        <f t="shared" si="16"/>
        <v/>
      </c>
      <c r="AK117" s="2" t="str">
        <f t="shared" si="17"/>
        <v/>
      </c>
      <c r="AL117" s="2" t="str">
        <f t="shared" si="18"/>
        <v/>
      </c>
      <c r="AM117" s="2" t="str">
        <f t="shared" si="19"/>
        <v/>
      </c>
      <c r="AN117" s="2"/>
      <c r="AO117" s="2"/>
    </row>
    <row r="118" spans="1:41" ht="12" customHeight="1" x14ac:dyDescent="0.3">
      <c r="A118" s="2"/>
      <c r="B118" s="2" t="str">
        <f t="shared" si="10"/>
        <v/>
      </c>
      <c r="C118" s="2" t="str">
        <f t="shared" si="11"/>
        <v/>
      </c>
      <c r="D118" s="2" t="str">
        <f>IF(DB_Artworks_Export!A118="","",DB_Artworks_Export!A118)</f>
        <v/>
      </c>
      <c r="E118" s="2" t="str">
        <f>IF(DB_Artworks_Export!B118="","",DB_Artworks_Export!B118)</f>
        <v/>
      </c>
      <c r="F118" s="2" t="str">
        <f>IF(DB_Artworks_Export!C118="","",DB_Artworks_Export!C118)</f>
        <v/>
      </c>
      <c r="G118" s="2" t="str">
        <f>IF(DB_Artworks_Export!D118="","",DB_Artworks_Export!D118)</f>
        <v/>
      </c>
      <c r="H118" s="2" t="str">
        <f>IF(DB_Artworks_Export!E118="","",DB_Artworks_Export!E118)</f>
        <v/>
      </c>
      <c r="I118" s="2" t="str">
        <f>IF(DB_Artworks_Export!F118="","",DB_Artworks_Export!F118)</f>
        <v/>
      </c>
      <c r="J118" s="2" t="str">
        <f>IF(DB_Artworks_Export!G118="","",DB_Artworks_Export!G118)</f>
        <v/>
      </c>
      <c r="K118" s="2" t="str">
        <f>IF(DB_Artworks_Export!H118="","",DB_Artworks_Export!H118)</f>
        <v/>
      </c>
      <c r="L118" s="2" t="str">
        <f>IF(DB_Artworks_Export!I118="","",DB_Artworks_Export!I118)</f>
        <v/>
      </c>
      <c r="M118" s="2" t="str">
        <f>IF(DB_Artworks_Export!J118="","",DB_Artworks_Export!J118)</f>
        <v/>
      </c>
      <c r="N118" s="2" t="str">
        <f>IF(DB_Artworks_Export!K118="","",DB_Artworks_Export!K118)</f>
        <v/>
      </c>
      <c r="O118" s="2" t="str">
        <f>IF(DB_Artworks_Export!L118="","",DB_Artworks_Export!L118)</f>
        <v/>
      </c>
      <c r="P118" s="2" t="str">
        <f>IF(DB_Artworks_Export!M118="","",DB_Artworks_Export!M118)</f>
        <v/>
      </c>
      <c r="Q118" s="2" t="str">
        <f>IF(DB_Artworks_Export!N118="","",DB_Artworks_Export!N118)</f>
        <v/>
      </c>
      <c r="R118" s="2" t="str">
        <f>IF($D118="","",IF(COUNTIF(DB_Categories_Export!$A:$A,$F118)&gt;0,"OK","INVALID CATEGORY"))</f>
        <v/>
      </c>
      <c r="S118" s="2" t="str">
        <f>IF($D118="","",COUNTIF(DB_Artwork_Sizes_Export!$B:$B,$D118))</f>
        <v/>
      </c>
      <c r="T118" s="2" t="str">
        <f>IF($D118="","",IFERROR(INDEX(DB_Artwork_Sizes_Export!$D:$D,MATCH($D118,DB_Artwork_Sizes_Export!$B:$B,0)),""))</f>
        <v/>
      </c>
      <c r="U118" s="2" t="str">
        <f>IF($D118="","",IFERROR(INDEX(DB_Artwork_Sizes_Export!$E:$E,MATCH($D118,DB_Artwork_Sizes_Export!$B:$B,0)),""))</f>
        <v/>
      </c>
      <c r="V118" s="2" t="str">
        <f>IF($D118="","",IFERROR(INDEX(DB_Artwork_Sizes_Export!$F:$F,MATCH($D118,DB_Artwork_Sizes_Export!$B:$B,0)),""))</f>
        <v/>
      </c>
      <c r="W118" s="2" t="str">
        <f t="shared" si="12"/>
        <v/>
      </c>
      <c r="X118" s="2"/>
      <c r="Y118" s="2"/>
      <c r="Z118" s="2"/>
      <c r="AA118" s="2"/>
      <c r="AB118" s="2"/>
      <c r="AC118" s="2"/>
      <c r="AD118" s="2"/>
      <c r="AE118" s="2"/>
      <c r="AF118" s="2" t="str">
        <f t="shared" si="13"/>
        <v/>
      </c>
      <c r="AG118" s="2" t="str">
        <f t="shared" si="14"/>
        <v/>
      </c>
      <c r="AH118" s="2" t="str">
        <f>IF($AG118="","",IFERROR(VLOOKUP($AG118,DB_Categories_Export!$A:$B,2,FALSE()),"INVALID CATEGORY"))</f>
        <v/>
      </c>
      <c r="AI118" s="2" t="str">
        <f t="shared" si="15"/>
        <v/>
      </c>
      <c r="AJ118" s="2" t="str">
        <f t="shared" si="16"/>
        <v/>
      </c>
      <c r="AK118" s="2" t="str">
        <f t="shared" si="17"/>
        <v/>
      </c>
      <c r="AL118" s="2" t="str">
        <f t="shared" si="18"/>
        <v/>
      </c>
      <c r="AM118" s="2" t="str">
        <f t="shared" si="19"/>
        <v/>
      </c>
      <c r="AN118" s="2"/>
      <c r="AO118" s="2"/>
    </row>
    <row r="119" spans="1:41" ht="12" customHeight="1" x14ac:dyDescent="0.3">
      <c r="A119" s="2"/>
      <c r="B119" s="2" t="str">
        <f t="shared" si="10"/>
        <v/>
      </c>
      <c r="C119" s="2" t="str">
        <f t="shared" si="11"/>
        <v/>
      </c>
      <c r="D119" s="2" t="str">
        <f>IF(DB_Artworks_Export!A119="","",DB_Artworks_Export!A119)</f>
        <v/>
      </c>
      <c r="E119" s="2" t="str">
        <f>IF(DB_Artworks_Export!B119="","",DB_Artworks_Export!B119)</f>
        <v/>
      </c>
      <c r="F119" s="2" t="str">
        <f>IF(DB_Artworks_Export!C119="","",DB_Artworks_Export!C119)</f>
        <v/>
      </c>
      <c r="G119" s="2" t="str">
        <f>IF(DB_Artworks_Export!D119="","",DB_Artworks_Export!D119)</f>
        <v/>
      </c>
      <c r="H119" s="2" t="str">
        <f>IF(DB_Artworks_Export!E119="","",DB_Artworks_Export!E119)</f>
        <v/>
      </c>
      <c r="I119" s="2" t="str">
        <f>IF(DB_Artworks_Export!F119="","",DB_Artworks_Export!F119)</f>
        <v/>
      </c>
      <c r="J119" s="2" t="str">
        <f>IF(DB_Artworks_Export!G119="","",DB_Artworks_Export!G119)</f>
        <v/>
      </c>
      <c r="K119" s="2" t="str">
        <f>IF(DB_Artworks_Export!H119="","",DB_Artworks_Export!H119)</f>
        <v/>
      </c>
      <c r="L119" s="2" t="str">
        <f>IF(DB_Artworks_Export!I119="","",DB_Artworks_Export!I119)</f>
        <v/>
      </c>
      <c r="M119" s="2" t="str">
        <f>IF(DB_Artworks_Export!J119="","",DB_Artworks_Export!J119)</f>
        <v/>
      </c>
      <c r="N119" s="2" t="str">
        <f>IF(DB_Artworks_Export!K119="","",DB_Artworks_Export!K119)</f>
        <v/>
      </c>
      <c r="O119" s="2" t="str">
        <f>IF(DB_Artworks_Export!L119="","",DB_Artworks_Export!L119)</f>
        <v/>
      </c>
      <c r="P119" s="2" t="str">
        <f>IF(DB_Artworks_Export!M119="","",DB_Artworks_Export!M119)</f>
        <v/>
      </c>
      <c r="Q119" s="2" t="str">
        <f>IF(DB_Artworks_Export!N119="","",DB_Artworks_Export!N119)</f>
        <v/>
      </c>
      <c r="R119" s="2" t="str">
        <f>IF($D119="","",IF(COUNTIF(DB_Categories_Export!$A:$A,$F119)&gt;0,"OK","INVALID CATEGORY"))</f>
        <v/>
      </c>
      <c r="S119" s="2" t="str">
        <f>IF($D119="","",COUNTIF(DB_Artwork_Sizes_Export!$B:$B,$D119))</f>
        <v/>
      </c>
      <c r="T119" s="2" t="str">
        <f>IF($D119="","",IFERROR(INDEX(DB_Artwork_Sizes_Export!$D:$D,MATCH($D119,DB_Artwork_Sizes_Export!$B:$B,0)),""))</f>
        <v/>
      </c>
      <c r="U119" s="2" t="str">
        <f>IF($D119="","",IFERROR(INDEX(DB_Artwork_Sizes_Export!$E:$E,MATCH($D119,DB_Artwork_Sizes_Export!$B:$B,0)),""))</f>
        <v/>
      </c>
      <c r="V119" s="2" t="str">
        <f>IF($D119="","",IFERROR(INDEX(DB_Artwork_Sizes_Export!$F:$F,MATCH($D119,DB_Artwork_Sizes_Export!$B:$B,0)),""))</f>
        <v/>
      </c>
      <c r="W119" s="2" t="str">
        <f t="shared" si="12"/>
        <v/>
      </c>
      <c r="X119" s="2"/>
      <c r="Y119" s="2"/>
      <c r="Z119" s="2"/>
      <c r="AA119" s="2"/>
      <c r="AB119" s="2"/>
      <c r="AC119" s="2"/>
      <c r="AD119" s="2"/>
      <c r="AE119" s="2"/>
      <c r="AF119" s="2" t="str">
        <f t="shared" si="13"/>
        <v/>
      </c>
      <c r="AG119" s="2" t="str">
        <f t="shared" si="14"/>
        <v/>
      </c>
      <c r="AH119" s="2" t="str">
        <f>IF($AG119="","",IFERROR(VLOOKUP($AG119,DB_Categories_Export!$A:$B,2,FALSE()),"INVALID CATEGORY"))</f>
        <v/>
      </c>
      <c r="AI119" s="2" t="str">
        <f t="shared" si="15"/>
        <v/>
      </c>
      <c r="AJ119" s="2" t="str">
        <f t="shared" si="16"/>
        <v/>
      </c>
      <c r="AK119" s="2" t="str">
        <f t="shared" si="17"/>
        <v/>
      </c>
      <c r="AL119" s="2" t="str">
        <f t="shared" si="18"/>
        <v/>
      </c>
      <c r="AM119" s="2" t="str">
        <f t="shared" si="19"/>
        <v/>
      </c>
      <c r="AN119" s="2"/>
      <c r="AO119" s="2"/>
    </row>
    <row r="120" spans="1:41" ht="12" customHeight="1" x14ac:dyDescent="0.3">
      <c r="A120" s="2"/>
      <c r="B120" s="2" t="str">
        <f t="shared" si="10"/>
        <v/>
      </c>
      <c r="C120" s="2" t="str">
        <f t="shared" si="11"/>
        <v/>
      </c>
      <c r="D120" s="2" t="str">
        <f>IF(DB_Artworks_Export!A120="","",DB_Artworks_Export!A120)</f>
        <v/>
      </c>
      <c r="E120" s="2" t="str">
        <f>IF(DB_Artworks_Export!B120="","",DB_Artworks_Export!B120)</f>
        <v/>
      </c>
      <c r="F120" s="2" t="str">
        <f>IF(DB_Artworks_Export!C120="","",DB_Artworks_Export!C120)</f>
        <v/>
      </c>
      <c r="G120" s="2" t="str">
        <f>IF(DB_Artworks_Export!D120="","",DB_Artworks_Export!D120)</f>
        <v/>
      </c>
      <c r="H120" s="2" t="str">
        <f>IF(DB_Artworks_Export!E120="","",DB_Artworks_Export!E120)</f>
        <v/>
      </c>
      <c r="I120" s="2" t="str">
        <f>IF(DB_Artworks_Export!F120="","",DB_Artworks_Export!F120)</f>
        <v/>
      </c>
      <c r="J120" s="2" t="str">
        <f>IF(DB_Artworks_Export!G120="","",DB_Artworks_Export!G120)</f>
        <v/>
      </c>
      <c r="K120" s="2" t="str">
        <f>IF(DB_Artworks_Export!H120="","",DB_Artworks_Export!H120)</f>
        <v/>
      </c>
      <c r="L120" s="2" t="str">
        <f>IF(DB_Artworks_Export!I120="","",DB_Artworks_Export!I120)</f>
        <v/>
      </c>
      <c r="M120" s="2" t="str">
        <f>IF(DB_Artworks_Export!J120="","",DB_Artworks_Export!J120)</f>
        <v/>
      </c>
      <c r="N120" s="2" t="str">
        <f>IF(DB_Artworks_Export!K120="","",DB_Artworks_Export!K120)</f>
        <v/>
      </c>
      <c r="O120" s="2" t="str">
        <f>IF(DB_Artworks_Export!L120="","",DB_Artworks_Export!L120)</f>
        <v/>
      </c>
      <c r="P120" s="2" t="str">
        <f>IF(DB_Artworks_Export!M120="","",DB_Artworks_Export!M120)</f>
        <v/>
      </c>
      <c r="Q120" s="2" t="str">
        <f>IF(DB_Artworks_Export!N120="","",DB_Artworks_Export!N120)</f>
        <v/>
      </c>
      <c r="R120" s="2" t="str">
        <f>IF($D120="","",IF(COUNTIF(DB_Categories_Export!$A:$A,$F120)&gt;0,"OK","INVALID CATEGORY"))</f>
        <v/>
      </c>
      <c r="S120" s="2" t="str">
        <f>IF($D120="","",COUNTIF(DB_Artwork_Sizes_Export!$B:$B,$D120))</f>
        <v/>
      </c>
      <c r="T120" s="2" t="str">
        <f>IF($D120="","",IFERROR(INDEX(DB_Artwork_Sizes_Export!$D:$D,MATCH($D120,DB_Artwork_Sizes_Export!$B:$B,0)),""))</f>
        <v/>
      </c>
      <c r="U120" s="2" t="str">
        <f>IF($D120="","",IFERROR(INDEX(DB_Artwork_Sizes_Export!$E:$E,MATCH($D120,DB_Artwork_Sizes_Export!$B:$B,0)),""))</f>
        <v/>
      </c>
      <c r="V120" s="2" t="str">
        <f>IF($D120="","",IFERROR(INDEX(DB_Artwork_Sizes_Export!$F:$F,MATCH($D120,DB_Artwork_Sizes_Export!$B:$B,0)),""))</f>
        <v/>
      </c>
      <c r="W120" s="2" t="str">
        <f t="shared" si="12"/>
        <v/>
      </c>
      <c r="X120" s="2"/>
      <c r="Y120" s="2"/>
      <c r="Z120" s="2"/>
      <c r="AA120" s="2"/>
      <c r="AB120" s="2"/>
      <c r="AC120" s="2"/>
      <c r="AD120" s="2"/>
      <c r="AE120" s="2"/>
      <c r="AF120" s="2" t="str">
        <f t="shared" si="13"/>
        <v/>
      </c>
      <c r="AG120" s="2" t="str">
        <f t="shared" si="14"/>
        <v/>
      </c>
      <c r="AH120" s="2" t="str">
        <f>IF($AG120="","",IFERROR(VLOOKUP($AG120,DB_Categories_Export!$A:$B,2,FALSE()),"INVALID CATEGORY"))</f>
        <v/>
      </c>
      <c r="AI120" s="2" t="str">
        <f t="shared" si="15"/>
        <v/>
      </c>
      <c r="AJ120" s="2" t="str">
        <f t="shared" si="16"/>
        <v/>
      </c>
      <c r="AK120" s="2" t="str">
        <f t="shared" si="17"/>
        <v/>
      </c>
      <c r="AL120" s="2" t="str">
        <f t="shared" si="18"/>
        <v/>
      </c>
      <c r="AM120" s="2" t="str">
        <f t="shared" si="19"/>
        <v/>
      </c>
      <c r="AN120" s="2"/>
      <c r="AO120" s="2"/>
    </row>
    <row r="121" spans="1:41" ht="12" customHeight="1" x14ac:dyDescent="0.3">
      <c r="A121" s="2"/>
      <c r="B121" s="2" t="str">
        <f t="shared" si="10"/>
        <v/>
      </c>
      <c r="C121" s="2" t="str">
        <f t="shared" si="11"/>
        <v/>
      </c>
      <c r="D121" s="2" t="str">
        <f>IF(DB_Artworks_Export!A121="","",DB_Artworks_Export!A121)</f>
        <v/>
      </c>
      <c r="E121" s="2" t="str">
        <f>IF(DB_Artworks_Export!B121="","",DB_Artworks_Export!B121)</f>
        <v/>
      </c>
      <c r="F121" s="2" t="str">
        <f>IF(DB_Artworks_Export!C121="","",DB_Artworks_Export!C121)</f>
        <v/>
      </c>
      <c r="G121" s="2" t="str">
        <f>IF(DB_Artworks_Export!D121="","",DB_Artworks_Export!D121)</f>
        <v/>
      </c>
      <c r="H121" s="2" t="str">
        <f>IF(DB_Artworks_Export!E121="","",DB_Artworks_Export!E121)</f>
        <v/>
      </c>
      <c r="I121" s="2" t="str">
        <f>IF(DB_Artworks_Export!F121="","",DB_Artworks_Export!F121)</f>
        <v/>
      </c>
      <c r="J121" s="2" t="str">
        <f>IF(DB_Artworks_Export!G121="","",DB_Artworks_Export!G121)</f>
        <v/>
      </c>
      <c r="K121" s="2" t="str">
        <f>IF(DB_Artworks_Export!H121="","",DB_Artworks_Export!H121)</f>
        <v/>
      </c>
      <c r="L121" s="2" t="str">
        <f>IF(DB_Artworks_Export!I121="","",DB_Artworks_Export!I121)</f>
        <v/>
      </c>
      <c r="M121" s="2" t="str">
        <f>IF(DB_Artworks_Export!J121="","",DB_Artworks_Export!J121)</f>
        <v/>
      </c>
      <c r="N121" s="2" t="str">
        <f>IF(DB_Artworks_Export!K121="","",DB_Artworks_Export!K121)</f>
        <v/>
      </c>
      <c r="O121" s="2" t="str">
        <f>IF(DB_Artworks_Export!L121="","",DB_Artworks_Export!L121)</f>
        <v/>
      </c>
      <c r="P121" s="2" t="str">
        <f>IF(DB_Artworks_Export!M121="","",DB_Artworks_Export!M121)</f>
        <v/>
      </c>
      <c r="Q121" s="2" t="str">
        <f>IF(DB_Artworks_Export!N121="","",DB_Artworks_Export!N121)</f>
        <v/>
      </c>
      <c r="R121" s="2" t="str">
        <f>IF($D121="","",IF(COUNTIF(DB_Categories_Export!$A:$A,$F121)&gt;0,"OK","INVALID CATEGORY"))</f>
        <v/>
      </c>
      <c r="S121" s="2" t="str">
        <f>IF($D121="","",COUNTIF(DB_Artwork_Sizes_Export!$B:$B,$D121))</f>
        <v/>
      </c>
      <c r="T121" s="2" t="str">
        <f>IF($D121="","",IFERROR(INDEX(DB_Artwork_Sizes_Export!$D:$D,MATCH($D121,DB_Artwork_Sizes_Export!$B:$B,0)),""))</f>
        <v/>
      </c>
      <c r="U121" s="2" t="str">
        <f>IF($D121="","",IFERROR(INDEX(DB_Artwork_Sizes_Export!$E:$E,MATCH($D121,DB_Artwork_Sizes_Export!$B:$B,0)),""))</f>
        <v/>
      </c>
      <c r="V121" s="2" t="str">
        <f>IF($D121="","",IFERROR(INDEX(DB_Artwork_Sizes_Export!$F:$F,MATCH($D121,DB_Artwork_Sizes_Export!$B:$B,0)),""))</f>
        <v/>
      </c>
      <c r="W121" s="2" t="str">
        <f t="shared" si="12"/>
        <v/>
      </c>
      <c r="X121" s="2"/>
      <c r="Y121" s="2"/>
      <c r="Z121" s="2"/>
      <c r="AA121" s="2"/>
      <c r="AB121" s="2"/>
      <c r="AC121" s="2"/>
      <c r="AD121" s="2"/>
      <c r="AE121" s="2"/>
      <c r="AF121" s="2" t="str">
        <f t="shared" si="13"/>
        <v/>
      </c>
      <c r="AG121" s="2" t="str">
        <f t="shared" si="14"/>
        <v/>
      </c>
      <c r="AH121" s="2" t="str">
        <f>IF($AG121="","",IFERROR(VLOOKUP($AG121,DB_Categories_Export!$A:$B,2,FALSE()),"INVALID CATEGORY"))</f>
        <v/>
      </c>
      <c r="AI121" s="2" t="str">
        <f t="shared" si="15"/>
        <v/>
      </c>
      <c r="AJ121" s="2" t="str">
        <f t="shared" si="16"/>
        <v/>
      </c>
      <c r="AK121" s="2" t="str">
        <f t="shared" si="17"/>
        <v/>
      </c>
      <c r="AL121" s="2" t="str">
        <f t="shared" si="18"/>
        <v/>
      </c>
      <c r="AM121" s="2" t="str">
        <f t="shared" si="19"/>
        <v/>
      </c>
      <c r="AN121" s="2"/>
      <c r="AO121" s="2"/>
    </row>
    <row r="122" spans="1:41" ht="12" customHeight="1" x14ac:dyDescent="0.3">
      <c r="A122" s="2"/>
      <c r="B122" s="2" t="str">
        <f t="shared" si="10"/>
        <v/>
      </c>
      <c r="C122" s="2" t="str">
        <f t="shared" si="11"/>
        <v/>
      </c>
      <c r="D122" s="2" t="str">
        <f>IF(DB_Artworks_Export!A122="","",DB_Artworks_Export!A122)</f>
        <v/>
      </c>
      <c r="E122" s="2" t="str">
        <f>IF(DB_Artworks_Export!B122="","",DB_Artworks_Export!B122)</f>
        <v/>
      </c>
      <c r="F122" s="2" t="str">
        <f>IF(DB_Artworks_Export!C122="","",DB_Artworks_Export!C122)</f>
        <v/>
      </c>
      <c r="G122" s="2" t="str">
        <f>IF(DB_Artworks_Export!D122="","",DB_Artworks_Export!D122)</f>
        <v/>
      </c>
      <c r="H122" s="2" t="str">
        <f>IF(DB_Artworks_Export!E122="","",DB_Artworks_Export!E122)</f>
        <v/>
      </c>
      <c r="I122" s="2" t="str">
        <f>IF(DB_Artworks_Export!F122="","",DB_Artworks_Export!F122)</f>
        <v/>
      </c>
      <c r="J122" s="2" t="str">
        <f>IF(DB_Artworks_Export!G122="","",DB_Artworks_Export!G122)</f>
        <v/>
      </c>
      <c r="K122" s="2" t="str">
        <f>IF(DB_Artworks_Export!H122="","",DB_Artworks_Export!H122)</f>
        <v/>
      </c>
      <c r="L122" s="2" t="str">
        <f>IF(DB_Artworks_Export!I122="","",DB_Artworks_Export!I122)</f>
        <v/>
      </c>
      <c r="M122" s="2" t="str">
        <f>IF(DB_Artworks_Export!J122="","",DB_Artworks_Export!J122)</f>
        <v/>
      </c>
      <c r="N122" s="2" t="str">
        <f>IF(DB_Artworks_Export!K122="","",DB_Artworks_Export!K122)</f>
        <v/>
      </c>
      <c r="O122" s="2" t="str">
        <f>IF(DB_Artworks_Export!L122="","",DB_Artworks_Export!L122)</f>
        <v/>
      </c>
      <c r="P122" s="2" t="str">
        <f>IF(DB_Artworks_Export!M122="","",DB_Artworks_Export!M122)</f>
        <v/>
      </c>
      <c r="Q122" s="2" t="str">
        <f>IF(DB_Artworks_Export!N122="","",DB_Artworks_Export!N122)</f>
        <v/>
      </c>
      <c r="R122" s="2" t="str">
        <f>IF($D122="","",IF(COUNTIF(DB_Categories_Export!$A:$A,$F122)&gt;0,"OK","INVALID CATEGORY"))</f>
        <v/>
      </c>
      <c r="S122" s="2" t="str">
        <f>IF($D122="","",COUNTIF(DB_Artwork_Sizes_Export!$B:$B,$D122))</f>
        <v/>
      </c>
      <c r="T122" s="2" t="str">
        <f>IF($D122="","",IFERROR(INDEX(DB_Artwork_Sizes_Export!$D:$D,MATCH($D122,DB_Artwork_Sizes_Export!$B:$B,0)),""))</f>
        <v/>
      </c>
      <c r="U122" s="2" t="str">
        <f>IF($D122="","",IFERROR(INDEX(DB_Artwork_Sizes_Export!$E:$E,MATCH($D122,DB_Artwork_Sizes_Export!$B:$B,0)),""))</f>
        <v/>
      </c>
      <c r="V122" s="2" t="str">
        <f>IF($D122="","",IFERROR(INDEX(DB_Artwork_Sizes_Export!$F:$F,MATCH($D122,DB_Artwork_Sizes_Export!$B:$B,0)),""))</f>
        <v/>
      </c>
      <c r="W122" s="2" t="str">
        <f t="shared" si="12"/>
        <v/>
      </c>
      <c r="X122" s="2"/>
      <c r="Y122" s="2"/>
      <c r="Z122" s="2"/>
      <c r="AA122" s="2"/>
      <c r="AB122" s="2"/>
      <c r="AC122" s="2"/>
      <c r="AD122" s="2"/>
      <c r="AE122" s="2"/>
      <c r="AF122" s="2" t="str">
        <f t="shared" si="13"/>
        <v/>
      </c>
      <c r="AG122" s="2" t="str">
        <f t="shared" si="14"/>
        <v/>
      </c>
      <c r="AH122" s="2" t="str">
        <f>IF($AG122="","",IFERROR(VLOOKUP($AG122,DB_Categories_Export!$A:$B,2,FALSE()),"INVALID CATEGORY"))</f>
        <v/>
      </c>
      <c r="AI122" s="2" t="str">
        <f t="shared" si="15"/>
        <v/>
      </c>
      <c r="AJ122" s="2" t="str">
        <f t="shared" si="16"/>
        <v/>
      </c>
      <c r="AK122" s="2" t="str">
        <f t="shared" si="17"/>
        <v/>
      </c>
      <c r="AL122" s="2" t="str">
        <f t="shared" si="18"/>
        <v/>
      </c>
      <c r="AM122" s="2" t="str">
        <f t="shared" si="19"/>
        <v/>
      </c>
      <c r="AN122" s="2"/>
      <c r="AO122" s="2"/>
    </row>
    <row r="123" spans="1:41" ht="12" customHeight="1" x14ac:dyDescent="0.3">
      <c r="A123" s="2"/>
      <c r="B123" s="2" t="str">
        <f t="shared" si="10"/>
        <v/>
      </c>
      <c r="C123" s="2" t="str">
        <f t="shared" si="11"/>
        <v/>
      </c>
      <c r="D123" s="2" t="str">
        <f>IF(DB_Artworks_Export!A123="","",DB_Artworks_Export!A123)</f>
        <v/>
      </c>
      <c r="E123" s="2" t="str">
        <f>IF(DB_Artworks_Export!B123="","",DB_Artworks_Export!B123)</f>
        <v/>
      </c>
      <c r="F123" s="2" t="str">
        <f>IF(DB_Artworks_Export!C123="","",DB_Artworks_Export!C123)</f>
        <v/>
      </c>
      <c r="G123" s="2" t="str">
        <f>IF(DB_Artworks_Export!D123="","",DB_Artworks_Export!D123)</f>
        <v/>
      </c>
      <c r="H123" s="2" t="str">
        <f>IF(DB_Artworks_Export!E123="","",DB_Artworks_Export!E123)</f>
        <v/>
      </c>
      <c r="I123" s="2" t="str">
        <f>IF(DB_Artworks_Export!F123="","",DB_Artworks_Export!F123)</f>
        <v/>
      </c>
      <c r="J123" s="2" t="str">
        <f>IF(DB_Artworks_Export!G123="","",DB_Artworks_Export!G123)</f>
        <v/>
      </c>
      <c r="K123" s="2" t="str">
        <f>IF(DB_Artworks_Export!H123="","",DB_Artworks_Export!H123)</f>
        <v/>
      </c>
      <c r="L123" s="2" t="str">
        <f>IF(DB_Artworks_Export!I123="","",DB_Artworks_Export!I123)</f>
        <v/>
      </c>
      <c r="M123" s="2" t="str">
        <f>IF(DB_Artworks_Export!J123="","",DB_Artworks_Export!J123)</f>
        <v/>
      </c>
      <c r="N123" s="2" t="str">
        <f>IF(DB_Artworks_Export!K123="","",DB_Artworks_Export!K123)</f>
        <v/>
      </c>
      <c r="O123" s="2" t="str">
        <f>IF(DB_Artworks_Export!L123="","",DB_Artworks_Export!L123)</f>
        <v/>
      </c>
      <c r="P123" s="2" t="str">
        <f>IF(DB_Artworks_Export!M123="","",DB_Artworks_Export!M123)</f>
        <v/>
      </c>
      <c r="Q123" s="2" t="str">
        <f>IF(DB_Artworks_Export!N123="","",DB_Artworks_Export!N123)</f>
        <v/>
      </c>
      <c r="R123" s="2" t="str">
        <f>IF($D123="","",IF(COUNTIF(DB_Categories_Export!$A:$A,$F123)&gt;0,"OK","INVALID CATEGORY"))</f>
        <v/>
      </c>
      <c r="S123" s="2" t="str">
        <f>IF($D123="","",COUNTIF(DB_Artwork_Sizes_Export!$B:$B,$D123))</f>
        <v/>
      </c>
      <c r="T123" s="2" t="str">
        <f>IF($D123="","",IFERROR(INDEX(DB_Artwork_Sizes_Export!$D:$D,MATCH($D123,DB_Artwork_Sizes_Export!$B:$B,0)),""))</f>
        <v/>
      </c>
      <c r="U123" s="2" t="str">
        <f>IF($D123="","",IFERROR(INDEX(DB_Artwork_Sizes_Export!$E:$E,MATCH($D123,DB_Artwork_Sizes_Export!$B:$B,0)),""))</f>
        <v/>
      </c>
      <c r="V123" s="2" t="str">
        <f>IF($D123="","",IFERROR(INDEX(DB_Artwork_Sizes_Export!$F:$F,MATCH($D123,DB_Artwork_Sizes_Export!$B:$B,0)),""))</f>
        <v/>
      </c>
      <c r="W123" s="2" t="str">
        <f t="shared" si="12"/>
        <v/>
      </c>
      <c r="X123" s="2"/>
      <c r="Y123" s="2"/>
      <c r="Z123" s="2"/>
      <c r="AA123" s="2"/>
      <c r="AB123" s="2"/>
      <c r="AC123" s="2"/>
      <c r="AD123" s="2"/>
      <c r="AE123" s="2"/>
      <c r="AF123" s="2" t="str">
        <f t="shared" si="13"/>
        <v/>
      </c>
      <c r="AG123" s="2" t="str">
        <f t="shared" si="14"/>
        <v/>
      </c>
      <c r="AH123" s="2" t="str">
        <f>IF($AG123="","",IFERROR(VLOOKUP($AG123,DB_Categories_Export!$A:$B,2,FALSE()),"INVALID CATEGORY"))</f>
        <v/>
      </c>
      <c r="AI123" s="2" t="str">
        <f t="shared" si="15"/>
        <v/>
      </c>
      <c r="AJ123" s="2" t="str">
        <f t="shared" si="16"/>
        <v/>
      </c>
      <c r="AK123" s="2" t="str">
        <f t="shared" si="17"/>
        <v/>
      </c>
      <c r="AL123" s="2" t="str">
        <f t="shared" si="18"/>
        <v/>
      </c>
      <c r="AM123" s="2" t="str">
        <f t="shared" si="19"/>
        <v/>
      </c>
      <c r="AN123" s="2"/>
      <c r="AO123" s="2"/>
    </row>
    <row r="124" spans="1:41" ht="12" customHeight="1" x14ac:dyDescent="0.3">
      <c r="A124" s="2"/>
      <c r="B124" s="2" t="str">
        <f t="shared" si="10"/>
        <v/>
      </c>
      <c r="C124" s="2" t="str">
        <f t="shared" si="11"/>
        <v/>
      </c>
      <c r="D124" s="2" t="str">
        <f>IF(DB_Artworks_Export!A124="","",DB_Artworks_Export!A124)</f>
        <v/>
      </c>
      <c r="E124" s="2" t="str">
        <f>IF(DB_Artworks_Export!B124="","",DB_Artworks_Export!B124)</f>
        <v/>
      </c>
      <c r="F124" s="2" t="str">
        <f>IF(DB_Artworks_Export!C124="","",DB_Artworks_Export!C124)</f>
        <v/>
      </c>
      <c r="G124" s="2" t="str">
        <f>IF(DB_Artworks_Export!D124="","",DB_Artworks_Export!D124)</f>
        <v/>
      </c>
      <c r="H124" s="2" t="str">
        <f>IF(DB_Artworks_Export!E124="","",DB_Artworks_Export!E124)</f>
        <v/>
      </c>
      <c r="I124" s="2" t="str">
        <f>IF(DB_Artworks_Export!F124="","",DB_Artworks_Export!F124)</f>
        <v/>
      </c>
      <c r="J124" s="2" t="str">
        <f>IF(DB_Artworks_Export!G124="","",DB_Artworks_Export!G124)</f>
        <v/>
      </c>
      <c r="K124" s="2" t="str">
        <f>IF(DB_Artworks_Export!H124="","",DB_Artworks_Export!H124)</f>
        <v/>
      </c>
      <c r="L124" s="2" t="str">
        <f>IF(DB_Artworks_Export!I124="","",DB_Artworks_Export!I124)</f>
        <v/>
      </c>
      <c r="M124" s="2" t="str">
        <f>IF(DB_Artworks_Export!J124="","",DB_Artworks_Export!J124)</f>
        <v/>
      </c>
      <c r="N124" s="2" t="str">
        <f>IF(DB_Artworks_Export!K124="","",DB_Artworks_Export!K124)</f>
        <v/>
      </c>
      <c r="O124" s="2" t="str">
        <f>IF(DB_Artworks_Export!L124="","",DB_Artworks_Export!L124)</f>
        <v/>
      </c>
      <c r="P124" s="2" t="str">
        <f>IF(DB_Artworks_Export!M124="","",DB_Artworks_Export!M124)</f>
        <v/>
      </c>
      <c r="Q124" s="2" t="str">
        <f>IF(DB_Artworks_Export!N124="","",DB_Artworks_Export!N124)</f>
        <v/>
      </c>
      <c r="R124" s="2" t="str">
        <f>IF($D124="","",IF(COUNTIF(DB_Categories_Export!$A:$A,$F124)&gt;0,"OK","INVALID CATEGORY"))</f>
        <v/>
      </c>
      <c r="S124" s="2" t="str">
        <f>IF($D124="","",COUNTIF(DB_Artwork_Sizes_Export!$B:$B,$D124))</f>
        <v/>
      </c>
      <c r="T124" s="2" t="str">
        <f>IF($D124="","",IFERROR(INDEX(DB_Artwork_Sizes_Export!$D:$D,MATCH($D124,DB_Artwork_Sizes_Export!$B:$B,0)),""))</f>
        <v/>
      </c>
      <c r="U124" s="2" t="str">
        <f>IF($D124="","",IFERROR(INDEX(DB_Artwork_Sizes_Export!$E:$E,MATCH($D124,DB_Artwork_Sizes_Export!$B:$B,0)),""))</f>
        <v/>
      </c>
      <c r="V124" s="2" t="str">
        <f>IF($D124="","",IFERROR(INDEX(DB_Artwork_Sizes_Export!$F:$F,MATCH($D124,DB_Artwork_Sizes_Export!$B:$B,0)),""))</f>
        <v/>
      </c>
      <c r="W124" s="2" t="str">
        <f t="shared" si="12"/>
        <v/>
      </c>
      <c r="X124" s="2"/>
      <c r="Y124" s="2"/>
      <c r="Z124" s="2"/>
      <c r="AA124" s="2"/>
      <c r="AB124" s="2"/>
      <c r="AC124" s="2"/>
      <c r="AD124" s="2"/>
      <c r="AE124" s="2"/>
      <c r="AF124" s="2" t="str">
        <f t="shared" si="13"/>
        <v/>
      </c>
      <c r="AG124" s="2" t="str">
        <f t="shared" si="14"/>
        <v/>
      </c>
      <c r="AH124" s="2" t="str">
        <f>IF($AG124="","",IFERROR(VLOOKUP($AG124,DB_Categories_Export!$A:$B,2,FALSE()),"INVALID CATEGORY"))</f>
        <v/>
      </c>
      <c r="AI124" s="2" t="str">
        <f t="shared" si="15"/>
        <v/>
      </c>
      <c r="AJ124" s="2" t="str">
        <f t="shared" si="16"/>
        <v/>
      </c>
      <c r="AK124" s="2" t="str">
        <f t="shared" si="17"/>
        <v/>
      </c>
      <c r="AL124" s="2" t="str">
        <f t="shared" si="18"/>
        <v/>
      </c>
      <c r="AM124" s="2" t="str">
        <f t="shared" si="19"/>
        <v/>
      </c>
      <c r="AN124" s="2"/>
      <c r="AO124" s="2"/>
    </row>
    <row r="125" spans="1:41" ht="12" customHeight="1" x14ac:dyDescent="0.3">
      <c r="A125" s="2"/>
      <c r="B125" s="2" t="str">
        <f t="shared" si="10"/>
        <v/>
      </c>
      <c r="C125" s="2" t="str">
        <f t="shared" si="11"/>
        <v/>
      </c>
      <c r="D125" s="2" t="str">
        <f>IF(DB_Artworks_Export!A125="","",DB_Artworks_Export!A125)</f>
        <v/>
      </c>
      <c r="E125" s="2" t="str">
        <f>IF(DB_Artworks_Export!B125="","",DB_Artworks_Export!B125)</f>
        <v/>
      </c>
      <c r="F125" s="2" t="str">
        <f>IF(DB_Artworks_Export!C125="","",DB_Artworks_Export!C125)</f>
        <v/>
      </c>
      <c r="G125" s="2" t="str">
        <f>IF(DB_Artworks_Export!D125="","",DB_Artworks_Export!D125)</f>
        <v/>
      </c>
      <c r="H125" s="2" t="str">
        <f>IF(DB_Artworks_Export!E125="","",DB_Artworks_Export!E125)</f>
        <v/>
      </c>
      <c r="I125" s="2" t="str">
        <f>IF(DB_Artworks_Export!F125="","",DB_Artworks_Export!F125)</f>
        <v/>
      </c>
      <c r="J125" s="2" t="str">
        <f>IF(DB_Artworks_Export!G125="","",DB_Artworks_Export!G125)</f>
        <v/>
      </c>
      <c r="K125" s="2" t="str">
        <f>IF(DB_Artworks_Export!H125="","",DB_Artworks_Export!H125)</f>
        <v/>
      </c>
      <c r="L125" s="2" t="str">
        <f>IF(DB_Artworks_Export!I125="","",DB_Artworks_Export!I125)</f>
        <v/>
      </c>
      <c r="M125" s="2" t="str">
        <f>IF(DB_Artworks_Export!J125="","",DB_Artworks_Export!J125)</f>
        <v/>
      </c>
      <c r="N125" s="2" t="str">
        <f>IF(DB_Artworks_Export!K125="","",DB_Artworks_Export!K125)</f>
        <v/>
      </c>
      <c r="O125" s="2" t="str">
        <f>IF(DB_Artworks_Export!L125="","",DB_Artworks_Export!L125)</f>
        <v/>
      </c>
      <c r="P125" s="2" t="str">
        <f>IF(DB_Artworks_Export!M125="","",DB_Artworks_Export!M125)</f>
        <v/>
      </c>
      <c r="Q125" s="2" t="str">
        <f>IF(DB_Artworks_Export!N125="","",DB_Artworks_Export!N125)</f>
        <v/>
      </c>
      <c r="R125" s="2" t="str">
        <f>IF($D125="","",IF(COUNTIF(DB_Categories_Export!$A:$A,$F125)&gt;0,"OK","INVALID CATEGORY"))</f>
        <v/>
      </c>
      <c r="S125" s="2" t="str">
        <f>IF($D125="","",COUNTIF(DB_Artwork_Sizes_Export!$B:$B,$D125))</f>
        <v/>
      </c>
      <c r="T125" s="2" t="str">
        <f>IF($D125="","",IFERROR(INDEX(DB_Artwork_Sizes_Export!$D:$D,MATCH($D125,DB_Artwork_Sizes_Export!$B:$B,0)),""))</f>
        <v/>
      </c>
      <c r="U125" s="2" t="str">
        <f>IF($D125="","",IFERROR(INDEX(DB_Artwork_Sizes_Export!$E:$E,MATCH($D125,DB_Artwork_Sizes_Export!$B:$B,0)),""))</f>
        <v/>
      </c>
      <c r="V125" s="2" t="str">
        <f>IF($D125="","",IFERROR(INDEX(DB_Artwork_Sizes_Export!$F:$F,MATCH($D125,DB_Artwork_Sizes_Export!$B:$B,0)),""))</f>
        <v/>
      </c>
      <c r="W125" s="2" t="str">
        <f t="shared" si="12"/>
        <v/>
      </c>
      <c r="X125" s="2"/>
      <c r="Y125" s="2"/>
      <c r="Z125" s="2"/>
      <c r="AA125" s="2"/>
      <c r="AB125" s="2"/>
      <c r="AC125" s="2"/>
      <c r="AD125" s="2"/>
      <c r="AE125" s="2"/>
      <c r="AF125" s="2" t="str">
        <f t="shared" si="13"/>
        <v/>
      </c>
      <c r="AG125" s="2" t="str">
        <f t="shared" si="14"/>
        <v/>
      </c>
      <c r="AH125" s="2" t="str">
        <f>IF($AG125="","",IFERROR(VLOOKUP($AG125,DB_Categories_Export!$A:$B,2,FALSE()),"INVALID CATEGORY"))</f>
        <v/>
      </c>
      <c r="AI125" s="2" t="str">
        <f t="shared" si="15"/>
        <v/>
      </c>
      <c r="AJ125" s="2" t="str">
        <f t="shared" si="16"/>
        <v/>
      </c>
      <c r="AK125" s="2" t="str">
        <f t="shared" si="17"/>
        <v/>
      </c>
      <c r="AL125" s="2" t="str">
        <f t="shared" si="18"/>
        <v/>
      </c>
      <c r="AM125" s="2" t="str">
        <f t="shared" si="19"/>
        <v/>
      </c>
      <c r="AN125" s="2"/>
      <c r="AO125" s="2"/>
    </row>
    <row r="126" spans="1:41" ht="12" customHeight="1" x14ac:dyDescent="0.3">
      <c r="A126" s="2"/>
      <c r="B126" s="2" t="str">
        <f t="shared" si="10"/>
        <v/>
      </c>
      <c r="C126" s="2" t="str">
        <f t="shared" si="11"/>
        <v/>
      </c>
      <c r="D126" s="2" t="str">
        <f>IF(DB_Artworks_Export!A126="","",DB_Artworks_Export!A126)</f>
        <v/>
      </c>
      <c r="E126" s="2" t="str">
        <f>IF(DB_Artworks_Export!B126="","",DB_Artworks_Export!B126)</f>
        <v/>
      </c>
      <c r="F126" s="2" t="str">
        <f>IF(DB_Artworks_Export!C126="","",DB_Artworks_Export!C126)</f>
        <v/>
      </c>
      <c r="G126" s="2" t="str">
        <f>IF(DB_Artworks_Export!D126="","",DB_Artworks_Export!D126)</f>
        <v/>
      </c>
      <c r="H126" s="2" t="str">
        <f>IF(DB_Artworks_Export!E126="","",DB_Artworks_Export!E126)</f>
        <v/>
      </c>
      <c r="I126" s="2" t="str">
        <f>IF(DB_Artworks_Export!F126="","",DB_Artworks_Export!F126)</f>
        <v/>
      </c>
      <c r="J126" s="2" t="str">
        <f>IF(DB_Artworks_Export!G126="","",DB_Artworks_Export!G126)</f>
        <v/>
      </c>
      <c r="K126" s="2" t="str">
        <f>IF(DB_Artworks_Export!H126="","",DB_Artworks_Export!H126)</f>
        <v/>
      </c>
      <c r="L126" s="2" t="str">
        <f>IF(DB_Artworks_Export!I126="","",DB_Artworks_Export!I126)</f>
        <v/>
      </c>
      <c r="M126" s="2" t="str">
        <f>IF(DB_Artworks_Export!J126="","",DB_Artworks_Export!J126)</f>
        <v/>
      </c>
      <c r="N126" s="2" t="str">
        <f>IF(DB_Artworks_Export!K126="","",DB_Artworks_Export!K126)</f>
        <v/>
      </c>
      <c r="O126" s="2" t="str">
        <f>IF(DB_Artworks_Export!L126="","",DB_Artworks_Export!L126)</f>
        <v/>
      </c>
      <c r="P126" s="2" t="str">
        <f>IF(DB_Artworks_Export!M126="","",DB_Artworks_Export!M126)</f>
        <v/>
      </c>
      <c r="Q126" s="2" t="str">
        <f>IF(DB_Artworks_Export!N126="","",DB_Artworks_Export!N126)</f>
        <v/>
      </c>
      <c r="R126" s="2" t="str">
        <f>IF($D126="","",IF(COUNTIF(DB_Categories_Export!$A:$A,$F126)&gt;0,"OK","INVALID CATEGORY"))</f>
        <v/>
      </c>
      <c r="S126" s="2" t="str">
        <f>IF($D126="","",COUNTIF(DB_Artwork_Sizes_Export!$B:$B,$D126))</f>
        <v/>
      </c>
      <c r="T126" s="2" t="str">
        <f>IF($D126="","",IFERROR(INDEX(DB_Artwork_Sizes_Export!$D:$D,MATCH($D126,DB_Artwork_Sizes_Export!$B:$B,0)),""))</f>
        <v/>
      </c>
      <c r="U126" s="2" t="str">
        <f>IF($D126="","",IFERROR(INDEX(DB_Artwork_Sizes_Export!$E:$E,MATCH($D126,DB_Artwork_Sizes_Export!$B:$B,0)),""))</f>
        <v/>
      </c>
      <c r="V126" s="2" t="str">
        <f>IF($D126="","",IFERROR(INDEX(DB_Artwork_Sizes_Export!$F:$F,MATCH($D126,DB_Artwork_Sizes_Export!$B:$B,0)),""))</f>
        <v/>
      </c>
      <c r="W126" s="2" t="str">
        <f t="shared" si="12"/>
        <v/>
      </c>
      <c r="X126" s="2"/>
      <c r="Y126" s="2"/>
      <c r="Z126" s="2"/>
      <c r="AA126" s="2"/>
      <c r="AB126" s="2"/>
      <c r="AC126" s="2"/>
      <c r="AD126" s="2"/>
      <c r="AE126" s="2"/>
      <c r="AF126" s="2" t="str">
        <f t="shared" si="13"/>
        <v/>
      </c>
      <c r="AG126" s="2" t="str">
        <f t="shared" si="14"/>
        <v/>
      </c>
      <c r="AH126" s="2" t="str">
        <f>IF($AG126="","",IFERROR(VLOOKUP($AG126,DB_Categories_Export!$A:$B,2,FALSE()),"INVALID CATEGORY"))</f>
        <v/>
      </c>
      <c r="AI126" s="2" t="str">
        <f t="shared" si="15"/>
        <v/>
      </c>
      <c r="AJ126" s="2" t="str">
        <f t="shared" si="16"/>
        <v/>
      </c>
      <c r="AK126" s="2" t="str">
        <f t="shared" si="17"/>
        <v/>
      </c>
      <c r="AL126" s="2" t="str">
        <f t="shared" si="18"/>
        <v/>
      </c>
      <c r="AM126" s="2" t="str">
        <f t="shared" si="19"/>
        <v/>
      </c>
      <c r="AN126" s="2"/>
      <c r="AO126" s="2"/>
    </row>
    <row r="127" spans="1:41" ht="12" customHeight="1" x14ac:dyDescent="0.3">
      <c r="A127" s="2"/>
      <c r="B127" s="2" t="str">
        <f t="shared" si="10"/>
        <v/>
      </c>
      <c r="C127" s="2" t="str">
        <f t="shared" si="11"/>
        <v/>
      </c>
      <c r="D127" s="2" t="str">
        <f>IF(DB_Artworks_Export!A127="","",DB_Artworks_Export!A127)</f>
        <v/>
      </c>
      <c r="E127" s="2" t="str">
        <f>IF(DB_Artworks_Export!B127="","",DB_Artworks_Export!B127)</f>
        <v/>
      </c>
      <c r="F127" s="2" t="str">
        <f>IF(DB_Artworks_Export!C127="","",DB_Artworks_Export!C127)</f>
        <v/>
      </c>
      <c r="G127" s="2" t="str">
        <f>IF(DB_Artworks_Export!D127="","",DB_Artworks_Export!D127)</f>
        <v/>
      </c>
      <c r="H127" s="2" t="str">
        <f>IF(DB_Artworks_Export!E127="","",DB_Artworks_Export!E127)</f>
        <v/>
      </c>
      <c r="I127" s="2" t="str">
        <f>IF(DB_Artworks_Export!F127="","",DB_Artworks_Export!F127)</f>
        <v/>
      </c>
      <c r="J127" s="2" t="str">
        <f>IF(DB_Artworks_Export!G127="","",DB_Artworks_Export!G127)</f>
        <v/>
      </c>
      <c r="K127" s="2" t="str">
        <f>IF(DB_Artworks_Export!H127="","",DB_Artworks_Export!H127)</f>
        <v/>
      </c>
      <c r="L127" s="2" t="str">
        <f>IF(DB_Artworks_Export!I127="","",DB_Artworks_Export!I127)</f>
        <v/>
      </c>
      <c r="M127" s="2" t="str">
        <f>IF(DB_Artworks_Export!J127="","",DB_Artworks_Export!J127)</f>
        <v/>
      </c>
      <c r="N127" s="2" t="str">
        <f>IF(DB_Artworks_Export!K127="","",DB_Artworks_Export!K127)</f>
        <v/>
      </c>
      <c r="O127" s="2" t="str">
        <f>IF(DB_Artworks_Export!L127="","",DB_Artworks_Export!L127)</f>
        <v/>
      </c>
      <c r="P127" s="2" t="str">
        <f>IF(DB_Artworks_Export!M127="","",DB_Artworks_Export!M127)</f>
        <v/>
      </c>
      <c r="Q127" s="2" t="str">
        <f>IF(DB_Artworks_Export!N127="","",DB_Artworks_Export!N127)</f>
        <v/>
      </c>
      <c r="R127" s="2" t="str">
        <f>IF($D127="","",IF(COUNTIF(DB_Categories_Export!$A:$A,$F127)&gt;0,"OK","INVALID CATEGORY"))</f>
        <v/>
      </c>
      <c r="S127" s="2" t="str">
        <f>IF($D127="","",COUNTIF(DB_Artwork_Sizes_Export!$B:$B,$D127))</f>
        <v/>
      </c>
      <c r="T127" s="2" t="str">
        <f>IF($D127="","",IFERROR(INDEX(DB_Artwork_Sizes_Export!$D:$D,MATCH($D127,DB_Artwork_Sizes_Export!$B:$B,0)),""))</f>
        <v/>
      </c>
      <c r="U127" s="2" t="str">
        <f>IF($D127="","",IFERROR(INDEX(DB_Artwork_Sizes_Export!$E:$E,MATCH($D127,DB_Artwork_Sizes_Export!$B:$B,0)),""))</f>
        <v/>
      </c>
      <c r="V127" s="2" t="str">
        <f>IF($D127="","",IFERROR(INDEX(DB_Artwork_Sizes_Export!$F:$F,MATCH($D127,DB_Artwork_Sizes_Export!$B:$B,0)),""))</f>
        <v/>
      </c>
      <c r="W127" s="2" t="str">
        <f t="shared" si="12"/>
        <v/>
      </c>
      <c r="X127" s="2"/>
      <c r="Y127" s="2"/>
      <c r="Z127" s="2"/>
      <c r="AA127" s="2"/>
      <c r="AB127" s="2"/>
      <c r="AC127" s="2"/>
      <c r="AD127" s="2"/>
      <c r="AE127" s="2"/>
      <c r="AF127" s="2" t="str">
        <f t="shared" si="13"/>
        <v/>
      </c>
      <c r="AG127" s="2" t="str">
        <f t="shared" si="14"/>
        <v/>
      </c>
      <c r="AH127" s="2" t="str">
        <f>IF($AG127="","",IFERROR(VLOOKUP($AG127,DB_Categories_Export!$A:$B,2,FALSE()),"INVALID CATEGORY"))</f>
        <v/>
      </c>
      <c r="AI127" s="2" t="str">
        <f t="shared" si="15"/>
        <v/>
      </c>
      <c r="AJ127" s="2" t="str">
        <f t="shared" si="16"/>
        <v/>
      </c>
      <c r="AK127" s="2" t="str">
        <f t="shared" si="17"/>
        <v/>
      </c>
      <c r="AL127" s="2" t="str">
        <f t="shared" si="18"/>
        <v/>
      </c>
      <c r="AM127" s="2" t="str">
        <f t="shared" si="19"/>
        <v/>
      </c>
      <c r="AN127" s="2"/>
      <c r="AO127" s="2"/>
    </row>
    <row r="128" spans="1:41" ht="12" customHeight="1" x14ac:dyDescent="0.3">
      <c r="A128" s="2"/>
      <c r="B128" s="2" t="str">
        <f t="shared" si="10"/>
        <v/>
      </c>
      <c r="C128" s="2" t="str">
        <f t="shared" si="11"/>
        <v/>
      </c>
      <c r="D128" s="2" t="str">
        <f>IF(DB_Artworks_Export!A128="","",DB_Artworks_Export!A128)</f>
        <v/>
      </c>
      <c r="E128" s="2" t="str">
        <f>IF(DB_Artworks_Export!B128="","",DB_Artworks_Export!B128)</f>
        <v/>
      </c>
      <c r="F128" s="2" t="str">
        <f>IF(DB_Artworks_Export!C128="","",DB_Artworks_Export!C128)</f>
        <v/>
      </c>
      <c r="G128" s="2" t="str">
        <f>IF(DB_Artworks_Export!D128="","",DB_Artworks_Export!D128)</f>
        <v/>
      </c>
      <c r="H128" s="2" t="str">
        <f>IF(DB_Artworks_Export!E128="","",DB_Artworks_Export!E128)</f>
        <v/>
      </c>
      <c r="I128" s="2" t="str">
        <f>IF(DB_Artworks_Export!F128="","",DB_Artworks_Export!F128)</f>
        <v/>
      </c>
      <c r="J128" s="2" t="str">
        <f>IF(DB_Artworks_Export!G128="","",DB_Artworks_Export!G128)</f>
        <v/>
      </c>
      <c r="K128" s="2" t="str">
        <f>IF(DB_Artworks_Export!H128="","",DB_Artworks_Export!H128)</f>
        <v/>
      </c>
      <c r="L128" s="2" t="str">
        <f>IF(DB_Artworks_Export!I128="","",DB_Artworks_Export!I128)</f>
        <v/>
      </c>
      <c r="M128" s="2" t="str">
        <f>IF(DB_Artworks_Export!J128="","",DB_Artworks_Export!J128)</f>
        <v/>
      </c>
      <c r="N128" s="2" t="str">
        <f>IF(DB_Artworks_Export!K128="","",DB_Artworks_Export!K128)</f>
        <v/>
      </c>
      <c r="O128" s="2" t="str">
        <f>IF(DB_Artworks_Export!L128="","",DB_Artworks_Export!L128)</f>
        <v/>
      </c>
      <c r="P128" s="2" t="str">
        <f>IF(DB_Artworks_Export!M128="","",DB_Artworks_Export!M128)</f>
        <v/>
      </c>
      <c r="Q128" s="2" t="str">
        <f>IF(DB_Artworks_Export!N128="","",DB_Artworks_Export!N128)</f>
        <v/>
      </c>
      <c r="R128" s="2" t="str">
        <f>IF($D128="","",IF(COUNTIF(DB_Categories_Export!$A:$A,$F128)&gt;0,"OK","INVALID CATEGORY"))</f>
        <v/>
      </c>
      <c r="S128" s="2" t="str">
        <f>IF($D128="","",COUNTIF(DB_Artwork_Sizes_Export!$B:$B,$D128))</f>
        <v/>
      </c>
      <c r="T128" s="2" t="str">
        <f>IF($D128="","",IFERROR(INDEX(DB_Artwork_Sizes_Export!$D:$D,MATCH($D128,DB_Artwork_Sizes_Export!$B:$B,0)),""))</f>
        <v/>
      </c>
      <c r="U128" s="2" t="str">
        <f>IF($D128="","",IFERROR(INDEX(DB_Artwork_Sizes_Export!$E:$E,MATCH($D128,DB_Artwork_Sizes_Export!$B:$B,0)),""))</f>
        <v/>
      </c>
      <c r="V128" s="2" t="str">
        <f>IF($D128="","",IFERROR(INDEX(DB_Artwork_Sizes_Export!$F:$F,MATCH($D128,DB_Artwork_Sizes_Export!$B:$B,0)),""))</f>
        <v/>
      </c>
      <c r="W128" s="2" t="str">
        <f t="shared" si="12"/>
        <v/>
      </c>
      <c r="X128" s="2"/>
      <c r="Y128" s="2"/>
      <c r="Z128" s="2"/>
      <c r="AA128" s="2"/>
      <c r="AB128" s="2"/>
      <c r="AC128" s="2"/>
      <c r="AD128" s="2"/>
      <c r="AE128" s="2"/>
      <c r="AF128" s="2" t="str">
        <f t="shared" si="13"/>
        <v/>
      </c>
      <c r="AG128" s="2" t="str">
        <f t="shared" si="14"/>
        <v/>
      </c>
      <c r="AH128" s="2" t="str">
        <f>IF($AG128="","",IFERROR(VLOOKUP($AG128,DB_Categories_Export!$A:$B,2,FALSE()),"INVALID CATEGORY"))</f>
        <v/>
      </c>
      <c r="AI128" s="2" t="str">
        <f t="shared" si="15"/>
        <v/>
      </c>
      <c r="AJ128" s="2" t="str">
        <f t="shared" si="16"/>
        <v/>
      </c>
      <c r="AK128" s="2" t="str">
        <f t="shared" si="17"/>
        <v/>
      </c>
      <c r="AL128" s="2" t="str">
        <f t="shared" si="18"/>
        <v/>
      </c>
      <c r="AM128" s="2" t="str">
        <f t="shared" si="19"/>
        <v/>
      </c>
      <c r="AN128" s="2"/>
      <c r="AO128" s="2"/>
    </row>
    <row r="129" spans="1:41" ht="12" customHeight="1" x14ac:dyDescent="0.3">
      <c r="A129" s="2"/>
      <c r="B129" s="2" t="str">
        <f t="shared" si="10"/>
        <v/>
      </c>
      <c r="C129" s="2" t="str">
        <f t="shared" si="11"/>
        <v/>
      </c>
      <c r="D129" s="2" t="str">
        <f>IF(DB_Artworks_Export!A129="","",DB_Artworks_Export!A129)</f>
        <v/>
      </c>
      <c r="E129" s="2" t="str">
        <f>IF(DB_Artworks_Export!B129="","",DB_Artworks_Export!B129)</f>
        <v/>
      </c>
      <c r="F129" s="2" t="str">
        <f>IF(DB_Artworks_Export!C129="","",DB_Artworks_Export!C129)</f>
        <v/>
      </c>
      <c r="G129" s="2" t="str">
        <f>IF(DB_Artworks_Export!D129="","",DB_Artworks_Export!D129)</f>
        <v/>
      </c>
      <c r="H129" s="2" t="str">
        <f>IF(DB_Artworks_Export!E129="","",DB_Artworks_Export!E129)</f>
        <v/>
      </c>
      <c r="I129" s="2" t="str">
        <f>IF(DB_Artworks_Export!F129="","",DB_Artworks_Export!F129)</f>
        <v/>
      </c>
      <c r="J129" s="2" t="str">
        <f>IF(DB_Artworks_Export!G129="","",DB_Artworks_Export!G129)</f>
        <v/>
      </c>
      <c r="K129" s="2" t="str">
        <f>IF(DB_Artworks_Export!H129="","",DB_Artworks_Export!H129)</f>
        <v/>
      </c>
      <c r="L129" s="2" t="str">
        <f>IF(DB_Artworks_Export!I129="","",DB_Artworks_Export!I129)</f>
        <v/>
      </c>
      <c r="M129" s="2" t="str">
        <f>IF(DB_Artworks_Export!J129="","",DB_Artworks_Export!J129)</f>
        <v/>
      </c>
      <c r="N129" s="2" t="str">
        <f>IF(DB_Artworks_Export!K129="","",DB_Artworks_Export!K129)</f>
        <v/>
      </c>
      <c r="O129" s="2" t="str">
        <f>IF(DB_Artworks_Export!L129="","",DB_Artworks_Export!L129)</f>
        <v/>
      </c>
      <c r="P129" s="2" t="str">
        <f>IF(DB_Artworks_Export!M129="","",DB_Artworks_Export!M129)</f>
        <v/>
      </c>
      <c r="Q129" s="2" t="str">
        <f>IF(DB_Artworks_Export!N129="","",DB_Artworks_Export!N129)</f>
        <v/>
      </c>
      <c r="R129" s="2" t="str">
        <f>IF($D129="","",IF(COUNTIF(DB_Categories_Export!$A:$A,$F129)&gt;0,"OK","INVALID CATEGORY"))</f>
        <v/>
      </c>
      <c r="S129" s="2" t="str">
        <f>IF($D129="","",COUNTIF(DB_Artwork_Sizes_Export!$B:$B,$D129))</f>
        <v/>
      </c>
      <c r="T129" s="2" t="str">
        <f>IF($D129="","",IFERROR(INDEX(DB_Artwork_Sizes_Export!$D:$D,MATCH($D129,DB_Artwork_Sizes_Export!$B:$B,0)),""))</f>
        <v/>
      </c>
      <c r="U129" s="2" t="str">
        <f>IF($D129="","",IFERROR(INDEX(DB_Artwork_Sizes_Export!$E:$E,MATCH($D129,DB_Artwork_Sizes_Export!$B:$B,0)),""))</f>
        <v/>
      </c>
      <c r="V129" s="2" t="str">
        <f>IF($D129="","",IFERROR(INDEX(DB_Artwork_Sizes_Export!$F:$F,MATCH($D129,DB_Artwork_Sizes_Export!$B:$B,0)),""))</f>
        <v/>
      </c>
      <c r="W129" s="2" t="str">
        <f t="shared" si="12"/>
        <v/>
      </c>
      <c r="X129" s="2"/>
      <c r="Y129" s="2"/>
      <c r="Z129" s="2"/>
      <c r="AA129" s="2"/>
      <c r="AB129" s="2"/>
      <c r="AC129" s="2"/>
      <c r="AD129" s="2"/>
      <c r="AE129" s="2"/>
      <c r="AF129" s="2" t="str">
        <f t="shared" si="13"/>
        <v/>
      </c>
      <c r="AG129" s="2" t="str">
        <f t="shared" si="14"/>
        <v/>
      </c>
      <c r="AH129" s="2" t="str">
        <f>IF($AG129="","",IFERROR(VLOOKUP($AG129,DB_Categories_Export!$A:$B,2,FALSE()),"INVALID CATEGORY"))</f>
        <v/>
      </c>
      <c r="AI129" s="2" t="str">
        <f t="shared" si="15"/>
        <v/>
      </c>
      <c r="AJ129" s="2" t="str">
        <f t="shared" si="16"/>
        <v/>
      </c>
      <c r="AK129" s="2" t="str">
        <f t="shared" si="17"/>
        <v/>
      </c>
      <c r="AL129" s="2" t="str">
        <f t="shared" si="18"/>
        <v/>
      </c>
      <c r="AM129" s="2" t="str">
        <f t="shared" si="19"/>
        <v/>
      </c>
      <c r="AN129" s="2"/>
      <c r="AO129" s="2"/>
    </row>
    <row r="130" spans="1:41" ht="12" customHeight="1" x14ac:dyDescent="0.3">
      <c r="A130" s="2"/>
      <c r="B130" s="2" t="str">
        <f t="shared" ref="B130:B193" si="20">IF($D130="","",IF(COUNTA($Y130:$AE130)&gt;0,"UPDATE","NO_CHANGE"))</f>
        <v/>
      </c>
      <c r="C130" s="2" t="str">
        <f t="shared" ref="C130:C193" si="21">IF($D130="","",IF($R130&lt;&gt;"OK","ERROR",IF(OR($E130="", $F130="", $J130=""),"ERROR",IF($W130&lt;&gt;"OK","WARNING","PASS"))))</f>
        <v/>
      </c>
      <c r="D130" s="2" t="str">
        <f>IF(DB_Artworks_Export!A130="","",DB_Artworks_Export!A130)</f>
        <v/>
      </c>
      <c r="E130" s="2" t="str">
        <f>IF(DB_Artworks_Export!B130="","",DB_Artworks_Export!B130)</f>
        <v/>
      </c>
      <c r="F130" s="2" t="str">
        <f>IF(DB_Artworks_Export!C130="","",DB_Artworks_Export!C130)</f>
        <v/>
      </c>
      <c r="G130" s="2" t="str">
        <f>IF(DB_Artworks_Export!D130="","",DB_Artworks_Export!D130)</f>
        <v/>
      </c>
      <c r="H130" s="2" t="str">
        <f>IF(DB_Artworks_Export!E130="","",DB_Artworks_Export!E130)</f>
        <v/>
      </c>
      <c r="I130" s="2" t="str">
        <f>IF(DB_Artworks_Export!F130="","",DB_Artworks_Export!F130)</f>
        <v/>
      </c>
      <c r="J130" s="2" t="str">
        <f>IF(DB_Artworks_Export!G130="","",DB_Artworks_Export!G130)</f>
        <v/>
      </c>
      <c r="K130" s="2" t="str">
        <f>IF(DB_Artworks_Export!H130="","",DB_Artworks_Export!H130)</f>
        <v/>
      </c>
      <c r="L130" s="2" t="str">
        <f>IF(DB_Artworks_Export!I130="","",DB_Artworks_Export!I130)</f>
        <v/>
      </c>
      <c r="M130" s="2" t="str">
        <f>IF(DB_Artworks_Export!J130="","",DB_Artworks_Export!J130)</f>
        <v/>
      </c>
      <c r="N130" s="2" t="str">
        <f>IF(DB_Artworks_Export!K130="","",DB_Artworks_Export!K130)</f>
        <v/>
      </c>
      <c r="O130" s="2" t="str">
        <f>IF(DB_Artworks_Export!L130="","",DB_Artworks_Export!L130)</f>
        <v/>
      </c>
      <c r="P130" s="2" t="str">
        <f>IF(DB_Artworks_Export!M130="","",DB_Artworks_Export!M130)</f>
        <v/>
      </c>
      <c r="Q130" s="2" t="str">
        <f>IF(DB_Artworks_Export!N130="","",DB_Artworks_Export!N130)</f>
        <v/>
      </c>
      <c r="R130" s="2" t="str">
        <f>IF($D130="","",IF(COUNTIF(DB_Categories_Export!$A:$A,$F130)&gt;0,"OK","INVALID CATEGORY"))</f>
        <v/>
      </c>
      <c r="S130" s="2" t="str">
        <f>IF($D130="","",COUNTIF(DB_Artwork_Sizes_Export!$B:$B,$D130))</f>
        <v/>
      </c>
      <c r="T130" s="2" t="str">
        <f>IF($D130="","",IFERROR(INDEX(DB_Artwork_Sizes_Export!$D:$D,MATCH($D130,DB_Artwork_Sizes_Export!$B:$B,0)),""))</f>
        <v/>
      </c>
      <c r="U130" s="2" t="str">
        <f>IF($D130="","",IFERROR(INDEX(DB_Artwork_Sizes_Export!$E:$E,MATCH($D130,DB_Artwork_Sizes_Export!$B:$B,0)),""))</f>
        <v/>
      </c>
      <c r="V130" s="2" t="str">
        <f>IF($D130="","",IFERROR(INDEX(DB_Artwork_Sizes_Export!$F:$F,MATCH($D130,DB_Artwork_Sizes_Export!$B:$B,0)),""))</f>
        <v/>
      </c>
      <c r="W130" s="2" t="str">
        <f t="shared" ref="W130:W193" si="22">IF($D130="","",IF($S130&gt;0,"REVIEW_SIZE_PRICING","OK"))</f>
        <v/>
      </c>
      <c r="X130" s="2"/>
      <c r="Y130" s="2"/>
      <c r="Z130" s="2"/>
      <c r="AA130" s="2"/>
      <c r="AB130" s="2"/>
      <c r="AC130" s="2"/>
      <c r="AD130" s="2"/>
      <c r="AE130" s="2"/>
      <c r="AF130" s="2" t="str">
        <f t="shared" ref="AF130:AF193" si="23">IF($Y130&lt;&gt;"",$Y130,$E130)</f>
        <v/>
      </c>
      <c r="AG130" s="2" t="str">
        <f t="shared" ref="AG130:AG193" si="24">IF($Z130&lt;&gt;"",$Z130,$F130)</f>
        <v/>
      </c>
      <c r="AH130" s="2" t="str">
        <f>IF($AG130="","",IFERROR(VLOOKUP($AG130,DB_Categories_Export!$A:$B,2,FALSE()),"INVALID CATEGORY"))</f>
        <v/>
      </c>
      <c r="AI130" s="2" t="str">
        <f t="shared" ref="AI130:AI193" si="25">IF($AA130&lt;&gt;"",$AA130,$H130)</f>
        <v/>
      </c>
      <c r="AJ130" s="2" t="str">
        <f t="shared" ref="AJ130:AJ193" si="26">IF($AB130&lt;&gt;"",$AB130,$I130)</f>
        <v/>
      </c>
      <c r="AK130" s="2" t="str">
        <f t="shared" ref="AK130:AK193" si="27">IF($AC130&lt;&gt;"",$AC130,$J130)</f>
        <v/>
      </c>
      <c r="AL130" s="2" t="str">
        <f t="shared" ref="AL130:AL193" si="28">IF($AD130&lt;&gt;"",$AD130,$N130)</f>
        <v/>
      </c>
      <c r="AM130" s="2" t="str">
        <f t="shared" ref="AM130:AM193" si="29">IF($AE130&lt;&gt;"",$AE130,$O130)</f>
        <v/>
      </c>
      <c r="AN130" s="2"/>
      <c r="AO130" s="2"/>
    </row>
    <row r="131" spans="1:41" ht="12" customHeight="1" x14ac:dyDescent="0.3">
      <c r="A131" s="2"/>
      <c r="B131" s="2" t="str">
        <f t="shared" si="20"/>
        <v/>
      </c>
      <c r="C131" s="2" t="str">
        <f t="shared" si="21"/>
        <v/>
      </c>
      <c r="D131" s="2" t="str">
        <f>IF(DB_Artworks_Export!A131="","",DB_Artworks_Export!A131)</f>
        <v/>
      </c>
      <c r="E131" s="2" t="str">
        <f>IF(DB_Artworks_Export!B131="","",DB_Artworks_Export!B131)</f>
        <v/>
      </c>
      <c r="F131" s="2" t="str">
        <f>IF(DB_Artworks_Export!C131="","",DB_Artworks_Export!C131)</f>
        <v/>
      </c>
      <c r="G131" s="2" t="str">
        <f>IF(DB_Artworks_Export!D131="","",DB_Artworks_Export!D131)</f>
        <v/>
      </c>
      <c r="H131" s="2" t="str">
        <f>IF(DB_Artworks_Export!E131="","",DB_Artworks_Export!E131)</f>
        <v/>
      </c>
      <c r="I131" s="2" t="str">
        <f>IF(DB_Artworks_Export!F131="","",DB_Artworks_Export!F131)</f>
        <v/>
      </c>
      <c r="J131" s="2" t="str">
        <f>IF(DB_Artworks_Export!G131="","",DB_Artworks_Export!G131)</f>
        <v/>
      </c>
      <c r="K131" s="2" t="str">
        <f>IF(DB_Artworks_Export!H131="","",DB_Artworks_Export!H131)</f>
        <v/>
      </c>
      <c r="L131" s="2" t="str">
        <f>IF(DB_Artworks_Export!I131="","",DB_Artworks_Export!I131)</f>
        <v/>
      </c>
      <c r="M131" s="2" t="str">
        <f>IF(DB_Artworks_Export!J131="","",DB_Artworks_Export!J131)</f>
        <v/>
      </c>
      <c r="N131" s="2" t="str">
        <f>IF(DB_Artworks_Export!K131="","",DB_Artworks_Export!K131)</f>
        <v/>
      </c>
      <c r="O131" s="2" t="str">
        <f>IF(DB_Artworks_Export!L131="","",DB_Artworks_Export!L131)</f>
        <v/>
      </c>
      <c r="P131" s="2" t="str">
        <f>IF(DB_Artworks_Export!M131="","",DB_Artworks_Export!M131)</f>
        <v/>
      </c>
      <c r="Q131" s="2" t="str">
        <f>IF(DB_Artworks_Export!N131="","",DB_Artworks_Export!N131)</f>
        <v/>
      </c>
      <c r="R131" s="2" t="str">
        <f>IF($D131="","",IF(COUNTIF(DB_Categories_Export!$A:$A,$F131)&gt;0,"OK","INVALID CATEGORY"))</f>
        <v/>
      </c>
      <c r="S131" s="2" t="str">
        <f>IF($D131="","",COUNTIF(DB_Artwork_Sizes_Export!$B:$B,$D131))</f>
        <v/>
      </c>
      <c r="T131" s="2" t="str">
        <f>IF($D131="","",IFERROR(INDEX(DB_Artwork_Sizes_Export!$D:$D,MATCH($D131,DB_Artwork_Sizes_Export!$B:$B,0)),""))</f>
        <v/>
      </c>
      <c r="U131" s="2" t="str">
        <f>IF($D131="","",IFERROR(INDEX(DB_Artwork_Sizes_Export!$E:$E,MATCH($D131,DB_Artwork_Sizes_Export!$B:$B,0)),""))</f>
        <v/>
      </c>
      <c r="V131" s="2" t="str">
        <f>IF($D131="","",IFERROR(INDEX(DB_Artwork_Sizes_Export!$F:$F,MATCH($D131,DB_Artwork_Sizes_Export!$B:$B,0)),""))</f>
        <v/>
      </c>
      <c r="W131" s="2" t="str">
        <f t="shared" si="22"/>
        <v/>
      </c>
      <c r="X131" s="2"/>
      <c r="Y131" s="2"/>
      <c r="Z131" s="2"/>
      <c r="AA131" s="2"/>
      <c r="AB131" s="2"/>
      <c r="AC131" s="2"/>
      <c r="AD131" s="2"/>
      <c r="AE131" s="2"/>
      <c r="AF131" s="2" t="str">
        <f t="shared" si="23"/>
        <v/>
      </c>
      <c r="AG131" s="2" t="str">
        <f t="shared" si="24"/>
        <v/>
      </c>
      <c r="AH131" s="2" t="str">
        <f>IF($AG131="","",IFERROR(VLOOKUP($AG131,DB_Categories_Export!$A:$B,2,FALSE()),"INVALID CATEGORY"))</f>
        <v/>
      </c>
      <c r="AI131" s="2" t="str">
        <f t="shared" si="25"/>
        <v/>
      </c>
      <c r="AJ131" s="2" t="str">
        <f t="shared" si="26"/>
        <v/>
      </c>
      <c r="AK131" s="2" t="str">
        <f t="shared" si="27"/>
        <v/>
      </c>
      <c r="AL131" s="2" t="str">
        <f t="shared" si="28"/>
        <v/>
      </c>
      <c r="AM131" s="2" t="str">
        <f t="shared" si="29"/>
        <v/>
      </c>
      <c r="AN131" s="2"/>
      <c r="AO131" s="2"/>
    </row>
    <row r="132" spans="1:41" ht="12" customHeight="1" x14ac:dyDescent="0.3">
      <c r="A132" s="2"/>
      <c r="B132" s="2" t="str">
        <f t="shared" si="20"/>
        <v/>
      </c>
      <c r="C132" s="2" t="str">
        <f t="shared" si="21"/>
        <v/>
      </c>
      <c r="D132" s="2" t="str">
        <f>IF(DB_Artworks_Export!A132="","",DB_Artworks_Export!A132)</f>
        <v/>
      </c>
      <c r="E132" s="2" t="str">
        <f>IF(DB_Artworks_Export!B132="","",DB_Artworks_Export!B132)</f>
        <v/>
      </c>
      <c r="F132" s="2" t="str">
        <f>IF(DB_Artworks_Export!C132="","",DB_Artworks_Export!C132)</f>
        <v/>
      </c>
      <c r="G132" s="2" t="str">
        <f>IF(DB_Artworks_Export!D132="","",DB_Artworks_Export!D132)</f>
        <v/>
      </c>
      <c r="H132" s="2" t="str">
        <f>IF(DB_Artworks_Export!E132="","",DB_Artworks_Export!E132)</f>
        <v/>
      </c>
      <c r="I132" s="2" t="str">
        <f>IF(DB_Artworks_Export!F132="","",DB_Artworks_Export!F132)</f>
        <v/>
      </c>
      <c r="J132" s="2" t="str">
        <f>IF(DB_Artworks_Export!G132="","",DB_Artworks_Export!G132)</f>
        <v/>
      </c>
      <c r="K132" s="2" t="str">
        <f>IF(DB_Artworks_Export!H132="","",DB_Artworks_Export!H132)</f>
        <v/>
      </c>
      <c r="L132" s="2" t="str">
        <f>IF(DB_Artworks_Export!I132="","",DB_Artworks_Export!I132)</f>
        <v/>
      </c>
      <c r="M132" s="2" t="str">
        <f>IF(DB_Artworks_Export!J132="","",DB_Artworks_Export!J132)</f>
        <v/>
      </c>
      <c r="N132" s="2" t="str">
        <f>IF(DB_Artworks_Export!K132="","",DB_Artworks_Export!K132)</f>
        <v/>
      </c>
      <c r="O132" s="2" t="str">
        <f>IF(DB_Artworks_Export!L132="","",DB_Artworks_Export!L132)</f>
        <v/>
      </c>
      <c r="P132" s="2" t="str">
        <f>IF(DB_Artworks_Export!M132="","",DB_Artworks_Export!M132)</f>
        <v/>
      </c>
      <c r="Q132" s="2" t="str">
        <f>IF(DB_Artworks_Export!N132="","",DB_Artworks_Export!N132)</f>
        <v/>
      </c>
      <c r="R132" s="2" t="str">
        <f>IF($D132="","",IF(COUNTIF(DB_Categories_Export!$A:$A,$F132)&gt;0,"OK","INVALID CATEGORY"))</f>
        <v/>
      </c>
      <c r="S132" s="2" t="str">
        <f>IF($D132="","",COUNTIF(DB_Artwork_Sizes_Export!$B:$B,$D132))</f>
        <v/>
      </c>
      <c r="T132" s="2" t="str">
        <f>IF($D132="","",IFERROR(INDEX(DB_Artwork_Sizes_Export!$D:$D,MATCH($D132,DB_Artwork_Sizes_Export!$B:$B,0)),""))</f>
        <v/>
      </c>
      <c r="U132" s="2" t="str">
        <f>IF($D132="","",IFERROR(INDEX(DB_Artwork_Sizes_Export!$E:$E,MATCH($D132,DB_Artwork_Sizes_Export!$B:$B,0)),""))</f>
        <v/>
      </c>
      <c r="V132" s="2" t="str">
        <f>IF($D132="","",IFERROR(INDEX(DB_Artwork_Sizes_Export!$F:$F,MATCH($D132,DB_Artwork_Sizes_Export!$B:$B,0)),""))</f>
        <v/>
      </c>
      <c r="W132" s="2" t="str">
        <f t="shared" si="22"/>
        <v/>
      </c>
      <c r="X132" s="2"/>
      <c r="Y132" s="2"/>
      <c r="Z132" s="2"/>
      <c r="AA132" s="2"/>
      <c r="AB132" s="2"/>
      <c r="AC132" s="2"/>
      <c r="AD132" s="2"/>
      <c r="AE132" s="2"/>
      <c r="AF132" s="2" t="str">
        <f t="shared" si="23"/>
        <v/>
      </c>
      <c r="AG132" s="2" t="str">
        <f t="shared" si="24"/>
        <v/>
      </c>
      <c r="AH132" s="2" t="str">
        <f>IF($AG132="","",IFERROR(VLOOKUP($AG132,DB_Categories_Export!$A:$B,2,FALSE()),"INVALID CATEGORY"))</f>
        <v/>
      </c>
      <c r="AI132" s="2" t="str">
        <f t="shared" si="25"/>
        <v/>
      </c>
      <c r="AJ132" s="2" t="str">
        <f t="shared" si="26"/>
        <v/>
      </c>
      <c r="AK132" s="2" t="str">
        <f t="shared" si="27"/>
        <v/>
      </c>
      <c r="AL132" s="2" t="str">
        <f t="shared" si="28"/>
        <v/>
      </c>
      <c r="AM132" s="2" t="str">
        <f t="shared" si="29"/>
        <v/>
      </c>
      <c r="AN132" s="2"/>
      <c r="AO132" s="2"/>
    </row>
    <row r="133" spans="1:41" ht="12" customHeight="1" x14ac:dyDescent="0.3">
      <c r="A133" s="2"/>
      <c r="B133" s="2" t="str">
        <f t="shared" si="20"/>
        <v/>
      </c>
      <c r="C133" s="2" t="str">
        <f t="shared" si="21"/>
        <v/>
      </c>
      <c r="D133" s="2" t="str">
        <f>IF(DB_Artworks_Export!A133="","",DB_Artworks_Export!A133)</f>
        <v/>
      </c>
      <c r="E133" s="2" t="str">
        <f>IF(DB_Artworks_Export!B133="","",DB_Artworks_Export!B133)</f>
        <v/>
      </c>
      <c r="F133" s="2" t="str">
        <f>IF(DB_Artworks_Export!C133="","",DB_Artworks_Export!C133)</f>
        <v/>
      </c>
      <c r="G133" s="2" t="str">
        <f>IF(DB_Artworks_Export!D133="","",DB_Artworks_Export!D133)</f>
        <v/>
      </c>
      <c r="H133" s="2" t="str">
        <f>IF(DB_Artworks_Export!E133="","",DB_Artworks_Export!E133)</f>
        <v/>
      </c>
      <c r="I133" s="2" t="str">
        <f>IF(DB_Artworks_Export!F133="","",DB_Artworks_Export!F133)</f>
        <v/>
      </c>
      <c r="J133" s="2" t="str">
        <f>IF(DB_Artworks_Export!G133="","",DB_Artworks_Export!G133)</f>
        <v/>
      </c>
      <c r="K133" s="2" t="str">
        <f>IF(DB_Artworks_Export!H133="","",DB_Artworks_Export!H133)</f>
        <v/>
      </c>
      <c r="L133" s="2" t="str">
        <f>IF(DB_Artworks_Export!I133="","",DB_Artworks_Export!I133)</f>
        <v/>
      </c>
      <c r="M133" s="2" t="str">
        <f>IF(DB_Artworks_Export!J133="","",DB_Artworks_Export!J133)</f>
        <v/>
      </c>
      <c r="N133" s="2" t="str">
        <f>IF(DB_Artworks_Export!K133="","",DB_Artworks_Export!K133)</f>
        <v/>
      </c>
      <c r="O133" s="2" t="str">
        <f>IF(DB_Artworks_Export!L133="","",DB_Artworks_Export!L133)</f>
        <v/>
      </c>
      <c r="P133" s="2" t="str">
        <f>IF(DB_Artworks_Export!M133="","",DB_Artworks_Export!M133)</f>
        <v/>
      </c>
      <c r="Q133" s="2" t="str">
        <f>IF(DB_Artworks_Export!N133="","",DB_Artworks_Export!N133)</f>
        <v/>
      </c>
      <c r="R133" s="2" t="str">
        <f>IF($D133="","",IF(COUNTIF(DB_Categories_Export!$A:$A,$F133)&gt;0,"OK","INVALID CATEGORY"))</f>
        <v/>
      </c>
      <c r="S133" s="2" t="str">
        <f>IF($D133="","",COUNTIF(DB_Artwork_Sizes_Export!$B:$B,$D133))</f>
        <v/>
      </c>
      <c r="T133" s="2" t="str">
        <f>IF($D133="","",IFERROR(INDEX(DB_Artwork_Sizes_Export!$D:$D,MATCH($D133,DB_Artwork_Sizes_Export!$B:$B,0)),""))</f>
        <v/>
      </c>
      <c r="U133" s="2" t="str">
        <f>IF($D133="","",IFERROR(INDEX(DB_Artwork_Sizes_Export!$E:$E,MATCH($D133,DB_Artwork_Sizes_Export!$B:$B,0)),""))</f>
        <v/>
      </c>
      <c r="V133" s="2" t="str">
        <f>IF($D133="","",IFERROR(INDEX(DB_Artwork_Sizes_Export!$F:$F,MATCH($D133,DB_Artwork_Sizes_Export!$B:$B,0)),""))</f>
        <v/>
      </c>
      <c r="W133" s="2" t="str">
        <f t="shared" si="22"/>
        <v/>
      </c>
      <c r="X133" s="2"/>
      <c r="Y133" s="2"/>
      <c r="Z133" s="2"/>
      <c r="AA133" s="2"/>
      <c r="AB133" s="2"/>
      <c r="AC133" s="2"/>
      <c r="AD133" s="2"/>
      <c r="AE133" s="2"/>
      <c r="AF133" s="2" t="str">
        <f t="shared" si="23"/>
        <v/>
      </c>
      <c r="AG133" s="2" t="str">
        <f t="shared" si="24"/>
        <v/>
      </c>
      <c r="AH133" s="2" t="str">
        <f>IF($AG133="","",IFERROR(VLOOKUP($AG133,DB_Categories_Export!$A:$B,2,FALSE()),"INVALID CATEGORY"))</f>
        <v/>
      </c>
      <c r="AI133" s="2" t="str">
        <f t="shared" si="25"/>
        <v/>
      </c>
      <c r="AJ133" s="2" t="str">
        <f t="shared" si="26"/>
        <v/>
      </c>
      <c r="AK133" s="2" t="str">
        <f t="shared" si="27"/>
        <v/>
      </c>
      <c r="AL133" s="2" t="str">
        <f t="shared" si="28"/>
        <v/>
      </c>
      <c r="AM133" s="2" t="str">
        <f t="shared" si="29"/>
        <v/>
      </c>
      <c r="AN133" s="2"/>
      <c r="AO133" s="2"/>
    </row>
    <row r="134" spans="1:41" ht="12" customHeight="1" x14ac:dyDescent="0.3">
      <c r="A134" s="2"/>
      <c r="B134" s="2" t="str">
        <f t="shared" si="20"/>
        <v/>
      </c>
      <c r="C134" s="2" t="str">
        <f t="shared" si="21"/>
        <v/>
      </c>
      <c r="D134" s="2" t="str">
        <f>IF(DB_Artworks_Export!A134="","",DB_Artworks_Export!A134)</f>
        <v/>
      </c>
      <c r="E134" s="2" t="str">
        <f>IF(DB_Artworks_Export!B134="","",DB_Artworks_Export!B134)</f>
        <v/>
      </c>
      <c r="F134" s="2" t="str">
        <f>IF(DB_Artworks_Export!C134="","",DB_Artworks_Export!C134)</f>
        <v/>
      </c>
      <c r="G134" s="2" t="str">
        <f>IF(DB_Artworks_Export!D134="","",DB_Artworks_Export!D134)</f>
        <v/>
      </c>
      <c r="H134" s="2" t="str">
        <f>IF(DB_Artworks_Export!E134="","",DB_Artworks_Export!E134)</f>
        <v/>
      </c>
      <c r="I134" s="2" t="str">
        <f>IF(DB_Artworks_Export!F134="","",DB_Artworks_Export!F134)</f>
        <v/>
      </c>
      <c r="J134" s="2" t="str">
        <f>IF(DB_Artworks_Export!G134="","",DB_Artworks_Export!G134)</f>
        <v/>
      </c>
      <c r="K134" s="2" t="str">
        <f>IF(DB_Artworks_Export!H134="","",DB_Artworks_Export!H134)</f>
        <v/>
      </c>
      <c r="L134" s="2" t="str">
        <f>IF(DB_Artworks_Export!I134="","",DB_Artworks_Export!I134)</f>
        <v/>
      </c>
      <c r="M134" s="2" t="str">
        <f>IF(DB_Artworks_Export!J134="","",DB_Artworks_Export!J134)</f>
        <v/>
      </c>
      <c r="N134" s="2" t="str">
        <f>IF(DB_Artworks_Export!K134="","",DB_Artworks_Export!K134)</f>
        <v/>
      </c>
      <c r="O134" s="2" t="str">
        <f>IF(DB_Artworks_Export!L134="","",DB_Artworks_Export!L134)</f>
        <v/>
      </c>
      <c r="P134" s="2" t="str">
        <f>IF(DB_Artworks_Export!M134="","",DB_Artworks_Export!M134)</f>
        <v/>
      </c>
      <c r="Q134" s="2" t="str">
        <f>IF(DB_Artworks_Export!N134="","",DB_Artworks_Export!N134)</f>
        <v/>
      </c>
      <c r="R134" s="2" t="str">
        <f>IF($D134="","",IF(COUNTIF(DB_Categories_Export!$A:$A,$F134)&gt;0,"OK","INVALID CATEGORY"))</f>
        <v/>
      </c>
      <c r="S134" s="2" t="str">
        <f>IF($D134="","",COUNTIF(DB_Artwork_Sizes_Export!$B:$B,$D134))</f>
        <v/>
      </c>
      <c r="T134" s="2" t="str">
        <f>IF($D134="","",IFERROR(INDEX(DB_Artwork_Sizes_Export!$D:$D,MATCH($D134,DB_Artwork_Sizes_Export!$B:$B,0)),""))</f>
        <v/>
      </c>
      <c r="U134" s="2" t="str">
        <f>IF($D134="","",IFERROR(INDEX(DB_Artwork_Sizes_Export!$E:$E,MATCH($D134,DB_Artwork_Sizes_Export!$B:$B,0)),""))</f>
        <v/>
      </c>
      <c r="V134" s="2" t="str">
        <f>IF($D134="","",IFERROR(INDEX(DB_Artwork_Sizes_Export!$F:$F,MATCH($D134,DB_Artwork_Sizes_Export!$B:$B,0)),""))</f>
        <v/>
      </c>
      <c r="W134" s="2" t="str">
        <f t="shared" si="22"/>
        <v/>
      </c>
      <c r="X134" s="2"/>
      <c r="Y134" s="2"/>
      <c r="Z134" s="2"/>
      <c r="AA134" s="2"/>
      <c r="AB134" s="2"/>
      <c r="AC134" s="2"/>
      <c r="AD134" s="2"/>
      <c r="AE134" s="2"/>
      <c r="AF134" s="2" t="str">
        <f t="shared" si="23"/>
        <v/>
      </c>
      <c r="AG134" s="2" t="str">
        <f t="shared" si="24"/>
        <v/>
      </c>
      <c r="AH134" s="2" t="str">
        <f>IF($AG134="","",IFERROR(VLOOKUP($AG134,DB_Categories_Export!$A:$B,2,FALSE()),"INVALID CATEGORY"))</f>
        <v/>
      </c>
      <c r="AI134" s="2" t="str">
        <f t="shared" si="25"/>
        <v/>
      </c>
      <c r="AJ134" s="2" t="str">
        <f t="shared" si="26"/>
        <v/>
      </c>
      <c r="AK134" s="2" t="str">
        <f t="shared" si="27"/>
        <v/>
      </c>
      <c r="AL134" s="2" t="str">
        <f t="shared" si="28"/>
        <v/>
      </c>
      <c r="AM134" s="2" t="str">
        <f t="shared" si="29"/>
        <v/>
      </c>
      <c r="AN134" s="2"/>
      <c r="AO134" s="2"/>
    </row>
    <row r="135" spans="1:41" ht="12" customHeight="1" x14ac:dyDescent="0.3">
      <c r="A135" s="2"/>
      <c r="B135" s="2" t="str">
        <f t="shared" si="20"/>
        <v/>
      </c>
      <c r="C135" s="2" t="str">
        <f t="shared" si="21"/>
        <v/>
      </c>
      <c r="D135" s="2" t="str">
        <f>IF(DB_Artworks_Export!A135="","",DB_Artworks_Export!A135)</f>
        <v/>
      </c>
      <c r="E135" s="2" t="str">
        <f>IF(DB_Artworks_Export!B135="","",DB_Artworks_Export!B135)</f>
        <v/>
      </c>
      <c r="F135" s="2" t="str">
        <f>IF(DB_Artworks_Export!C135="","",DB_Artworks_Export!C135)</f>
        <v/>
      </c>
      <c r="G135" s="2" t="str">
        <f>IF(DB_Artworks_Export!D135="","",DB_Artworks_Export!D135)</f>
        <v/>
      </c>
      <c r="H135" s="2" t="str">
        <f>IF(DB_Artworks_Export!E135="","",DB_Artworks_Export!E135)</f>
        <v/>
      </c>
      <c r="I135" s="2" t="str">
        <f>IF(DB_Artworks_Export!F135="","",DB_Artworks_Export!F135)</f>
        <v/>
      </c>
      <c r="J135" s="2" t="str">
        <f>IF(DB_Artworks_Export!G135="","",DB_Artworks_Export!G135)</f>
        <v/>
      </c>
      <c r="K135" s="2" t="str">
        <f>IF(DB_Artworks_Export!H135="","",DB_Artworks_Export!H135)</f>
        <v/>
      </c>
      <c r="L135" s="2" t="str">
        <f>IF(DB_Artworks_Export!I135="","",DB_Artworks_Export!I135)</f>
        <v/>
      </c>
      <c r="M135" s="2" t="str">
        <f>IF(DB_Artworks_Export!J135="","",DB_Artworks_Export!J135)</f>
        <v/>
      </c>
      <c r="N135" s="2" t="str">
        <f>IF(DB_Artworks_Export!K135="","",DB_Artworks_Export!K135)</f>
        <v/>
      </c>
      <c r="O135" s="2" t="str">
        <f>IF(DB_Artworks_Export!L135="","",DB_Artworks_Export!L135)</f>
        <v/>
      </c>
      <c r="P135" s="2" t="str">
        <f>IF(DB_Artworks_Export!M135="","",DB_Artworks_Export!M135)</f>
        <v/>
      </c>
      <c r="Q135" s="2" t="str">
        <f>IF(DB_Artworks_Export!N135="","",DB_Artworks_Export!N135)</f>
        <v/>
      </c>
      <c r="R135" s="2" t="str">
        <f>IF($D135="","",IF(COUNTIF(DB_Categories_Export!$A:$A,$F135)&gt;0,"OK","INVALID CATEGORY"))</f>
        <v/>
      </c>
      <c r="S135" s="2" t="str">
        <f>IF($D135="","",COUNTIF(DB_Artwork_Sizes_Export!$B:$B,$D135))</f>
        <v/>
      </c>
      <c r="T135" s="2" t="str">
        <f>IF($D135="","",IFERROR(INDEX(DB_Artwork_Sizes_Export!$D:$D,MATCH($D135,DB_Artwork_Sizes_Export!$B:$B,0)),""))</f>
        <v/>
      </c>
      <c r="U135" s="2" t="str">
        <f>IF($D135="","",IFERROR(INDEX(DB_Artwork_Sizes_Export!$E:$E,MATCH($D135,DB_Artwork_Sizes_Export!$B:$B,0)),""))</f>
        <v/>
      </c>
      <c r="V135" s="2" t="str">
        <f>IF($D135="","",IFERROR(INDEX(DB_Artwork_Sizes_Export!$F:$F,MATCH($D135,DB_Artwork_Sizes_Export!$B:$B,0)),""))</f>
        <v/>
      </c>
      <c r="W135" s="2" t="str">
        <f t="shared" si="22"/>
        <v/>
      </c>
      <c r="X135" s="2"/>
      <c r="Y135" s="2"/>
      <c r="Z135" s="2"/>
      <c r="AA135" s="2"/>
      <c r="AB135" s="2"/>
      <c r="AC135" s="2"/>
      <c r="AD135" s="2"/>
      <c r="AE135" s="2"/>
      <c r="AF135" s="2" t="str">
        <f t="shared" si="23"/>
        <v/>
      </c>
      <c r="AG135" s="2" t="str">
        <f t="shared" si="24"/>
        <v/>
      </c>
      <c r="AH135" s="2" t="str">
        <f>IF($AG135="","",IFERROR(VLOOKUP($AG135,DB_Categories_Export!$A:$B,2,FALSE()),"INVALID CATEGORY"))</f>
        <v/>
      </c>
      <c r="AI135" s="2" t="str">
        <f t="shared" si="25"/>
        <v/>
      </c>
      <c r="AJ135" s="2" t="str">
        <f t="shared" si="26"/>
        <v/>
      </c>
      <c r="AK135" s="2" t="str">
        <f t="shared" si="27"/>
        <v/>
      </c>
      <c r="AL135" s="2" t="str">
        <f t="shared" si="28"/>
        <v/>
      </c>
      <c r="AM135" s="2" t="str">
        <f t="shared" si="29"/>
        <v/>
      </c>
      <c r="AN135" s="2"/>
      <c r="AO135" s="2"/>
    </row>
    <row r="136" spans="1:41" ht="12" customHeight="1" x14ac:dyDescent="0.3">
      <c r="A136" s="2"/>
      <c r="B136" s="2" t="str">
        <f t="shared" si="20"/>
        <v/>
      </c>
      <c r="C136" s="2" t="str">
        <f t="shared" si="21"/>
        <v/>
      </c>
      <c r="D136" s="2" t="str">
        <f>IF(DB_Artworks_Export!A136="","",DB_Artworks_Export!A136)</f>
        <v/>
      </c>
      <c r="E136" s="2" t="str">
        <f>IF(DB_Artworks_Export!B136="","",DB_Artworks_Export!B136)</f>
        <v/>
      </c>
      <c r="F136" s="2" t="str">
        <f>IF(DB_Artworks_Export!C136="","",DB_Artworks_Export!C136)</f>
        <v/>
      </c>
      <c r="G136" s="2" t="str">
        <f>IF(DB_Artworks_Export!D136="","",DB_Artworks_Export!D136)</f>
        <v/>
      </c>
      <c r="H136" s="2" t="str">
        <f>IF(DB_Artworks_Export!E136="","",DB_Artworks_Export!E136)</f>
        <v/>
      </c>
      <c r="I136" s="2" t="str">
        <f>IF(DB_Artworks_Export!F136="","",DB_Artworks_Export!F136)</f>
        <v/>
      </c>
      <c r="J136" s="2" t="str">
        <f>IF(DB_Artworks_Export!G136="","",DB_Artworks_Export!G136)</f>
        <v/>
      </c>
      <c r="K136" s="2" t="str">
        <f>IF(DB_Artworks_Export!H136="","",DB_Artworks_Export!H136)</f>
        <v/>
      </c>
      <c r="L136" s="2" t="str">
        <f>IF(DB_Artworks_Export!I136="","",DB_Artworks_Export!I136)</f>
        <v/>
      </c>
      <c r="M136" s="2" t="str">
        <f>IF(DB_Artworks_Export!J136="","",DB_Artworks_Export!J136)</f>
        <v/>
      </c>
      <c r="N136" s="2" t="str">
        <f>IF(DB_Artworks_Export!K136="","",DB_Artworks_Export!K136)</f>
        <v/>
      </c>
      <c r="O136" s="2" t="str">
        <f>IF(DB_Artworks_Export!L136="","",DB_Artworks_Export!L136)</f>
        <v/>
      </c>
      <c r="P136" s="2" t="str">
        <f>IF(DB_Artworks_Export!M136="","",DB_Artworks_Export!M136)</f>
        <v/>
      </c>
      <c r="Q136" s="2" t="str">
        <f>IF(DB_Artworks_Export!N136="","",DB_Artworks_Export!N136)</f>
        <v/>
      </c>
      <c r="R136" s="2" t="str">
        <f>IF($D136="","",IF(COUNTIF(DB_Categories_Export!$A:$A,$F136)&gt;0,"OK","INVALID CATEGORY"))</f>
        <v/>
      </c>
      <c r="S136" s="2" t="str">
        <f>IF($D136="","",COUNTIF(DB_Artwork_Sizes_Export!$B:$B,$D136))</f>
        <v/>
      </c>
      <c r="T136" s="2" t="str">
        <f>IF($D136="","",IFERROR(INDEX(DB_Artwork_Sizes_Export!$D:$D,MATCH($D136,DB_Artwork_Sizes_Export!$B:$B,0)),""))</f>
        <v/>
      </c>
      <c r="U136" s="2" t="str">
        <f>IF($D136="","",IFERROR(INDEX(DB_Artwork_Sizes_Export!$E:$E,MATCH($D136,DB_Artwork_Sizes_Export!$B:$B,0)),""))</f>
        <v/>
      </c>
      <c r="V136" s="2" t="str">
        <f>IF($D136="","",IFERROR(INDEX(DB_Artwork_Sizes_Export!$F:$F,MATCH($D136,DB_Artwork_Sizes_Export!$B:$B,0)),""))</f>
        <v/>
      </c>
      <c r="W136" s="2" t="str">
        <f t="shared" si="22"/>
        <v/>
      </c>
      <c r="X136" s="2"/>
      <c r="Y136" s="2"/>
      <c r="Z136" s="2"/>
      <c r="AA136" s="2"/>
      <c r="AB136" s="2"/>
      <c r="AC136" s="2"/>
      <c r="AD136" s="2"/>
      <c r="AE136" s="2"/>
      <c r="AF136" s="2" t="str">
        <f t="shared" si="23"/>
        <v/>
      </c>
      <c r="AG136" s="2" t="str">
        <f t="shared" si="24"/>
        <v/>
      </c>
      <c r="AH136" s="2" t="str">
        <f>IF($AG136="","",IFERROR(VLOOKUP($AG136,DB_Categories_Export!$A:$B,2,FALSE()),"INVALID CATEGORY"))</f>
        <v/>
      </c>
      <c r="AI136" s="2" t="str">
        <f t="shared" si="25"/>
        <v/>
      </c>
      <c r="AJ136" s="2" t="str">
        <f t="shared" si="26"/>
        <v/>
      </c>
      <c r="AK136" s="2" t="str">
        <f t="shared" si="27"/>
        <v/>
      </c>
      <c r="AL136" s="2" t="str">
        <f t="shared" si="28"/>
        <v/>
      </c>
      <c r="AM136" s="2" t="str">
        <f t="shared" si="29"/>
        <v/>
      </c>
      <c r="AN136" s="2"/>
      <c r="AO136" s="2"/>
    </row>
    <row r="137" spans="1:41" ht="12" customHeight="1" x14ac:dyDescent="0.3">
      <c r="A137" s="2"/>
      <c r="B137" s="2" t="str">
        <f t="shared" si="20"/>
        <v/>
      </c>
      <c r="C137" s="2" t="str">
        <f t="shared" si="21"/>
        <v/>
      </c>
      <c r="D137" s="2" t="str">
        <f>IF(DB_Artworks_Export!A137="","",DB_Artworks_Export!A137)</f>
        <v/>
      </c>
      <c r="E137" s="2" t="str">
        <f>IF(DB_Artworks_Export!B137="","",DB_Artworks_Export!B137)</f>
        <v/>
      </c>
      <c r="F137" s="2" t="str">
        <f>IF(DB_Artworks_Export!C137="","",DB_Artworks_Export!C137)</f>
        <v/>
      </c>
      <c r="G137" s="2" t="str">
        <f>IF(DB_Artworks_Export!D137="","",DB_Artworks_Export!D137)</f>
        <v/>
      </c>
      <c r="H137" s="2" t="str">
        <f>IF(DB_Artworks_Export!E137="","",DB_Artworks_Export!E137)</f>
        <v/>
      </c>
      <c r="I137" s="2" t="str">
        <f>IF(DB_Artworks_Export!F137="","",DB_Artworks_Export!F137)</f>
        <v/>
      </c>
      <c r="J137" s="2" t="str">
        <f>IF(DB_Artworks_Export!G137="","",DB_Artworks_Export!G137)</f>
        <v/>
      </c>
      <c r="K137" s="2" t="str">
        <f>IF(DB_Artworks_Export!H137="","",DB_Artworks_Export!H137)</f>
        <v/>
      </c>
      <c r="L137" s="2" t="str">
        <f>IF(DB_Artworks_Export!I137="","",DB_Artworks_Export!I137)</f>
        <v/>
      </c>
      <c r="M137" s="2" t="str">
        <f>IF(DB_Artworks_Export!J137="","",DB_Artworks_Export!J137)</f>
        <v/>
      </c>
      <c r="N137" s="2" t="str">
        <f>IF(DB_Artworks_Export!K137="","",DB_Artworks_Export!K137)</f>
        <v/>
      </c>
      <c r="O137" s="2" t="str">
        <f>IF(DB_Artworks_Export!L137="","",DB_Artworks_Export!L137)</f>
        <v/>
      </c>
      <c r="P137" s="2" t="str">
        <f>IF(DB_Artworks_Export!M137="","",DB_Artworks_Export!M137)</f>
        <v/>
      </c>
      <c r="Q137" s="2" t="str">
        <f>IF(DB_Artworks_Export!N137="","",DB_Artworks_Export!N137)</f>
        <v/>
      </c>
      <c r="R137" s="2" t="str">
        <f>IF($D137="","",IF(COUNTIF(DB_Categories_Export!$A:$A,$F137)&gt;0,"OK","INVALID CATEGORY"))</f>
        <v/>
      </c>
      <c r="S137" s="2" t="str">
        <f>IF($D137="","",COUNTIF(DB_Artwork_Sizes_Export!$B:$B,$D137))</f>
        <v/>
      </c>
      <c r="T137" s="2" t="str">
        <f>IF($D137="","",IFERROR(INDEX(DB_Artwork_Sizes_Export!$D:$D,MATCH($D137,DB_Artwork_Sizes_Export!$B:$B,0)),""))</f>
        <v/>
      </c>
      <c r="U137" s="2" t="str">
        <f>IF($D137="","",IFERROR(INDEX(DB_Artwork_Sizes_Export!$E:$E,MATCH($D137,DB_Artwork_Sizes_Export!$B:$B,0)),""))</f>
        <v/>
      </c>
      <c r="V137" s="2" t="str">
        <f>IF($D137="","",IFERROR(INDEX(DB_Artwork_Sizes_Export!$F:$F,MATCH($D137,DB_Artwork_Sizes_Export!$B:$B,0)),""))</f>
        <v/>
      </c>
      <c r="W137" s="2" t="str">
        <f t="shared" si="22"/>
        <v/>
      </c>
      <c r="X137" s="2"/>
      <c r="Y137" s="2"/>
      <c r="Z137" s="2"/>
      <c r="AA137" s="2"/>
      <c r="AB137" s="2"/>
      <c r="AC137" s="2"/>
      <c r="AD137" s="2"/>
      <c r="AE137" s="2"/>
      <c r="AF137" s="2" t="str">
        <f t="shared" si="23"/>
        <v/>
      </c>
      <c r="AG137" s="2" t="str">
        <f t="shared" si="24"/>
        <v/>
      </c>
      <c r="AH137" s="2" t="str">
        <f>IF($AG137="","",IFERROR(VLOOKUP($AG137,DB_Categories_Export!$A:$B,2,FALSE()),"INVALID CATEGORY"))</f>
        <v/>
      </c>
      <c r="AI137" s="2" t="str">
        <f t="shared" si="25"/>
        <v/>
      </c>
      <c r="AJ137" s="2" t="str">
        <f t="shared" si="26"/>
        <v/>
      </c>
      <c r="AK137" s="2" t="str">
        <f t="shared" si="27"/>
        <v/>
      </c>
      <c r="AL137" s="2" t="str">
        <f t="shared" si="28"/>
        <v/>
      </c>
      <c r="AM137" s="2" t="str">
        <f t="shared" si="29"/>
        <v/>
      </c>
      <c r="AN137" s="2"/>
      <c r="AO137" s="2"/>
    </row>
    <row r="138" spans="1:41" ht="12" customHeight="1" x14ac:dyDescent="0.3">
      <c r="A138" s="2"/>
      <c r="B138" s="2" t="str">
        <f t="shared" si="20"/>
        <v/>
      </c>
      <c r="C138" s="2" t="str">
        <f t="shared" si="21"/>
        <v/>
      </c>
      <c r="D138" s="2" t="str">
        <f>IF(DB_Artworks_Export!A138="","",DB_Artworks_Export!A138)</f>
        <v/>
      </c>
      <c r="E138" s="2" t="str">
        <f>IF(DB_Artworks_Export!B138="","",DB_Artworks_Export!B138)</f>
        <v/>
      </c>
      <c r="F138" s="2" t="str">
        <f>IF(DB_Artworks_Export!C138="","",DB_Artworks_Export!C138)</f>
        <v/>
      </c>
      <c r="G138" s="2" t="str">
        <f>IF(DB_Artworks_Export!D138="","",DB_Artworks_Export!D138)</f>
        <v/>
      </c>
      <c r="H138" s="2" t="str">
        <f>IF(DB_Artworks_Export!E138="","",DB_Artworks_Export!E138)</f>
        <v/>
      </c>
      <c r="I138" s="2" t="str">
        <f>IF(DB_Artworks_Export!F138="","",DB_Artworks_Export!F138)</f>
        <v/>
      </c>
      <c r="J138" s="2" t="str">
        <f>IF(DB_Artworks_Export!G138="","",DB_Artworks_Export!G138)</f>
        <v/>
      </c>
      <c r="K138" s="2" t="str">
        <f>IF(DB_Artworks_Export!H138="","",DB_Artworks_Export!H138)</f>
        <v/>
      </c>
      <c r="L138" s="2" t="str">
        <f>IF(DB_Artworks_Export!I138="","",DB_Artworks_Export!I138)</f>
        <v/>
      </c>
      <c r="M138" s="2" t="str">
        <f>IF(DB_Artworks_Export!J138="","",DB_Artworks_Export!J138)</f>
        <v/>
      </c>
      <c r="N138" s="2" t="str">
        <f>IF(DB_Artworks_Export!K138="","",DB_Artworks_Export!K138)</f>
        <v/>
      </c>
      <c r="O138" s="2" t="str">
        <f>IF(DB_Artworks_Export!L138="","",DB_Artworks_Export!L138)</f>
        <v/>
      </c>
      <c r="P138" s="2" t="str">
        <f>IF(DB_Artworks_Export!M138="","",DB_Artworks_Export!M138)</f>
        <v/>
      </c>
      <c r="Q138" s="2" t="str">
        <f>IF(DB_Artworks_Export!N138="","",DB_Artworks_Export!N138)</f>
        <v/>
      </c>
      <c r="R138" s="2" t="str">
        <f>IF($D138="","",IF(COUNTIF(DB_Categories_Export!$A:$A,$F138)&gt;0,"OK","INVALID CATEGORY"))</f>
        <v/>
      </c>
      <c r="S138" s="2" t="str">
        <f>IF($D138="","",COUNTIF(DB_Artwork_Sizes_Export!$B:$B,$D138))</f>
        <v/>
      </c>
      <c r="T138" s="2" t="str">
        <f>IF($D138="","",IFERROR(INDEX(DB_Artwork_Sizes_Export!$D:$D,MATCH($D138,DB_Artwork_Sizes_Export!$B:$B,0)),""))</f>
        <v/>
      </c>
      <c r="U138" s="2" t="str">
        <f>IF($D138="","",IFERROR(INDEX(DB_Artwork_Sizes_Export!$E:$E,MATCH($D138,DB_Artwork_Sizes_Export!$B:$B,0)),""))</f>
        <v/>
      </c>
      <c r="V138" s="2" t="str">
        <f>IF($D138="","",IFERROR(INDEX(DB_Artwork_Sizes_Export!$F:$F,MATCH($D138,DB_Artwork_Sizes_Export!$B:$B,0)),""))</f>
        <v/>
      </c>
      <c r="W138" s="2" t="str">
        <f t="shared" si="22"/>
        <v/>
      </c>
      <c r="X138" s="2"/>
      <c r="Y138" s="2"/>
      <c r="Z138" s="2"/>
      <c r="AA138" s="2"/>
      <c r="AB138" s="2"/>
      <c r="AC138" s="2"/>
      <c r="AD138" s="2"/>
      <c r="AE138" s="2"/>
      <c r="AF138" s="2" t="str">
        <f t="shared" si="23"/>
        <v/>
      </c>
      <c r="AG138" s="2" t="str">
        <f t="shared" si="24"/>
        <v/>
      </c>
      <c r="AH138" s="2" t="str">
        <f>IF($AG138="","",IFERROR(VLOOKUP($AG138,DB_Categories_Export!$A:$B,2,FALSE()),"INVALID CATEGORY"))</f>
        <v/>
      </c>
      <c r="AI138" s="2" t="str">
        <f t="shared" si="25"/>
        <v/>
      </c>
      <c r="AJ138" s="2" t="str">
        <f t="shared" si="26"/>
        <v/>
      </c>
      <c r="AK138" s="2" t="str">
        <f t="shared" si="27"/>
        <v/>
      </c>
      <c r="AL138" s="2" t="str">
        <f t="shared" si="28"/>
        <v/>
      </c>
      <c r="AM138" s="2" t="str">
        <f t="shared" si="29"/>
        <v/>
      </c>
      <c r="AN138" s="2"/>
      <c r="AO138" s="2"/>
    </row>
    <row r="139" spans="1:41" ht="12" customHeight="1" x14ac:dyDescent="0.3">
      <c r="A139" s="2"/>
      <c r="B139" s="2" t="str">
        <f t="shared" si="20"/>
        <v/>
      </c>
      <c r="C139" s="2" t="str">
        <f t="shared" si="21"/>
        <v/>
      </c>
      <c r="D139" s="2" t="str">
        <f>IF(DB_Artworks_Export!A139="","",DB_Artworks_Export!A139)</f>
        <v/>
      </c>
      <c r="E139" s="2" t="str">
        <f>IF(DB_Artworks_Export!B139="","",DB_Artworks_Export!B139)</f>
        <v/>
      </c>
      <c r="F139" s="2" t="str">
        <f>IF(DB_Artworks_Export!C139="","",DB_Artworks_Export!C139)</f>
        <v/>
      </c>
      <c r="G139" s="2" t="str">
        <f>IF(DB_Artworks_Export!D139="","",DB_Artworks_Export!D139)</f>
        <v/>
      </c>
      <c r="H139" s="2" t="str">
        <f>IF(DB_Artworks_Export!E139="","",DB_Artworks_Export!E139)</f>
        <v/>
      </c>
      <c r="I139" s="2" t="str">
        <f>IF(DB_Artworks_Export!F139="","",DB_Artworks_Export!F139)</f>
        <v/>
      </c>
      <c r="J139" s="2" t="str">
        <f>IF(DB_Artworks_Export!G139="","",DB_Artworks_Export!G139)</f>
        <v/>
      </c>
      <c r="K139" s="2" t="str">
        <f>IF(DB_Artworks_Export!H139="","",DB_Artworks_Export!H139)</f>
        <v/>
      </c>
      <c r="L139" s="2" t="str">
        <f>IF(DB_Artworks_Export!I139="","",DB_Artworks_Export!I139)</f>
        <v/>
      </c>
      <c r="M139" s="2" t="str">
        <f>IF(DB_Artworks_Export!J139="","",DB_Artworks_Export!J139)</f>
        <v/>
      </c>
      <c r="N139" s="2" t="str">
        <f>IF(DB_Artworks_Export!K139="","",DB_Artworks_Export!K139)</f>
        <v/>
      </c>
      <c r="O139" s="2" t="str">
        <f>IF(DB_Artworks_Export!L139="","",DB_Artworks_Export!L139)</f>
        <v/>
      </c>
      <c r="P139" s="2" t="str">
        <f>IF(DB_Artworks_Export!M139="","",DB_Artworks_Export!M139)</f>
        <v/>
      </c>
      <c r="Q139" s="2" t="str">
        <f>IF(DB_Artworks_Export!N139="","",DB_Artworks_Export!N139)</f>
        <v/>
      </c>
      <c r="R139" s="2" t="str">
        <f>IF($D139="","",IF(COUNTIF(DB_Categories_Export!$A:$A,$F139)&gt;0,"OK","INVALID CATEGORY"))</f>
        <v/>
      </c>
      <c r="S139" s="2" t="str">
        <f>IF($D139="","",COUNTIF(DB_Artwork_Sizes_Export!$B:$B,$D139))</f>
        <v/>
      </c>
      <c r="T139" s="2" t="str">
        <f>IF($D139="","",IFERROR(INDEX(DB_Artwork_Sizes_Export!$D:$D,MATCH($D139,DB_Artwork_Sizes_Export!$B:$B,0)),""))</f>
        <v/>
      </c>
      <c r="U139" s="2" t="str">
        <f>IF($D139="","",IFERROR(INDEX(DB_Artwork_Sizes_Export!$E:$E,MATCH($D139,DB_Artwork_Sizes_Export!$B:$B,0)),""))</f>
        <v/>
      </c>
      <c r="V139" s="2" t="str">
        <f>IF($D139="","",IFERROR(INDEX(DB_Artwork_Sizes_Export!$F:$F,MATCH($D139,DB_Artwork_Sizes_Export!$B:$B,0)),""))</f>
        <v/>
      </c>
      <c r="W139" s="2" t="str">
        <f t="shared" si="22"/>
        <v/>
      </c>
      <c r="X139" s="2"/>
      <c r="Y139" s="2"/>
      <c r="Z139" s="2"/>
      <c r="AA139" s="2"/>
      <c r="AB139" s="2"/>
      <c r="AC139" s="2"/>
      <c r="AD139" s="2"/>
      <c r="AE139" s="2"/>
      <c r="AF139" s="2" t="str">
        <f t="shared" si="23"/>
        <v/>
      </c>
      <c r="AG139" s="2" t="str">
        <f t="shared" si="24"/>
        <v/>
      </c>
      <c r="AH139" s="2" t="str">
        <f>IF($AG139="","",IFERROR(VLOOKUP($AG139,DB_Categories_Export!$A:$B,2,FALSE()),"INVALID CATEGORY"))</f>
        <v/>
      </c>
      <c r="AI139" s="2" t="str">
        <f t="shared" si="25"/>
        <v/>
      </c>
      <c r="AJ139" s="2" t="str">
        <f t="shared" si="26"/>
        <v/>
      </c>
      <c r="AK139" s="2" t="str">
        <f t="shared" si="27"/>
        <v/>
      </c>
      <c r="AL139" s="2" t="str">
        <f t="shared" si="28"/>
        <v/>
      </c>
      <c r="AM139" s="2" t="str">
        <f t="shared" si="29"/>
        <v/>
      </c>
      <c r="AN139" s="2"/>
      <c r="AO139" s="2"/>
    </row>
    <row r="140" spans="1:41" ht="12" customHeight="1" x14ac:dyDescent="0.3">
      <c r="A140" s="2"/>
      <c r="B140" s="2" t="str">
        <f t="shared" si="20"/>
        <v/>
      </c>
      <c r="C140" s="2" t="str">
        <f t="shared" si="21"/>
        <v/>
      </c>
      <c r="D140" s="2" t="str">
        <f>IF(DB_Artworks_Export!A140="","",DB_Artworks_Export!A140)</f>
        <v/>
      </c>
      <c r="E140" s="2" t="str">
        <f>IF(DB_Artworks_Export!B140="","",DB_Artworks_Export!B140)</f>
        <v/>
      </c>
      <c r="F140" s="2" t="str">
        <f>IF(DB_Artworks_Export!C140="","",DB_Artworks_Export!C140)</f>
        <v/>
      </c>
      <c r="G140" s="2" t="str">
        <f>IF(DB_Artworks_Export!D140="","",DB_Artworks_Export!D140)</f>
        <v/>
      </c>
      <c r="H140" s="2" t="str">
        <f>IF(DB_Artworks_Export!E140="","",DB_Artworks_Export!E140)</f>
        <v/>
      </c>
      <c r="I140" s="2" t="str">
        <f>IF(DB_Artworks_Export!F140="","",DB_Artworks_Export!F140)</f>
        <v/>
      </c>
      <c r="J140" s="2" t="str">
        <f>IF(DB_Artworks_Export!G140="","",DB_Artworks_Export!G140)</f>
        <v/>
      </c>
      <c r="K140" s="2" t="str">
        <f>IF(DB_Artworks_Export!H140="","",DB_Artworks_Export!H140)</f>
        <v/>
      </c>
      <c r="L140" s="2" t="str">
        <f>IF(DB_Artworks_Export!I140="","",DB_Artworks_Export!I140)</f>
        <v/>
      </c>
      <c r="M140" s="2" t="str">
        <f>IF(DB_Artworks_Export!J140="","",DB_Artworks_Export!J140)</f>
        <v/>
      </c>
      <c r="N140" s="2" t="str">
        <f>IF(DB_Artworks_Export!K140="","",DB_Artworks_Export!K140)</f>
        <v/>
      </c>
      <c r="O140" s="2" t="str">
        <f>IF(DB_Artworks_Export!L140="","",DB_Artworks_Export!L140)</f>
        <v/>
      </c>
      <c r="P140" s="2" t="str">
        <f>IF(DB_Artworks_Export!M140="","",DB_Artworks_Export!M140)</f>
        <v/>
      </c>
      <c r="Q140" s="2" t="str">
        <f>IF(DB_Artworks_Export!N140="","",DB_Artworks_Export!N140)</f>
        <v/>
      </c>
      <c r="R140" s="2" t="str">
        <f>IF($D140="","",IF(COUNTIF(DB_Categories_Export!$A:$A,$F140)&gt;0,"OK","INVALID CATEGORY"))</f>
        <v/>
      </c>
      <c r="S140" s="2" t="str">
        <f>IF($D140="","",COUNTIF(DB_Artwork_Sizes_Export!$B:$B,$D140))</f>
        <v/>
      </c>
      <c r="T140" s="2" t="str">
        <f>IF($D140="","",IFERROR(INDEX(DB_Artwork_Sizes_Export!$D:$D,MATCH($D140,DB_Artwork_Sizes_Export!$B:$B,0)),""))</f>
        <v/>
      </c>
      <c r="U140" s="2" t="str">
        <f>IF($D140="","",IFERROR(INDEX(DB_Artwork_Sizes_Export!$E:$E,MATCH($D140,DB_Artwork_Sizes_Export!$B:$B,0)),""))</f>
        <v/>
      </c>
      <c r="V140" s="2" t="str">
        <f>IF($D140="","",IFERROR(INDEX(DB_Artwork_Sizes_Export!$F:$F,MATCH($D140,DB_Artwork_Sizes_Export!$B:$B,0)),""))</f>
        <v/>
      </c>
      <c r="W140" s="2" t="str">
        <f t="shared" si="22"/>
        <v/>
      </c>
      <c r="X140" s="2"/>
      <c r="Y140" s="2"/>
      <c r="Z140" s="2"/>
      <c r="AA140" s="2"/>
      <c r="AB140" s="2"/>
      <c r="AC140" s="2"/>
      <c r="AD140" s="2"/>
      <c r="AE140" s="2"/>
      <c r="AF140" s="2" t="str">
        <f t="shared" si="23"/>
        <v/>
      </c>
      <c r="AG140" s="2" t="str">
        <f t="shared" si="24"/>
        <v/>
      </c>
      <c r="AH140" s="2" t="str">
        <f>IF($AG140="","",IFERROR(VLOOKUP($AG140,DB_Categories_Export!$A:$B,2,FALSE()),"INVALID CATEGORY"))</f>
        <v/>
      </c>
      <c r="AI140" s="2" t="str">
        <f t="shared" si="25"/>
        <v/>
      </c>
      <c r="AJ140" s="2" t="str">
        <f t="shared" si="26"/>
        <v/>
      </c>
      <c r="AK140" s="2" t="str">
        <f t="shared" si="27"/>
        <v/>
      </c>
      <c r="AL140" s="2" t="str">
        <f t="shared" si="28"/>
        <v/>
      </c>
      <c r="AM140" s="2" t="str">
        <f t="shared" si="29"/>
        <v/>
      </c>
      <c r="AN140" s="2"/>
      <c r="AO140" s="2"/>
    </row>
    <row r="141" spans="1:41" ht="12" customHeight="1" x14ac:dyDescent="0.3">
      <c r="A141" s="2"/>
      <c r="B141" s="2" t="str">
        <f t="shared" si="20"/>
        <v/>
      </c>
      <c r="C141" s="2" t="str">
        <f t="shared" si="21"/>
        <v/>
      </c>
      <c r="D141" s="2" t="str">
        <f>IF(DB_Artworks_Export!A141="","",DB_Artworks_Export!A141)</f>
        <v/>
      </c>
      <c r="E141" s="2" t="str">
        <f>IF(DB_Artworks_Export!B141="","",DB_Artworks_Export!B141)</f>
        <v/>
      </c>
      <c r="F141" s="2" t="str">
        <f>IF(DB_Artworks_Export!C141="","",DB_Artworks_Export!C141)</f>
        <v/>
      </c>
      <c r="G141" s="2" t="str">
        <f>IF(DB_Artworks_Export!D141="","",DB_Artworks_Export!D141)</f>
        <v/>
      </c>
      <c r="H141" s="2" t="str">
        <f>IF(DB_Artworks_Export!E141="","",DB_Artworks_Export!E141)</f>
        <v/>
      </c>
      <c r="I141" s="2" t="str">
        <f>IF(DB_Artworks_Export!F141="","",DB_Artworks_Export!F141)</f>
        <v/>
      </c>
      <c r="J141" s="2" t="str">
        <f>IF(DB_Artworks_Export!G141="","",DB_Artworks_Export!G141)</f>
        <v/>
      </c>
      <c r="K141" s="2" t="str">
        <f>IF(DB_Artworks_Export!H141="","",DB_Artworks_Export!H141)</f>
        <v/>
      </c>
      <c r="L141" s="2" t="str">
        <f>IF(DB_Artworks_Export!I141="","",DB_Artworks_Export!I141)</f>
        <v/>
      </c>
      <c r="M141" s="2" t="str">
        <f>IF(DB_Artworks_Export!J141="","",DB_Artworks_Export!J141)</f>
        <v/>
      </c>
      <c r="N141" s="2" t="str">
        <f>IF(DB_Artworks_Export!K141="","",DB_Artworks_Export!K141)</f>
        <v/>
      </c>
      <c r="O141" s="2" t="str">
        <f>IF(DB_Artworks_Export!L141="","",DB_Artworks_Export!L141)</f>
        <v/>
      </c>
      <c r="P141" s="2" t="str">
        <f>IF(DB_Artworks_Export!M141="","",DB_Artworks_Export!M141)</f>
        <v/>
      </c>
      <c r="Q141" s="2" t="str">
        <f>IF(DB_Artworks_Export!N141="","",DB_Artworks_Export!N141)</f>
        <v/>
      </c>
      <c r="R141" s="2" t="str">
        <f>IF($D141="","",IF(COUNTIF(DB_Categories_Export!$A:$A,$F141)&gt;0,"OK","INVALID CATEGORY"))</f>
        <v/>
      </c>
      <c r="S141" s="2" t="str">
        <f>IF($D141="","",COUNTIF(DB_Artwork_Sizes_Export!$B:$B,$D141))</f>
        <v/>
      </c>
      <c r="T141" s="2" t="str">
        <f>IF($D141="","",IFERROR(INDEX(DB_Artwork_Sizes_Export!$D:$D,MATCH($D141,DB_Artwork_Sizes_Export!$B:$B,0)),""))</f>
        <v/>
      </c>
      <c r="U141" s="2" t="str">
        <f>IF($D141="","",IFERROR(INDEX(DB_Artwork_Sizes_Export!$E:$E,MATCH($D141,DB_Artwork_Sizes_Export!$B:$B,0)),""))</f>
        <v/>
      </c>
      <c r="V141" s="2" t="str">
        <f>IF($D141="","",IFERROR(INDEX(DB_Artwork_Sizes_Export!$F:$F,MATCH($D141,DB_Artwork_Sizes_Export!$B:$B,0)),""))</f>
        <v/>
      </c>
      <c r="W141" s="2" t="str">
        <f t="shared" si="22"/>
        <v/>
      </c>
      <c r="X141" s="2"/>
      <c r="Y141" s="2"/>
      <c r="Z141" s="2"/>
      <c r="AA141" s="2"/>
      <c r="AB141" s="2"/>
      <c r="AC141" s="2"/>
      <c r="AD141" s="2"/>
      <c r="AE141" s="2"/>
      <c r="AF141" s="2" t="str">
        <f t="shared" si="23"/>
        <v/>
      </c>
      <c r="AG141" s="2" t="str">
        <f t="shared" si="24"/>
        <v/>
      </c>
      <c r="AH141" s="2" t="str">
        <f>IF($AG141="","",IFERROR(VLOOKUP($AG141,DB_Categories_Export!$A:$B,2,FALSE()),"INVALID CATEGORY"))</f>
        <v/>
      </c>
      <c r="AI141" s="2" t="str">
        <f t="shared" si="25"/>
        <v/>
      </c>
      <c r="AJ141" s="2" t="str">
        <f t="shared" si="26"/>
        <v/>
      </c>
      <c r="AK141" s="2" t="str">
        <f t="shared" si="27"/>
        <v/>
      </c>
      <c r="AL141" s="2" t="str">
        <f t="shared" si="28"/>
        <v/>
      </c>
      <c r="AM141" s="2" t="str">
        <f t="shared" si="29"/>
        <v/>
      </c>
      <c r="AN141" s="2"/>
      <c r="AO141" s="2"/>
    </row>
    <row r="142" spans="1:41" ht="12" customHeight="1" x14ac:dyDescent="0.3">
      <c r="A142" s="2"/>
      <c r="B142" s="2" t="str">
        <f t="shared" si="20"/>
        <v/>
      </c>
      <c r="C142" s="2" t="str">
        <f t="shared" si="21"/>
        <v/>
      </c>
      <c r="D142" s="2" t="str">
        <f>IF(DB_Artworks_Export!A142="","",DB_Artworks_Export!A142)</f>
        <v/>
      </c>
      <c r="E142" s="2" t="str">
        <f>IF(DB_Artworks_Export!B142="","",DB_Artworks_Export!B142)</f>
        <v/>
      </c>
      <c r="F142" s="2" t="str">
        <f>IF(DB_Artworks_Export!C142="","",DB_Artworks_Export!C142)</f>
        <v/>
      </c>
      <c r="G142" s="2" t="str">
        <f>IF(DB_Artworks_Export!D142="","",DB_Artworks_Export!D142)</f>
        <v/>
      </c>
      <c r="H142" s="2" t="str">
        <f>IF(DB_Artworks_Export!E142="","",DB_Artworks_Export!E142)</f>
        <v/>
      </c>
      <c r="I142" s="2" t="str">
        <f>IF(DB_Artworks_Export!F142="","",DB_Artworks_Export!F142)</f>
        <v/>
      </c>
      <c r="J142" s="2" t="str">
        <f>IF(DB_Artworks_Export!G142="","",DB_Artworks_Export!G142)</f>
        <v/>
      </c>
      <c r="K142" s="2" t="str">
        <f>IF(DB_Artworks_Export!H142="","",DB_Artworks_Export!H142)</f>
        <v/>
      </c>
      <c r="L142" s="2" t="str">
        <f>IF(DB_Artworks_Export!I142="","",DB_Artworks_Export!I142)</f>
        <v/>
      </c>
      <c r="M142" s="2" t="str">
        <f>IF(DB_Artworks_Export!J142="","",DB_Artworks_Export!J142)</f>
        <v/>
      </c>
      <c r="N142" s="2" t="str">
        <f>IF(DB_Artworks_Export!K142="","",DB_Artworks_Export!K142)</f>
        <v/>
      </c>
      <c r="O142" s="2" t="str">
        <f>IF(DB_Artworks_Export!L142="","",DB_Artworks_Export!L142)</f>
        <v/>
      </c>
      <c r="P142" s="2" t="str">
        <f>IF(DB_Artworks_Export!M142="","",DB_Artworks_Export!M142)</f>
        <v/>
      </c>
      <c r="Q142" s="2" t="str">
        <f>IF(DB_Artworks_Export!N142="","",DB_Artworks_Export!N142)</f>
        <v/>
      </c>
      <c r="R142" s="2" t="str">
        <f>IF($D142="","",IF(COUNTIF(DB_Categories_Export!$A:$A,$F142)&gt;0,"OK","INVALID CATEGORY"))</f>
        <v/>
      </c>
      <c r="S142" s="2" t="str">
        <f>IF($D142="","",COUNTIF(DB_Artwork_Sizes_Export!$B:$B,$D142))</f>
        <v/>
      </c>
      <c r="T142" s="2" t="str">
        <f>IF($D142="","",IFERROR(INDEX(DB_Artwork_Sizes_Export!$D:$D,MATCH($D142,DB_Artwork_Sizes_Export!$B:$B,0)),""))</f>
        <v/>
      </c>
      <c r="U142" s="2" t="str">
        <f>IF($D142="","",IFERROR(INDEX(DB_Artwork_Sizes_Export!$E:$E,MATCH($D142,DB_Artwork_Sizes_Export!$B:$B,0)),""))</f>
        <v/>
      </c>
      <c r="V142" s="2" t="str">
        <f>IF($D142="","",IFERROR(INDEX(DB_Artwork_Sizes_Export!$F:$F,MATCH($D142,DB_Artwork_Sizes_Export!$B:$B,0)),""))</f>
        <v/>
      </c>
      <c r="W142" s="2" t="str">
        <f t="shared" si="22"/>
        <v/>
      </c>
      <c r="X142" s="2"/>
      <c r="Y142" s="2"/>
      <c r="Z142" s="2"/>
      <c r="AA142" s="2"/>
      <c r="AB142" s="2"/>
      <c r="AC142" s="2"/>
      <c r="AD142" s="2"/>
      <c r="AE142" s="2"/>
      <c r="AF142" s="2" t="str">
        <f t="shared" si="23"/>
        <v/>
      </c>
      <c r="AG142" s="2" t="str">
        <f t="shared" si="24"/>
        <v/>
      </c>
      <c r="AH142" s="2" t="str">
        <f>IF($AG142="","",IFERROR(VLOOKUP($AG142,DB_Categories_Export!$A:$B,2,FALSE()),"INVALID CATEGORY"))</f>
        <v/>
      </c>
      <c r="AI142" s="2" t="str">
        <f t="shared" si="25"/>
        <v/>
      </c>
      <c r="AJ142" s="2" t="str">
        <f t="shared" si="26"/>
        <v/>
      </c>
      <c r="AK142" s="2" t="str">
        <f t="shared" si="27"/>
        <v/>
      </c>
      <c r="AL142" s="2" t="str">
        <f t="shared" si="28"/>
        <v/>
      </c>
      <c r="AM142" s="2" t="str">
        <f t="shared" si="29"/>
        <v/>
      </c>
      <c r="AN142" s="2"/>
      <c r="AO142" s="2"/>
    </row>
    <row r="143" spans="1:41" ht="12" customHeight="1" x14ac:dyDescent="0.3">
      <c r="A143" s="2"/>
      <c r="B143" s="2" t="str">
        <f t="shared" si="20"/>
        <v/>
      </c>
      <c r="C143" s="2" t="str">
        <f t="shared" si="21"/>
        <v/>
      </c>
      <c r="D143" s="2" t="str">
        <f>IF(DB_Artworks_Export!A143="","",DB_Artworks_Export!A143)</f>
        <v/>
      </c>
      <c r="E143" s="2" t="str">
        <f>IF(DB_Artworks_Export!B143="","",DB_Artworks_Export!B143)</f>
        <v/>
      </c>
      <c r="F143" s="2" t="str">
        <f>IF(DB_Artworks_Export!C143="","",DB_Artworks_Export!C143)</f>
        <v/>
      </c>
      <c r="G143" s="2" t="str">
        <f>IF(DB_Artworks_Export!D143="","",DB_Artworks_Export!D143)</f>
        <v/>
      </c>
      <c r="H143" s="2" t="str">
        <f>IF(DB_Artworks_Export!E143="","",DB_Artworks_Export!E143)</f>
        <v/>
      </c>
      <c r="I143" s="2" t="str">
        <f>IF(DB_Artworks_Export!F143="","",DB_Artworks_Export!F143)</f>
        <v/>
      </c>
      <c r="J143" s="2" t="str">
        <f>IF(DB_Artworks_Export!G143="","",DB_Artworks_Export!G143)</f>
        <v/>
      </c>
      <c r="K143" s="2" t="str">
        <f>IF(DB_Artworks_Export!H143="","",DB_Artworks_Export!H143)</f>
        <v/>
      </c>
      <c r="L143" s="2" t="str">
        <f>IF(DB_Artworks_Export!I143="","",DB_Artworks_Export!I143)</f>
        <v/>
      </c>
      <c r="M143" s="2" t="str">
        <f>IF(DB_Artworks_Export!J143="","",DB_Artworks_Export!J143)</f>
        <v/>
      </c>
      <c r="N143" s="2" t="str">
        <f>IF(DB_Artworks_Export!K143="","",DB_Artworks_Export!K143)</f>
        <v/>
      </c>
      <c r="O143" s="2" t="str">
        <f>IF(DB_Artworks_Export!L143="","",DB_Artworks_Export!L143)</f>
        <v/>
      </c>
      <c r="P143" s="2" t="str">
        <f>IF(DB_Artworks_Export!M143="","",DB_Artworks_Export!M143)</f>
        <v/>
      </c>
      <c r="Q143" s="2" t="str">
        <f>IF(DB_Artworks_Export!N143="","",DB_Artworks_Export!N143)</f>
        <v/>
      </c>
      <c r="R143" s="2" t="str">
        <f>IF($D143="","",IF(COUNTIF(DB_Categories_Export!$A:$A,$F143)&gt;0,"OK","INVALID CATEGORY"))</f>
        <v/>
      </c>
      <c r="S143" s="2" t="str">
        <f>IF($D143="","",COUNTIF(DB_Artwork_Sizes_Export!$B:$B,$D143))</f>
        <v/>
      </c>
      <c r="T143" s="2" t="str">
        <f>IF($D143="","",IFERROR(INDEX(DB_Artwork_Sizes_Export!$D:$D,MATCH($D143,DB_Artwork_Sizes_Export!$B:$B,0)),""))</f>
        <v/>
      </c>
      <c r="U143" s="2" t="str">
        <f>IF($D143="","",IFERROR(INDEX(DB_Artwork_Sizes_Export!$E:$E,MATCH($D143,DB_Artwork_Sizes_Export!$B:$B,0)),""))</f>
        <v/>
      </c>
      <c r="V143" s="2" t="str">
        <f>IF($D143="","",IFERROR(INDEX(DB_Artwork_Sizes_Export!$F:$F,MATCH($D143,DB_Artwork_Sizes_Export!$B:$B,0)),""))</f>
        <v/>
      </c>
      <c r="W143" s="2" t="str">
        <f t="shared" si="22"/>
        <v/>
      </c>
      <c r="X143" s="2"/>
      <c r="Y143" s="2"/>
      <c r="Z143" s="2"/>
      <c r="AA143" s="2"/>
      <c r="AB143" s="2"/>
      <c r="AC143" s="2"/>
      <c r="AD143" s="2"/>
      <c r="AE143" s="2"/>
      <c r="AF143" s="2" t="str">
        <f t="shared" si="23"/>
        <v/>
      </c>
      <c r="AG143" s="2" t="str">
        <f t="shared" si="24"/>
        <v/>
      </c>
      <c r="AH143" s="2" t="str">
        <f>IF($AG143="","",IFERROR(VLOOKUP($AG143,DB_Categories_Export!$A:$B,2,FALSE()),"INVALID CATEGORY"))</f>
        <v/>
      </c>
      <c r="AI143" s="2" t="str">
        <f t="shared" si="25"/>
        <v/>
      </c>
      <c r="AJ143" s="2" t="str">
        <f t="shared" si="26"/>
        <v/>
      </c>
      <c r="AK143" s="2" t="str">
        <f t="shared" si="27"/>
        <v/>
      </c>
      <c r="AL143" s="2" t="str">
        <f t="shared" si="28"/>
        <v/>
      </c>
      <c r="AM143" s="2" t="str">
        <f t="shared" si="29"/>
        <v/>
      </c>
      <c r="AN143" s="2"/>
      <c r="AO143" s="2"/>
    </row>
    <row r="144" spans="1:41" ht="12" customHeight="1" x14ac:dyDescent="0.3">
      <c r="A144" s="2"/>
      <c r="B144" s="2" t="str">
        <f t="shared" si="20"/>
        <v/>
      </c>
      <c r="C144" s="2" t="str">
        <f t="shared" si="21"/>
        <v/>
      </c>
      <c r="D144" s="2" t="str">
        <f>IF(DB_Artworks_Export!A144="","",DB_Artworks_Export!A144)</f>
        <v/>
      </c>
      <c r="E144" s="2" t="str">
        <f>IF(DB_Artworks_Export!B144="","",DB_Artworks_Export!B144)</f>
        <v/>
      </c>
      <c r="F144" s="2" t="str">
        <f>IF(DB_Artworks_Export!C144="","",DB_Artworks_Export!C144)</f>
        <v/>
      </c>
      <c r="G144" s="2" t="str">
        <f>IF(DB_Artworks_Export!D144="","",DB_Artworks_Export!D144)</f>
        <v/>
      </c>
      <c r="H144" s="2" t="str">
        <f>IF(DB_Artworks_Export!E144="","",DB_Artworks_Export!E144)</f>
        <v/>
      </c>
      <c r="I144" s="2" t="str">
        <f>IF(DB_Artworks_Export!F144="","",DB_Artworks_Export!F144)</f>
        <v/>
      </c>
      <c r="J144" s="2" t="str">
        <f>IF(DB_Artworks_Export!G144="","",DB_Artworks_Export!G144)</f>
        <v/>
      </c>
      <c r="K144" s="2" t="str">
        <f>IF(DB_Artworks_Export!H144="","",DB_Artworks_Export!H144)</f>
        <v/>
      </c>
      <c r="L144" s="2" t="str">
        <f>IF(DB_Artworks_Export!I144="","",DB_Artworks_Export!I144)</f>
        <v/>
      </c>
      <c r="M144" s="2" t="str">
        <f>IF(DB_Artworks_Export!J144="","",DB_Artworks_Export!J144)</f>
        <v/>
      </c>
      <c r="N144" s="2" t="str">
        <f>IF(DB_Artworks_Export!K144="","",DB_Artworks_Export!K144)</f>
        <v/>
      </c>
      <c r="O144" s="2" t="str">
        <f>IF(DB_Artworks_Export!L144="","",DB_Artworks_Export!L144)</f>
        <v/>
      </c>
      <c r="P144" s="2" t="str">
        <f>IF(DB_Artworks_Export!M144="","",DB_Artworks_Export!M144)</f>
        <v/>
      </c>
      <c r="Q144" s="2" t="str">
        <f>IF(DB_Artworks_Export!N144="","",DB_Artworks_Export!N144)</f>
        <v/>
      </c>
      <c r="R144" s="2" t="str">
        <f>IF($D144="","",IF(COUNTIF(DB_Categories_Export!$A:$A,$F144)&gt;0,"OK","INVALID CATEGORY"))</f>
        <v/>
      </c>
      <c r="S144" s="2" t="str">
        <f>IF($D144="","",COUNTIF(DB_Artwork_Sizes_Export!$B:$B,$D144))</f>
        <v/>
      </c>
      <c r="T144" s="2" t="str">
        <f>IF($D144="","",IFERROR(INDEX(DB_Artwork_Sizes_Export!$D:$D,MATCH($D144,DB_Artwork_Sizes_Export!$B:$B,0)),""))</f>
        <v/>
      </c>
      <c r="U144" s="2" t="str">
        <f>IF($D144="","",IFERROR(INDEX(DB_Artwork_Sizes_Export!$E:$E,MATCH($D144,DB_Artwork_Sizes_Export!$B:$B,0)),""))</f>
        <v/>
      </c>
      <c r="V144" s="2" t="str">
        <f>IF($D144="","",IFERROR(INDEX(DB_Artwork_Sizes_Export!$F:$F,MATCH($D144,DB_Artwork_Sizes_Export!$B:$B,0)),""))</f>
        <v/>
      </c>
      <c r="W144" s="2" t="str">
        <f t="shared" si="22"/>
        <v/>
      </c>
      <c r="X144" s="2"/>
      <c r="Y144" s="2"/>
      <c r="Z144" s="2"/>
      <c r="AA144" s="2"/>
      <c r="AB144" s="2"/>
      <c r="AC144" s="2"/>
      <c r="AD144" s="2"/>
      <c r="AE144" s="2"/>
      <c r="AF144" s="2" t="str">
        <f t="shared" si="23"/>
        <v/>
      </c>
      <c r="AG144" s="2" t="str">
        <f t="shared" si="24"/>
        <v/>
      </c>
      <c r="AH144" s="2" t="str">
        <f>IF($AG144="","",IFERROR(VLOOKUP($AG144,DB_Categories_Export!$A:$B,2,FALSE()),"INVALID CATEGORY"))</f>
        <v/>
      </c>
      <c r="AI144" s="2" t="str">
        <f t="shared" si="25"/>
        <v/>
      </c>
      <c r="AJ144" s="2" t="str">
        <f t="shared" si="26"/>
        <v/>
      </c>
      <c r="AK144" s="2" t="str">
        <f t="shared" si="27"/>
        <v/>
      </c>
      <c r="AL144" s="2" t="str">
        <f t="shared" si="28"/>
        <v/>
      </c>
      <c r="AM144" s="2" t="str">
        <f t="shared" si="29"/>
        <v/>
      </c>
      <c r="AN144" s="2"/>
      <c r="AO144" s="2"/>
    </row>
    <row r="145" spans="1:41" ht="12" customHeight="1" x14ac:dyDescent="0.3">
      <c r="A145" s="2"/>
      <c r="B145" s="2" t="str">
        <f t="shared" si="20"/>
        <v/>
      </c>
      <c r="C145" s="2" t="str">
        <f t="shared" si="21"/>
        <v/>
      </c>
      <c r="D145" s="2" t="str">
        <f>IF(DB_Artworks_Export!A145="","",DB_Artworks_Export!A145)</f>
        <v/>
      </c>
      <c r="E145" s="2" t="str">
        <f>IF(DB_Artworks_Export!B145="","",DB_Artworks_Export!B145)</f>
        <v/>
      </c>
      <c r="F145" s="2" t="str">
        <f>IF(DB_Artworks_Export!C145="","",DB_Artworks_Export!C145)</f>
        <v/>
      </c>
      <c r="G145" s="2" t="str">
        <f>IF(DB_Artworks_Export!D145="","",DB_Artworks_Export!D145)</f>
        <v/>
      </c>
      <c r="H145" s="2" t="str">
        <f>IF(DB_Artworks_Export!E145="","",DB_Artworks_Export!E145)</f>
        <v/>
      </c>
      <c r="I145" s="2" t="str">
        <f>IF(DB_Artworks_Export!F145="","",DB_Artworks_Export!F145)</f>
        <v/>
      </c>
      <c r="J145" s="2" t="str">
        <f>IF(DB_Artworks_Export!G145="","",DB_Artworks_Export!G145)</f>
        <v/>
      </c>
      <c r="K145" s="2" t="str">
        <f>IF(DB_Artworks_Export!H145="","",DB_Artworks_Export!H145)</f>
        <v/>
      </c>
      <c r="L145" s="2" t="str">
        <f>IF(DB_Artworks_Export!I145="","",DB_Artworks_Export!I145)</f>
        <v/>
      </c>
      <c r="M145" s="2" t="str">
        <f>IF(DB_Artworks_Export!J145="","",DB_Artworks_Export!J145)</f>
        <v/>
      </c>
      <c r="N145" s="2" t="str">
        <f>IF(DB_Artworks_Export!K145="","",DB_Artworks_Export!K145)</f>
        <v/>
      </c>
      <c r="O145" s="2" t="str">
        <f>IF(DB_Artworks_Export!L145="","",DB_Artworks_Export!L145)</f>
        <v/>
      </c>
      <c r="P145" s="2" t="str">
        <f>IF(DB_Artworks_Export!M145="","",DB_Artworks_Export!M145)</f>
        <v/>
      </c>
      <c r="Q145" s="2" t="str">
        <f>IF(DB_Artworks_Export!N145="","",DB_Artworks_Export!N145)</f>
        <v/>
      </c>
      <c r="R145" s="2" t="str">
        <f>IF($D145="","",IF(COUNTIF(DB_Categories_Export!$A:$A,$F145)&gt;0,"OK","INVALID CATEGORY"))</f>
        <v/>
      </c>
      <c r="S145" s="2" t="str">
        <f>IF($D145="","",COUNTIF(DB_Artwork_Sizes_Export!$B:$B,$D145))</f>
        <v/>
      </c>
      <c r="T145" s="2" t="str">
        <f>IF($D145="","",IFERROR(INDEX(DB_Artwork_Sizes_Export!$D:$D,MATCH($D145,DB_Artwork_Sizes_Export!$B:$B,0)),""))</f>
        <v/>
      </c>
      <c r="U145" s="2" t="str">
        <f>IF($D145="","",IFERROR(INDEX(DB_Artwork_Sizes_Export!$E:$E,MATCH($D145,DB_Artwork_Sizes_Export!$B:$B,0)),""))</f>
        <v/>
      </c>
      <c r="V145" s="2" t="str">
        <f>IF($D145="","",IFERROR(INDEX(DB_Artwork_Sizes_Export!$F:$F,MATCH($D145,DB_Artwork_Sizes_Export!$B:$B,0)),""))</f>
        <v/>
      </c>
      <c r="W145" s="2" t="str">
        <f t="shared" si="22"/>
        <v/>
      </c>
      <c r="X145" s="2"/>
      <c r="Y145" s="2"/>
      <c r="Z145" s="2"/>
      <c r="AA145" s="2"/>
      <c r="AB145" s="2"/>
      <c r="AC145" s="2"/>
      <c r="AD145" s="2"/>
      <c r="AE145" s="2"/>
      <c r="AF145" s="2" t="str">
        <f t="shared" si="23"/>
        <v/>
      </c>
      <c r="AG145" s="2" t="str">
        <f t="shared" si="24"/>
        <v/>
      </c>
      <c r="AH145" s="2" t="str">
        <f>IF($AG145="","",IFERROR(VLOOKUP($AG145,DB_Categories_Export!$A:$B,2,FALSE()),"INVALID CATEGORY"))</f>
        <v/>
      </c>
      <c r="AI145" s="2" t="str">
        <f t="shared" si="25"/>
        <v/>
      </c>
      <c r="AJ145" s="2" t="str">
        <f t="shared" si="26"/>
        <v/>
      </c>
      <c r="AK145" s="2" t="str">
        <f t="shared" si="27"/>
        <v/>
      </c>
      <c r="AL145" s="2" t="str">
        <f t="shared" si="28"/>
        <v/>
      </c>
      <c r="AM145" s="2" t="str">
        <f t="shared" si="29"/>
        <v/>
      </c>
      <c r="AN145" s="2"/>
      <c r="AO145" s="2"/>
    </row>
    <row r="146" spans="1:41" ht="12" customHeight="1" x14ac:dyDescent="0.3">
      <c r="A146" s="2"/>
      <c r="B146" s="2" t="str">
        <f t="shared" si="20"/>
        <v/>
      </c>
      <c r="C146" s="2" t="str">
        <f t="shared" si="21"/>
        <v/>
      </c>
      <c r="D146" s="2" t="str">
        <f>IF(DB_Artworks_Export!A146="","",DB_Artworks_Export!A146)</f>
        <v/>
      </c>
      <c r="E146" s="2" t="str">
        <f>IF(DB_Artworks_Export!B146="","",DB_Artworks_Export!B146)</f>
        <v/>
      </c>
      <c r="F146" s="2" t="str">
        <f>IF(DB_Artworks_Export!C146="","",DB_Artworks_Export!C146)</f>
        <v/>
      </c>
      <c r="G146" s="2" t="str">
        <f>IF(DB_Artworks_Export!D146="","",DB_Artworks_Export!D146)</f>
        <v/>
      </c>
      <c r="H146" s="2" t="str">
        <f>IF(DB_Artworks_Export!E146="","",DB_Artworks_Export!E146)</f>
        <v/>
      </c>
      <c r="I146" s="2" t="str">
        <f>IF(DB_Artworks_Export!F146="","",DB_Artworks_Export!F146)</f>
        <v/>
      </c>
      <c r="J146" s="2" t="str">
        <f>IF(DB_Artworks_Export!G146="","",DB_Artworks_Export!G146)</f>
        <v/>
      </c>
      <c r="K146" s="2" t="str">
        <f>IF(DB_Artworks_Export!H146="","",DB_Artworks_Export!H146)</f>
        <v/>
      </c>
      <c r="L146" s="2" t="str">
        <f>IF(DB_Artworks_Export!I146="","",DB_Artworks_Export!I146)</f>
        <v/>
      </c>
      <c r="M146" s="2" t="str">
        <f>IF(DB_Artworks_Export!J146="","",DB_Artworks_Export!J146)</f>
        <v/>
      </c>
      <c r="N146" s="2" t="str">
        <f>IF(DB_Artworks_Export!K146="","",DB_Artworks_Export!K146)</f>
        <v/>
      </c>
      <c r="O146" s="2" t="str">
        <f>IF(DB_Artworks_Export!L146="","",DB_Artworks_Export!L146)</f>
        <v/>
      </c>
      <c r="P146" s="2" t="str">
        <f>IF(DB_Artworks_Export!M146="","",DB_Artworks_Export!M146)</f>
        <v/>
      </c>
      <c r="Q146" s="2" t="str">
        <f>IF(DB_Artworks_Export!N146="","",DB_Artworks_Export!N146)</f>
        <v/>
      </c>
      <c r="R146" s="2" t="str">
        <f>IF($D146="","",IF(COUNTIF(DB_Categories_Export!$A:$A,$F146)&gt;0,"OK","INVALID CATEGORY"))</f>
        <v/>
      </c>
      <c r="S146" s="2" t="str">
        <f>IF($D146="","",COUNTIF(DB_Artwork_Sizes_Export!$B:$B,$D146))</f>
        <v/>
      </c>
      <c r="T146" s="2" t="str">
        <f>IF($D146="","",IFERROR(INDEX(DB_Artwork_Sizes_Export!$D:$D,MATCH($D146,DB_Artwork_Sizes_Export!$B:$B,0)),""))</f>
        <v/>
      </c>
      <c r="U146" s="2" t="str">
        <f>IF($D146="","",IFERROR(INDEX(DB_Artwork_Sizes_Export!$E:$E,MATCH($D146,DB_Artwork_Sizes_Export!$B:$B,0)),""))</f>
        <v/>
      </c>
      <c r="V146" s="2" t="str">
        <f>IF($D146="","",IFERROR(INDEX(DB_Artwork_Sizes_Export!$F:$F,MATCH($D146,DB_Artwork_Sizes_Export!$B:$B,0)),""))</f>
        <v/>
      </c>
      <c r="W146" s="2" t="str">
        <f t="shared" si="22"/>
        <v/>
      </c>
      <c r="X146" s="2"/>
      <c r="Y146" s="2"/>
      <c r="Z146" s="2"/>
      <c r="AA146" s="2"/>
      <c r="AB146" s="2"/>
      <c r="AC146" s="2"/>
      <c r="AD146" s="2"/>
      <c r="AE146" s="2"/>
      <c r="AF146" s="2" t="str">
        <f t="shared" si="23"/>
        <v/>
      </c>
      <c r="AG146" s="2" t="str">
        <f t="shared" si="24"/>
        <v/>
      </c>
      <c r="AH146" s="2" t="str">
        <f>IF($AG146="","",IFERROR(VLOOKUP($AG146,DB_Categories_Export!$A:$B,2,FALSE()),"INVALID CATEGORY"))</f>
        <v/>
      </c>
      <c r="AI146" s="2" t="str">
        <f t="shared" si="25"/>
        <v/>
      </c>
      <c r="AJ146" s="2" t="str">
        <f t="shared" si="26"/>
        <v/>
      </c>
      <c r="AK146" s="2" t="str">
        <f t="shared" si="27"/>
        <v/>
      </c>
      <c r="AL146" s="2" t="str">
        <f t="shared" si="28"/>
        <v/>
      </c>
      <c r="AM146" s="2" t="str">
        <f t="shared" si="29"/>
        <v/>
      </c>
      <c r="AN146" s="2"/>
      <c r="AO146" s="2"/>
    </row>
    <row r="147" spans="1:41" ht="12" customHeight="1" x14ac:dyDescent="0.3">
      <c r="A147" s="2"/>
      <c r="B147" s="2" t="str">
        <f t="shared" si="20"/>
        <v/>
      </c>
      <c r="C147" s="2" t="str">
        <f t="shared" si="21"/>
        <v/>
      </c>
      <c r="D147" s="2" t="str">
        <f>IF(DB_Artworks_Export!A147="","",DB_Artworks_Export!A147)</f>
        <v/>
      </c>
      <c r="E147" s="2" t="str">
        <f>IF(DB_Artworks_Export!B147="","",DB_Artworks_Export!B147)</f>
        <v/>
      </c>
      <c r="F147" s="2" t="str">
        <f>IF(DB_Artworks_Export!C147="","",DB_Artworks_Export!C147)</f>
        <v/>
      </c>
      <c r="G147" s="2" t="str">
        <f>IF(DB_Artworks_Export!D147="","",DB_Artworks_Export!D147)</f>
        <v/>
      </c>
      <c r="H147" s="2" t="str">
        <f>IF(DB_Artworks_Export!E147="","",DB_Artworks_Export!E147)</f>
        <v/>
      </c>
      <c r="I147" s="2" t="str">
        <f>IF(DB_Artworks_Export!F147="","",DB_Artworks_Export!F147)</f>
        <v/>
      </c>
      <c r="J147" s="2" t="str">
        <f>IF(DB_Artworks_Export!G147="","",DB_Artworks_Export!G147)</f>
        <v/>
      </c>
      <c r="K147" s="2" t="str">
        <f>IF(DB_Artworks_Export!H147="","",DB_Artworks_Export!H147)</f>
        <v/>
      </c>
      <c r="L147" s="2" t="str">
        <f>IF(DB_Artworks_Export!I147="","",DB_Artworks_Export!I147)</f>
        <v/>
      </c>
      <c r="M147" s="2" t="str">
        <f>IF(DB_Artworks_Export!J147="","",DB_Artworks_Export!J147)</f>
        <v/>
      </c>
      <c r="N147" s="2" t="str">
        <f>IF(DB_Artworks_Export!K147="","",DB_Artworks_Export!K147)</f>
        <v/>
      </c>
      <c r="O147" s="2" t="str">
        <f>IF(DB_Artworks_Export!L147="","",DB_Artworks_Export!L147)</f>
        <v/>
      </c>
      <c r="P147" s="2" t="str">
        <f>IF(DB_Artworks_Export!M147="","",DB_Artworks_Export!M147)</f>
        <v/>
      </c>
      <c r="Q147" s="2" t="str">
        <f>IF(DB_Artworks_Export!N147="","",DB_Artworks_Export!N147)</f>
        <v/>
      </c>
      <c r="R147" s="2" t="str">
        <f>IF($D147="","",IF(COUNTIF(DB_Categories_Export!$A:$A,$F147)&gt;0,"OK","INVALID CATEGORY"))</f>
        <v/>
      </c>
      <c r="S147" s="2" t="str">
        <f>IF($D147="","",COUNTIF(DB_Artwork_Sizes_Export!$B:$B,$D147))</f>
        <v/>
      </c>
      <c r="T147" s="2" t="str">
        <f>IF($D147="","",IFERROR(INDEX(DB_Artwork_Sizes_Export!$D:$D,MATCH($D147,DB_Artwork_Sizes_Export!$B:$B,0)),""))</f>
        <v/>
      </c>
      <c r="U147" s="2" t="str">
        <f>IF($D147="","",IFERROR(INDEX(DB_Artwork_Sizes_Export!$E:$E,MATCH($D147,DB_Artwork_Sizes_Export!$B:$B,0)),""))</f>
        <v/>
      </c>
      <c r="V147" s="2" t="str">
        <f>IF($D147="","",IFERROR(INDEX(DB_Artwork_Sizes_Export!$F:$F,MATCH($D147,DB_Artwork_Sizes_Export!$B:$B,0)),""))</f>
        <v/>
      </c>
      <c r="W147" s="2" t="str">
        <f t="shared" si="22"/>
        <v/>
      </c>
      <c r="X147" s="2"/>
      <c r="Y147" s="2"/>
      <c r="Z147" s="2"/>
      <c r="AA147" s="2"/>
      <c r="AB147" s="2"/>
      <c r="AC147" s="2"/>
      <c r="AD147" s="2"/>
      <c r="AE147" s="2"/>
      <c r="AF147" s="2" t="str">
        <f t="shared" si="23"/>
        <v/>
      </c>
      <c r="AG147" s="2" t="str">
        <f t="shared" si="24"/>
        <v/>
      </c>
      <c r="AH147" s="2" t="str">
        <f>IF($AG147="","",IFERROR(VLOOKUP($AG147,DB_Categories_Export!$A:$B,2,FALSE()),"INVALID CATEGORY"))</f>
        <v/>
      </c>
      <c r="AI147" s="2" t="str">
        <f t="shared" si="25"/>
        <v/>
      </c>
      <c r="AJ147" s="2" t="str">
        <f t="shared" si="26"/>
        <v/>
      </c>
      <c r="AK147" s="2" t="str">
        <f t="shared" si="27"/>
        <v/>
      </c>
      <c r="AL147" s="2" t="str">
        <f t="shared" si="28"/>
        <v/>
      </c>
      <c r="AM147" s="2" t="str">
        <f t="shared" si="29"/>
        <v/>
      </c>
      <c r="AN147" s="2"/>
      <c r="AO147" s="2"/>
    </row>
    <row r="148" spans="1:41" ht="12" customHeight="1" x14ac:dyDescent="0.3">
      <c r="A148" s="2"/>
      <c r="B148" s="2" t="str">
        <f t="shared" si="20"/>
        <v/>
      </c>
      <c r="C148" s="2" t="str">
        <f t="shared" si="21"/>
        <v/>
      </c>
      <c r="D148" s="2" t="str">
        <f>IF(DB_Artworks_Export!A148="","",DB_Artworks_Export!A148)</f>
        <v/>
      </c>
      <c r="E148" s="2" t="str">
        <f>IF(DB_Artworks_Export!B148="","",DB_Artworks_Export!B148)</f>
        <v/>
      </c>
      <c r="F148" s="2" t="str">
        <f>IF(DB_Artworks_Export!C148="","",DB_Artworks_Export!C148)</f>
        <v/>
      </c>
      <c r="G148" s="2" t="str">
        <f>IF(DB_Artworks_Export!D148="","",DB_Artworks_Export!D148)</f>
        <v/>
      </c>
      <c r="H148" s="2" t="str">
        <f>IF(DB_Artworks_Export!E148="","",DB_Artworks_Export!E148)</f>
        <v/>
      </c>
      <c r="I148" s="2" t="str">
        <f>IF(DB_Artworks_Export!F148="","",DB_Artworks_Export!F148)</f>
        <v/>
      </c>
      <c r="J148" s="2" t="str">
        <f>IF(DB_Artworks_Export!G148="","",DB_Artworks_Export!G148)</f>
        <v/>
      </c>
      <c r="K148" s="2" t="str">
        <f>IF(DB_Artworks_Export!H148="","",DB_Artworks_Export!H148)</f>
        <v/>
      </c>
      <c r="L148" s="2" t="str">
        <f>IF(DB_Artworks_Export!I148="","",DB_Artworks_Export!I148)</f>
        <v/>
      </c>
      <c r="M148" s="2" t="str">
        <f>IF(DB_Artworks_Export!J148="","",DB_Artworks_Export!J148)</f>
        <v/>
      </c>
      <c r="N148" s="2" t="str">
        <f>IF(DB_Artworks_Export!K148="","",DB_Artworks_Export!K148)</f>
        <v/>
      </c>
      <c r="O148" s="2" t="str">
        <f>IF(DB_Artworks_Export!L148="","",DB_Artworks_Export!L148)</f>
        <v/>
      </c>
      <c r="P148" s="2" t="str">
        <f>IF(DB_Artworks_Export!M148="","",DB_Artworks_Export!M148)</f>
        <v/>
      </c>
      <c r="Q148" s="2" t="str">
        <f>IF(DB_Artworks_Export!N148="","",DB_Artworks_Export!N148)</f>
        <v/>
      </c>
      <c r="R148" s="2" t="str">
        <f>IF($D148="","",IF(COUNTIF(DB_Categories_Export!$A:$A,$F148)&gt;0,"OK","INVALID CATEGORY"))</f>
        <v/>
      </c>
      <c r="S148" s="2" t="str">
        <f>IF($D148="","",COUNTIF(DB_Artwork_Sizes_Export!$B:$B,$D148))</f>
        <v/>
      </c>
      <c r="T148" s="2" t="str">
        <f>IF($D148="","",IFERROR(INDEX(DB_Artwork_Sizes_Export!$D:$D,MATCH($D148,DB_Artwork_Sizes_Export!$B:$B,0)),""))</f>
        <v/>
      </c>
      <c r="U148" s="2" t="str">
        <f>IF($D148="","",IFERROR(INDEX(DB_Artwork_Sizes_Export!$E:$E,MATCH($D148,DB_Artwork_Sizes_Export!$B:$B,0)),""))</f>
        <v/>
      </c>
      <c r="V148" s="2" t="str">
        <f>IF($D148="","",IFERROR(INDEX(DB_Artwork_Sizes_Export!$F:$F,MATCH($D148,DB_Artwork_Sizes_Export!$B:$B,0)),""))</f>
        <v/>
      </c>
      <c r="W148" s="2" t="str">
        <f t="shared" si="22"/>
        <v/>
      </c>
      <c r="X148" s="2"/>
      <c r="Y148" s="2"/>
      <c r="Z148" s="2"/>
      <c r="AA148" s="2"/>
      <c r="AB148" s="2"/>
      <c r="AC148" s="2"/>
      <c r="AD148" s="2"/>
      <c r="AE148" s="2"/>
      <c r="AF148" s="2" t="str">
        <f t="shared" si="23"/>
        <v/>
      </c>
      <c r="AG148" s="2" t="str">
        <f t="shared" si="24"/>
        <v/>
      </c>
      <c r="AH148" s="2" t="str">
        <f>IF($AG148="","",IFERROR(VLOOKUP($AG148,DB_Categories_Export!$A:$B,2,FALSE()),"INVALID CATEGORY"))</f>
        <v/>
      </c>
      <c r="AI148" s="2" t="str">
        <f t="shared" si="25"/>
        <v/>
      </c>
      <c r="AJ148" s="2" t="str">
        <f t="shared" si="26"/>
        <v/>
      </c>
      <c r="AK148" s="2" t="str">
        <f t="shared" si="27"/>
        <v/>
      </c>
      <c r="AL148" s="2" t="str">
        <f t="shared" si="28"/>
        <v/>
      </c>
      <c r="AM148" s="2" t="str">
        <f t="shared" si="29"/>
        <v/>
      </c>
      <c r="AN148" s="2"/>
      <c r="AO148" s="2"/>
    </row>
    <row r="149" spans="1:41" ht="12" customHeight="1" x14ac:dyDescent="0.3">
      <c r="A149" s="2"/>
      <c r="B149" s="2" t="str">
        <f t="shared" si="20"/>
        <v/>
      </c>
      <c r="C149" s="2" t="str">
        <f t="shared" si="21"/>
        <v/>
      </c>
      <c r="D149" s="2" t="str">
        <f>IF(DB_Artworks_Export!A149="","",DB_Artworks_Export!A149)</f>
        <v/>
      </c>
      <c r="E149" s="2" t="str">
        <f>IF(DB_Artworks_Export!B149="","",DB_Artworks_Export!B149)</f>
        <v/>
      </c>
      <c r="F149" s="2" t="str">
        <f>IF(DB_Artworks_Export!C149="","",DB_Artworks_Export!C149)</f>
        <v/>
      </c>
      <c r="G149" s="2" t="str">
        <f>IF(DB_Artworks_Export!D149="","",DB_Artworks_Export!D149)</f>
        <v/>
      </c>
      <c r="H149" s="2" t="str">
        <f>IF(DB_Artworks_Export!E149="","",DB_Artworks_Export!E149)</f>
        <v/>
      </c>
      <c r="I149" s="2" t="str">
        <f>IF(DB_Artworks_Export!F149="","",DB_Artworks_Export!F149)</f>
        <v/>
      </c>
      <c r="J149" s="2" t="str">
        <f>IF(DB_Artworks_Export!G149="","",DB_Artworks_Export!G149)</f>
        <v/>
      </c>
      <c r="K149" s="2" t="str">
        <f>IF(DB_Artworks_Export!H149="","",DB_Artworks_Export!H149)</f>
        <v/>
      </c>
      <c r="L149" s="2" t="str">
        <f>IF(DB_Artworks_Export!I149="","",DB_Artworks_Export!I149)</f>
        <v/>
      </c>
      <c r="M149" s="2" t="str">
        <f>IF(DB_Artworks_Export!J149="","",DB_Artworks_Export!J149)</f>
        <v/>
      </c>
      <c r="N149" s="2" t="str">
        <f>IF(DB_Artworks_Export!K149="","",DB_Artworks_Export!K149)</f>
        <v/>
      </c>
      <c r="O149" s="2" t="str">
        <f>IF(DB_Artworks_Export!L149="","",DB_Artworks_Export!L149)</f>
        <v/>
      </c>
      <c r="P149" s="2" t="str">
        <f>IF(DB_Artworks_Export!M149="","",DB_Artworks_Export!M149)</f>
        <v/>
      </c>
      <c r="Q149" s="2" t="str">
        <f>IF(DB_Artworks_Export!N149="","",DB_Artworks_Export!N149)</f>
        <v/>
      </c>
      <c r="R149" s="2" t="str">
        <f>IF($D149="","",IF(COUNTIF(DB_Categories_Export!$A:$A,$F149)&gt;0,"OK","INVALID CATEGORY"))</f>
        <v/>
      </c>
      <c r="S149" s="2" t="str">
        <f>IF($D149="","",COUNTIF(DB_Artwork_Sizes_Export!$B:$B,$D149))</f>
        <v/>
      </c>
      <c r="T149" s="2" t="str">
        <f>IF($D149="","",IFERROR(INDEX(DB_Artwork_Sizes_Export!$D:$D,MATCH($D149,DB_Artwork_Sizes_Export!$B:$B,0)),""))</f>
        <v/>
      </c>
      <c r="U149" s="2" t="str">
        <f>IF($D149="","",IFERROR(INDEX(DB_Artwork_Sizes_Export!$E:$E,MATCH($D149,DB_Artwork_Sizes_Export!$B:$B,0)),""))</f>
        <v/>
      </c>
      <c r="V149" s="2" t="str">
        <f>IF($D149="","",IFERROR(INDEX(DB_Artwork_Sizes_Export!$F:$F,MATCH($D149,DB_Artwork_Sizes_Export!$B:$B,0)),""))</f>
        <v/>
      </c>
      <c r="W149" s="2" t="str">
        <f t="shared" si="22"/>
        <v/>
      </c>
      <c r="X149" s="2"/>
      <c r="Y149" s="2"/>
      <c r="Z149" s="2"/>
      <c r="AA149" s="2"/>
      <c r="AB149" s="2"/>
      <c r="AC149" s="2"/>
      <c r="AD149" s="2"/>
      <c r="AE149" s="2"/>
      <c r="AF149" s="2" t="str">
        <f t="shared" si="23"/>
        <v/>
      </c>
      <c r="AG149" s="2" t="str">
        <f t="shared" si="24"/>
        <v/>
      </c>
      <c r="AH149" s="2" t="str">
        <f>IF($AG149="","",IFERROR(VLOOKUP($AG149,DB_Categories_Export!$A:$B,2,FALSE()),"INVALID CATEGORY"))</f>
        <v/>
      </c>
      <c r="AI149" s="2" t="str">
        <f t="shared" si="25"/>
        <v/>
      </c>
      <c r="AJ149" s="2" t="str">
        <f t="shared" si="26"/>
        <v/>
      </c>
      <c r="AK149" s="2" t="str">
        <f t="shared" si="27"/>
        <v/>
      </c>
      <c r="AL149" s="2" t="str">
        <f t="shared" si="28"/>
        <v/>
      </c>
      <c r="AM149" s="2" t="str">
        <f t="shared" si="29"/>
        <v/>
      </c>
      <c r="AN149" s="2"/>
      <c r="AO149" s="2"/>
    </row>
    <row r="150" spans="1:41" ht="12" customHeight="1" x14ac:dyDescent="0.3">
      <c r="A150" s="2"/>
      <c r="B150" s="2" t="str">
        <f t="shared" si="20"/>
        <v/>
      </c>
      <c r="C150" s="2" t="str">
        <f t="shared" si="21"/>
        <v/>
      </c>
      <c r="D150" s="2" t="str">
        <f>IF(DB_Artworks_Export!A150="","",DB_Artworks_Export!A150)</f>
        <v/>
      </c>
      <c r="E150" s="2" t="str">
        <f>IF(DB_Artworks_Export!B150="","",DB_Artworks_Export!B150)</f>
        <v/>
      </c>
      <c r="F150" s="2" t="str">
        <f>IF(DB_Artworks_Export!C150="","",DB_Artworks_Export!C150)</f>
        <v/>
      </c>
      <c r="G150" s="2" t="str">
        <f>IF(DB_Artworks_Export!D150="","",DB_Artworks_Export!D150)</f>
        <v/>
      </c>
      <c r="H150" s="2" t="str">
        <f>IF(DB_Artworks_Export!E150="","",DB_Artworks_Export!E150)</f>
        <v/>
      </c>
      <c r="I150" s="2" t="str">
        <f>IF(DB_Artworks_Export!F150="","",DB_Artworks_Export!F150)</f>
        <v/>
      </c>
      <c r="J150" s="2" t="str">
        <f>IF(DB_Artworks_Export!G150="","",DB_Artworks_Export!G150)</f>
        <v/>
      </c>
      <c r="K150" s="2" t="str">
        <f>IF(DB_Artworks_Export!H150="","",DB_Artworks_Export!H150)</f>
        <v/>
      </c>
      <c r="L150" s="2" t="str">
        <f>IF(DB_Artworks_Export!I150="","",DB_Artworks_Export!I150)</f>
        <v/>
      </c>
      <c r="M150" s="2" t="str">
        <f>IF(DB_Artworks_Export!J150="","",DB_Artworks_Export!J150)</f>
        <v/>
      </c>
      <c r="N150" s="2" t="str">
        <f>IF(DB_Artworks_Export!K150="","",DB_Artworks_Export!K150)</f>
        <v/>
      </c>
      <c r="O150" s="2" t="str">
        <f>IF(DB_Artworks_Export!L150="","",DB_Artworks_Export!L150)</f>
        <v/>
      </c>
      <c r="P150" s="2" t="str">
        <f>IF(DB_Artworks_Export!M150="","",DB_Artworks_Export!M150)</f>
        <v/>
      </c>
      <c r="Q150" s="2" t="str">
        <f>IF(DB_Artworks_Export!N150="","",DB_Artworks_Export!N150)</f>
        <v/>
      </c>
      <c r="R150" s="2" t="str">
        <f>IF($D150="","",IF(COUNTIF(DB_Categories_Export!$A:$A,$F150)&gt;0,"OK","INVALID CATEGORY"))</f>
        <v/>
      </c>
      <c r="S150" s="2" t="str">
        <f>IF($D150="","",COUNTIF(DB_Artwork_Sizes_Export!$B:$B,$D150))</f>
        <v/>
      </c>
      <c r="T150" s="2" t="str">
        <f>IF($D150="","",IFERROR(INDEX(DB_Artwork_Sizes_Export!$D:$D,MATCH($D150,DB_Artwork_Sizes_Export!$B:$B,0)),""))</f>
        <v/>
      </c>
      <c r="U150" s="2" t="str">
        <f>IF($D150="","",IFERROR(INDEX(DB_Artwork_Sizes_Export!$E:$E,MATCH($D150,DB_Artwork_Sizes_Export!$B:$B,0)),""))</f>
        <v/>
      </c>
      <c r="V150" s="2" t="str">
        <f>IF($D150="","",IFERROR(INDEX(DB_Artwork_Sizes_Export!$F:$F,MATCH($D150,DB_Artwork_Sizes_Export!$B:$B,0)),""))</f>
        <v/>
      </c>
      <c r="W150" s="2" t="str">
        <f t="shared" si="22"/>
        <v/>
      </c>
      <c r="X150" s="2"/>
      <c r="Y150" s="2"/>
      <c r="Z150" s="2"/>
      <c r="AA150" s="2"/>
      <c r="AB150" s="2"/>
      <c r="AC150" s="2"/>
      <c r="AD150" s="2"/>
      <c r="AE150" s="2"/>
      <c r="AF150" s="2" t="str">
        <f t="shared" si="23"/>
        <v/>
      </c>
      <c r="AG150" s="2" t="str">
        <f t="shared" si="24"/>
        <v/>
      </c>
      <c r="AH150" s="2" t="str">
        <f>IF($AG150="","",IFERROR(VLOOKUP($AG150,DB_Categories_Export!$A:$B,2,FALSE()),"INVALID CATEGORY"))</f>
        <v/>
      </c>
      <c r="AI150" s="2" t="str">
        <f t="shared" si="25"/>
        <v/>
      </c>
      <c r="AJ150" s="2" t="str">
        <f t="shared" si="26"/>
        <v/>
      </c>
      <c r="AK150" s="2" t="str">
        <f t="shared" si="27"/>
        <v/>
      </c>
      <c r="AL150" s="2" t="str">
        <f t="shared" si="28"/>
        <v/>
      </c>
      <c r="AM150" s="2" t="str">
        <f t="shared" si="29"/>
        <v/>
      </c>
      <c r="AN150" s="2"/>
      <c r="AO150" s="2"/>
    </row>
    <row r="151" spans="1:41" ht="12" customHeight="1" x14ac:dyDescent="0.3">
      <c r="A151" s="2"/>
      <c r="B151" s="2" t="str">
        <f t="shared" si="20"/>
        <v/>
      </c>
      <c r="C151" s="2" t="str">
        <f t="shared" si="21"/>
        <v/>
      </c>
      <c r="D151" s="2" t="str">
        <f>IF(DB_Artworks_Export!A151="","",DB_Artworks_Export!A151)</f>
        <v/>
      </c>
      <c r="E151" s="2" t="str">
        <f>IF(DB_Artworks_Export!B151="","",DB_Artworks_Export!B151)</f>
        <v/>
      </c>
      <c r="F151" s="2" t="str">
        <f>IF(DB_Artworks_Export!C151="","",DB_Artworks_Export!C151)</f>
        <v/>
      </c>
      <c r="G151" s="2" t="str">
        <f>IF(DB_Artworks_Export!D151="","",DB_Artworks_Export!D151)</f>
        <v/>
      </c>
      <c r="H151" s="2" t="str">
        <f>IF(DB_Artworks_Export!E151="","",DB_Artworks_Export!E151)</f>
        <v/>
      </c>
      <c r="I151" s="2" t="str">
        <f>IF(DB_Artworks_Export!F151="","",DB_Artworks_Export!F151)</f>
        <v/>
      </c>
      <c r="J151" s="2" t="str">
        <f>IF(DB_Artworks_Export!G151="","",DB_Artworks_Export!G151)</f>
        <v/>
      </c>
      <c r="K151" s="2" t="str">
        <f>IF(DB_Artworks_Export!H151="","",DB_Artworks_Export!H151)</f>
        <v/>
      </c>
      <c r="L151" s="2" t="str">
        <f>IF(DB_Artworks_Export!I151="","",DB_Artworks_Export!I151)</f>
        <v/>
      </c>
      <c r="M151" s="2" t="str">
        <f>IF(DB_Artworks_Export!J151="","",DB_Artworks_Export!J151)</f>
        <v/>
      </c>
      <c r="N151" s="2" t="str">
        <f>IF(DB_Artworks_Export!K151="","",DB_Artworks_Export!K151)</f>
        <v/>
      </c>
      <c r="O151" s="2" t="str">
        <f>IF(DB_Artworks_Export!L151="","",DB_Artworks_Export!L151)</f>
        <v/>
      </c>
      <c r="P151" s="2" t="str">
        <f>IF(DB_Artworks_Export!M151="","",DB_Artworks_Export!M151)</f>
        <v/>
      </c>
      <c r="Q151" s="2" t="str">
        <f>IF(DB_Artworks_Export!N151="","",DB_Artworks_Export!N151)</f>
        <v/>
      </c>
      <c r="R151" s="2" t="str">
        <f>IF($D151="","",IF(COUNTIF(DB_Categories_Export!$A:$A,$F151)&gt;0,"OK","INVALID CATEGORY"))</f>
        <v/>
      </c>
      <c r="S151" s="2" t="str">
        <f>IF($D151="","",COUNTIF(DB_Artwork_Sizes_Export!$B:$B,$D151))</f>
        <v/>
      </c>
      <c r="T151" s="2" t="str">
        <f>IF($D151="","",IFERROR(INDEX(DB_Artwork_Sizes_Export!$D:$D,MATCH($D151,DB_Artwork_Sizes_Export!$B:$B,0)),""))</f>
        <v/>
      </c>
      <c r="U151" s="2" t="str">
        <f>IF($D151="","",IFERROR(INDEX(DB_Artwork_Sizes_Export!$E:$E,MATCH($D151,DB_Artwork_Sizes_Export!$B:$B,0)),""))</f>
        <v/>
      </c>
      <c r="V151" s="2" t="str">
        <f>IF($D151="","",IFERROR(INDEX(DB_Artwork_Sizes_Export!$F:$F,MATCH($D151,DB_Artwork_Sizes_Export!$B:$B,0)),""))</f>
        <v/>
      </c>
      <c r="W151" s="2" t="str">
        <f t="shared" si="22"/>
        <v/>
      </c>
      <c r="X151" s="2"/>
      <c r="Y151" s="2"/>
      <c r="Z151" s="2"/>
      <c r="AA151" s="2"/>
      <c r="AB151" s="2"/>
      <c r="AC151" s="2"/>
      <c r="AD151" s="2"/>
      <c r="AE151" s="2"/>
      <c r="AF151" s="2" t="str">
        <f t="shared" si="23"/>
        <v/>
      </c>
      <c r="AG151" s="2" t="str">
        <f t="shared" si="24"/>
        <v/>
      </c>
      <c r="AH151" s="2" t="str">
        <f>IF($AG151="","",IFERROR(VLOOKUP($AG151,DB_Categories_Export!$A:$B,2,FALSE()),"INVALID CATEGORY"))</f>
        <v/>
      </c>
      <c r="AI151" s="2" t="str">
        <f t="shared" si="25"/>
        <v/>
      </c>
      <c r="AJ151" s="2" t="str">
        <f t="shared" si="26"/>
        <v/>
      </c>
      <c r="AK151" s="2" t="str">
        <f t="shared" si="27"/>
        <v/>
      </c>
      <c r="AL151" s="2" t="str">
        <f t="shared" si="28"/>
        <v/>
      </c>
      <c r="AM151" s="2" t="str">
        <f t="shared" si="29"/>
        <v/>
      </c>
      <c r="AN151" s="2"/>
      <c r="AO151" s="2"/>
    </row>
    <row r="152" spans="1:41" ht="12" customHeight="1" x14ac:dyDescent="0.3">
      <c r="A152" s="2"/>
      <c r="B152" s="2" t="str">
        <f t="shared" si="20"/>
        <v/>
      </c>
      <c r="C152" s="2" t="str">
        <f t="shared" si="21"/>
        <v/>
      </c>
      <c r="D152" s="2" t="str">
        <f>IF(DB_Artworks_Export!A152="","",DB_Artworks_Export!A152)</f>
        <v/>
      </c>
      <c r="E152" s="2" t="str">
        <f>IF(DB_Artworks_Export!B152="","",DB_Artworks_Export!B152)</f>
        <v/>
      </c>
      <c r="F152" s="2" t="str">
        <f>IF(DB_Artworks_Export!C152="","",DB_Artworks_Export!C152)</f>
        <v/>
      </c>
      <c r="G152" s="2" t="str">
        <f>IF(DB_Artworks_Export!D152="","",DB_Artworks_Export!D152)</f>
        <v/>
      </c>
      <c r="H152" s="2" t="str">
        <f>IF(DB_Artworks_Export!E152="","",DB_Artworks_Export!E152)</f>
        <v/>
      </c>
      <c r="I152" s="2" t="str">
        <f>IF(DB_Artworks_Export!F152="","",DB_Artworks_Export!F152)</f>
        <v/>
      </c>
      <c r="J152" s="2" t="str">
        <f>IF(DB_Artworks_Export!G152="","",DB_Artworks_Export!G152)</f>
        <v/>
      </c>
      <c r="K152" s="2" t="str">
        <f>IF(DB_Artworks_Export!H152="","",DB_Artworks_Export!H152)</f>
        <v/>
      </c>
      <c r="L152" s="2" t="str">
        <f>IF(DB_Artworks_Export!I152="","",DB_Artworks_Export!I152)</f>
        <v/>
      </c>
      <c r="M152" s="2" t="str">
        <f>IF(DB_Artworks_Export!J152="","",DB_Artworks_Export!J152)</f>
        <v/>
      </c>
      <c r="N152" s="2" t="str">
        <f>IF(DB_Artworks_Export!K152="","",DB_Artworks_Export!K152)</f>
        <v/>
      </c>
      <c r="O152" s="2" t="str">
        <f>IF(DB_Artworks_Export!L152="","",DB_Artworks_Export!L152)</f>
        <v/>
      </c>
      <c r="P152" s="2" t="str">
        <f>IF(DB_Artworks_Export!M152="","",DB_Artworks_Export!M152)</f>
        <v/>
      </c>
      <c r="Q152" s="2" t="str">
        <f>IF(DB_Artworks_Export!N152="","",DB_Artworks_Export!N152)</f>
        <v/>
      </c>
      <c r="R152" s="2" t="str">
        <f>IF($D152="","",IF(COUNTIF(DB_Categories_Export!$A:$A,$F152)&gt;0,"OK","INVALID CATEGORY"))</f>
        <v/>
      </c>
      <c r="S152" s="2" t="str">
        <f>IF($D152="","",COUNTIF(DB_Artwork_Sizes_Export!$B:$B,$D152))</f>
        <v/>
      </c>
      <c r="T152" s="2" t="str">
        <f>IF($D152="","",IFERROR(INDEX(DB_Artwork_Sizes_Export!$D:$D,MATCH($D152,DB_Artwork_Sizes_Export!$B:$B,0)),""))</f>
        <v/>
      </c>
      <c r="U152" s="2" t="str">
        <f>IF($D152="","",IFERROR(INDEX(DB_Artwork_Sizes_Export!$E:$E,MATCH($D152,DB_Artwork_Sizes_Export!$B:$B,0)),""))</f>
        <v/>
      </c>
      <c r="V152" s="2" t="str">
        <f>IF($D152="","",IFERROR(INDEX(DB_Artwork_Sizes_Export!$F:$F,MATCH($D152,DB_Artwork_Sizes_Export!$B:$B,0)),""))</f>
        <v/>
      </c>
      <c r="W152" s="2" t="str">
        <f t="shared" si="22"/>
        <v/>
      </c>
      <c r="X152" s="2"/>
      <c r="Y152" s="2"/>
      <c r="Z152" s="2"/>
      <c r="AA152" s="2"/>
      <c r="AB152" s="2"/>
      <c r="AC152" s="2"/>
      <c r="AD152" s="2"/>
      <c r="AE152" s="2"/>
      <c r="AF152" s="2" t="str">
        <f t="shared" si="23"/>
        <v/>
      </c>
      <c r="AG152" s="2" t="str">
        <f t="shared" si="24"/>
        <v/>
      </c>
      <c r="AH152" s="2" t="str">
        <f>IF($AG152="","",IFERROR(VLOOKUP($AG152,DB_Categories_Export!$A:$B,2,FALSE()),"INVALID CATEGORY"))</f>
        <v/>
      </c>
      <c r="AI152" s="2" t="str">
        <f t="shared" si="25"/>
        <v/>
      </c>
      <c r="AJ152" s="2" t="str">
        <f t="shared" si="26"/>
        <v/>
      </c>
      <c r="AK152" s="2" t="str">
        <f t="shared" si="27"/>
        <v/>
      </c>
      <c r="AL152" s="2" t="str">
        <f t="shared" si="28"/>
        <v/>
      </c>
      <c r="AM152" s="2" t="str">
        <f t="shared" si="29"/>
        <v/>
      </c>
      <c r="AN152" s="2"/>
      <c r="AO152" s="2"/>
    </row>
    <row r="153" spans="1:41" ht="12" customHeight="1" x14ac:dyDescent="0.3">
      <c r="A153" s="2"/>
      <c r="B153" s="2" t="str">
        <f t="shared" si="20"/>
        <v/>
      </c>
      <c r="C153" s="2" t="str">
        <f t="shared" si="21"/>
        <v/>
      </c>
      <c r="D153" s="2" t="str">
        <f>IF(DB_Artworks_Export!A153="","",DB_Artworks_Export!A153)</f>
        <v/>
      </c>
      <c r="E153" s="2" t="str">
        <f>IF(DB_Artworks_Export!B153="","",DB_Artworks_Export!B153)</f>
        <v/>
      </c>
      <c r="F153" s="2" t="str">
        <f>IF(DB_Artworks_Export!C153="","",DB_Artworks_Export!C153)</f>
        <v/>
      </c>
      <c r="G153" s="2" t="str">
        <f>IF(DB_Artworks_Export!D153="","",DB_Artworks_Export!D153)</f>
        <v/>
      </c>
      <c r="H153" s="2" t="str">
        <f>IF(DB_Artworks_Export!E153="","",DB_Artworks_Export!E153)</f>
        <v/>
      </c>
      <c r="I153" s="2" t="str">
        <f>IF(DB_Artworks_Export!F153="","",DB_Artworks_Export!F153)</f>
        <v/>
      </c>
      <c r="J153" s="2" t="str">
        <f>IF(DB_Artworks_Export!G153="","",DB_Artworks_Export!G153)</f>
        <v/>
      </c>
      <c r="K153" s="2" t="str">
        <f>IF(DB_Artworks_Export!H153="","",DB_Artworks_Export!H153)</f>
        <v/>
      </c>
      <c r="L153" s="2" t="str">
        <f>IF(DB_Artworks_Export!I153="","",DB_Artworks_Export!I153)</f>
        <v/>
      </c>
      <c r="M153" s="2" t="str">
        <f>IF(DB_Artworks_Export!J153="","",DB_Artworks_Export!J153)</f>
        <v/>
      </c>
      <c r="N153" s="2" t="str">
        <f>IF(DB_Artworks_Export!K153="","",DB_Artworks_Export!K153)</f>
        <v/>
      </c>
      <c r="O153" s="2" t="str">
        <f>IF(DB_Artworks_Export!L153="","",DB_Artworks_Export!L153)</f>
        <v/>
      </c>
      <c r="P153" s="2" t="str">
        <f>IF(DB_Artworks_Export!M153="","",DB_Artworks_Export!M153)</f>
        <v/>
      </c>
      <c r="Q153" s="2" t="str">
        <f>IF(DB_Artworks_Export!N153="","",DB_Artworks_Export!N153)</f>
        <v/>
      </c>
      <c r="R153" s="2" t="str">
        <f>IF($D153="","",IF(COUNTIF(DB_Categories_Export!$A:$A,$F153)&gt;0,"OK","INVALID CATEGORY"))</f>
        <v/>
      </c>
      <c r="S153" s="2" t="str">
        <f>IF($D153="","",COUNTIF(DB_Artwork_Sizes_Export!$B:$B,$D153))</f>
        <v/>
      </c>
      <c r="T153" s="2" t="str">
        <f>IF($D153="","",IFERROR(INDEX(DB_Artwork_Sizes_Export!$D:$D,MATCH($D153,DB_Artwork_Sizes_Export!$B:$B,0)),""))</f>
        <v/>
      </c>
      <c r="U153" s="2" t="str">
        <f>IF($D153="","",IFERROR(INDEX(DB_Artwork_Sizes_Export!$E:$E,MATCH($D153,DB_Artwork_Sizes_Export!$B:$B,0)),""))</f>
        <v/>
      </c>
      <c r="V153" s="2" t="str">
        <f>IF($D153="","",IFERROR(INDEX(DB_Artwork_Sizes_Export!$F:$F,MATCH($D153,DB_Artwork_Sizes_Export!$B:$B,0)),""))</f>
        <v/>
      </c>
      <c r="W153" s="2" t="str">
        <f t="shared" si="22"/>
        <v/>
      </c>
      <c r="X153" s="2"/>
      <c r="Y153" s="2"/>
      <c r="Z153" s="2"/>
      <c r="AA153" s="2"/>
      <c r="AB153" s="2"/>
      <c r="AC153" s="2"/>
      <c r="AD153" s="2"/>
      <c r="AE153" s="2"/>
      <c r="AF153" s="2" t="str">
        <f t="shared" si="23"/>
        <v/>
      </c>
      <c r="AG153" s="2" t="str">
        <f t="shared" si="24"/>
        <v/>
      </c>
      <c r="AH153" s="2" t="str">
        <f>IF($AG153="","",IFERROR(VLOOKUP($AG153,DB_Categories_Export!$A:$B,2,FALSE()),"INVALID CATEGORY"))</f>
        <v/>
      </c>
      <c r="AI153" s="2" t="str">
        <f t="shared" si="25"/>
        <v/>
      </c>
      <c r="AJ153" s="2" t="str">
        <f t="shared" si="26"/>
        <v/>
      </c>
      <c r="AK153" s="2" t="str">
        <f t="shared" si="27"/>
        <v/>
      </c>
      <c r="AL153" s="2" t="str">
        <f t="shared" si="28"/>
        <v/>
      </c>
      <c r="AM153" s="2" t="str">
        <f t="shared" si="29"/>
        <v/>
      </c>
      <c r="AN153" s="2"/>
      <c r="AO153" s="2"/>
    </row>
    <row r="154" spans="1:41" ht="12" customHeight="1" x14ac:dyDescent="0.3">
      <c r="A154" s="2"/>
      <c r="B154" s="2" t="str">
        <f t="shared" si="20"/>
        <v/>
      </c>
      <c r="C154" s="2" t="str">
        <f t="shared" si="21"/>
        <v/>
      </c>
      <c r="D154" s="2" t="str">
        <f>IF(DB_Artworks_Export!A154="","",DB_Artworks_Export!A154)</f>
        <v/>
      </c>
      <c r="E154" s="2" t="str">
        <f>IF(DB_Artworks_Export!B154="","",DB_Artworks_Export!B154)</f>
        <v/>
      </c>
      <c r="F154" s="2" t="str">
        <f>IF(DB_Artworks_Export!C154="","",DB_Artworks_Export!C154)</f>
        <v/>
      </c>
      <c r="G154" s="2" t="str">
        <f>IF(DB_Artworks_Export!D154="","",DB_Artworks_Export!D154)</f>
        <v/>
      </c>
      <c r="H154" s="2" t="str">
        <f>IF(DB_Artworks_Export!E154="","",DB_Artworks_Export!E154)</f>
        <v/>
      </c>
      <c r="I154" s="2" t="str">
        <f>IF(DB_Artworks_Export!F154="","",DB_Artworks_Export!F154)</f>
        <v/>
      </c>
      <c r="J154" s="2" t="str">
        <f>IF(DB_Artworks_Export!G154="","",DB_Artworks_Export!G154)</f>
        <v/>
      </c>
      <c r="K154" s="2" t="str">
        <f>IF(DB_Artworks_Export!H154="","",DB_Artworks_Export!H154)</f>
        <v/>
      </c>
      <c r="L154" s="2" t="str">
        <f>IF(DB_Artworks_Export!I154="","",DB_Artworks_Export!I154)</f>
        <v/>
      </c>
      <c r="M154" s="2" t="str">
        <f>IF(DB_Artworks_Export!J154="","",DB_Artworks_Export!J154)</f>
        <v/>
      </c>
      <c r="N154" s="2" t="str">
        <f>IF(DB_Artworks_Export!K154="","",DB_Artworks_Export!K154)</f>
        <v/>
      </c>
      <c r="O154" s="2" t="str">
        <f>IF(DB_Artworks_Export!L154="","",DB_Artworks_Export!L154)</f>
        <v/>
      </c>
      <c r="P154" s="2" t="str">
        <f>IF(DB_Artworks_Export!M154="","",DB_Artworks_Export!M154)</f>
        <v/>
      </c>
      <c r="Q154" s="2" t="str">
        <f>IF(DB_Artworks_Export!N154="","",DB_Artworks_Export!N154)</f>
        <v/>
      </c>
      <c r="R154" s="2" t="str">
        <f>IF($D154="","",IF(COUNTIF(DB_Categories_Export!$A:$A,$F154)&gt;0,"OK","INVALID CATEGORY"))</f>
        <v/>
      </c>
      <c r="S154" s="2" t="str">
        <f>IF($D154="","",COUNTIF(DB_Artwork_Sizes_Export!$B:$B,$D154))</f>
        <v/>
      </c>
      <c r="T154" s="2" t="str">
        <f>IF($D154="","",IFERROR(INDEX(DB_Artwork_Sizes_Export!$D:$D,MATCH($D154,DB_Artwork_Sizes_Export!$B:$B,0)),""))</f>
        <v/>
      </c>
      <c r="U154" s="2" t="str">
        <f>IF($D154="","",IFERROR(INDEX(DB_Artwork_Sizes_Export!$E:$E,MATCH($D154,DB_Artwork_Sizes_Export!$B:$B,0)),""))</f>
        <v/>
      </c>
      <c r="V154" s="2" t="str">
        <f>IF($D154="","",IFERROR(INDEX(DB_Artwork_Sizes_Export!$F:$F,MATCH($D154,DB_Artwork_Sizes_Export!$B:$B,0)),""))</f>
        <v/>
      </c>
      <c r="W154" s="2" t="str">
        <f t="shared" si="22"/>
        <v/>
      </c>
      <c r="X154" s="2"/>
      <c r="Y154" s="2"/>
      <c r="Z154" s="2"/>
      <c r="AA154" s="2"/>
      <c r="AB154" s="2"/>
      <c r="AC154" s="2"/>
      <c r="AD154" s="2"/>
      <c r="AE154" s="2"/>
      <c r="AF154" s="2" t="str">
        <f t="shared" si="23"/>
        <v/>
      </c>
      <c r="AG154" s="2" t="str">
        <f t="shared" si="24"/>
        <v/>
      </c>
      <c r="AH154" s="2" t="str">
        <f>IF($AG154="","",IFERROR(VLOOKUP($AG154,DB_Categories_Export!$A:$B,2,FALSE()),"INVALID CATEGORY"))</f>
        <v/>
      </c>
      <c r="AI154" s="2" t="str">
        <f t="shared" si="25"/>
        <v/>
      </c>
      <c r="AJ154" s="2" t="str">
        <f t="shared" si="26"/>
        <v/>
      </c>
      <c r="AK154" s="2" t="str">
        <f t="shared" si="27"/>
        <v/>
      </c>
      <c r="AL154" s="2" t="str">
        <f t="shared" si="28"/>
        <v/>
      </c>
      <c r="AM154" s="2" t="str">
        <f t="shared" si="29"/>
        <v/>
      </c>
      <c r="AN154" s="2"/>
      <c r="AO154" s="2"/>
    </row>
    <row r="155" spans="1:41" ht="12" customHeight="1" x14ac:dyDescent="0.3">
      <c r="A155" s="2"/>
      <c r="B155" s="2" t="str">
        <f t="shared" si="20"/>
        <v/>
      </c>
      <c r="C155" s="2" t="str">
        <f t="shared" si="21"/>
        <v/>
      </c>
      <c r="D155" s="2" t="str">
        <f>IF(DB_Artworks_Export!A155="","",DB_Artworks_Export!A155)</f>
        <v/>
      </c>
      <c r="E155" s="2" t="str">
        <f>IF(DB_Artworks_Export!B155="","",DB_Artworks_Export!B155)</f>
        <v/>
      </c>
      <c r="F155" s="2" t="str">
        <f>IF(DB_Artworks_Export!C155="","",DB_Artworks_Export!C155)</f>
        <v/>
      </c>
      <c r="G155" s="2" t="str">
        <f>IF(DB_Artworks_Export!D155="","",DB_Artworks_Export!D155)</f>
        <v/>
      </c>
      <c r="H155" s="2" t="str">
        <f>IF(DB_Artworks_Export!E155="","",DB_Artworks_Export!E155)</f>
        <v/>
      </c>
      <c r="I155" s="2" t="str">
        <f>IF(DB_Artworks_Export!F155="","",DB_Artworks_Export!F155)</f>
        <v/>
      </c>
      <c r="J155" s="2" t="str">
        <f>IF(DB_Artworks_Export!G155="","",DB_Artworks_Export!G155)</f>
        <v/>
      </c>
      <c r="K155" s="2" t="str">
        <f>IF(DB_Artworks_Export!H155="","",DB_Artworks_Export!H155)</f>
        <v/>
      </c>
      <c r="L155" s="2" t="str">
        <f>IF(DB_Artworks_Export!I155="","",DB_Artworks_Export!I155)</f>
        <v/>
      </c>
      <c r="M155" s="2" t="str">
        <f>IF(DB_Artworks_Export!J155="","",DB_Artworks_Export!J155)</f>
        <v/>
      </c>
      <c r="N155" s="2" t="str">
        <f>IF(DB_Artworks_Export!K155="","",DB_Artworks_Export!K155)</f>
        <v/>
      </c>
      <c r="O155" s="2" t="str">
        <f>IF(DB_Artworks_Export!L155="","",DB_Artworks_Export!L155)</f>
        <v/>
      </c>
      <c r="P155" s="2" t="str">
        <f>IF(DB_Artworks_Export!M155="","",DB_Artworks_Export!M155)</f>
        <v/>
      </c>
      <c r="Q155" s="2" t="str">
        <f>IF(DB_Artworks_Export!N155="","",DB_Artworks_Export!N155)</f>
        <v/>
      </c>
      <c r="R155" s="2" t="str">
        <f>IF($D155="","",IF(COUNTIF(DB_Categories_Export!$A:$A,$F155)&gt;0,"OK","INVALID CATEGORY"))</f>
        <v/>
      </c>
      <c r="S155" s="2" t="str">
        <f>IF($D155="","",COUNTIF(DB_Artwork_Sizes_Export!$B:$B,$D155))</f>
        <v/>
      </c>
      <c r="T155" s="2" t="str">
        <f>IF($D155="","",IFERROR(INDEX(DB_Artwork_Sizes_Export!$D:$D,MATCH($D155,DB_Artwork_Sizes_Export!$B:$B,0)),""))</f>
        <v/>
      </c>
      <c r="U155" s="2" t="str">
        <f>IF($D155="","",IFERROR(INDEX(DB_Artwork_Sizes_Export!$E:$E,MATCH($D155,DB_Artwork_Sizes_Export!$B:$B,0)),""))</f>
        <v/>
      </c>
      <c r="V155" s="2" t="str">
        <f>IF($D155="","",IFERROR(INDEX(DB_Artwork_Sizes_Export!$F:$F,MATCH($D155,DB_Artwork_Sizes_Export!$B:$B,0)),""))</f>
        <v/>
      </c>
      <c r="W155" s="2" t="str">
        <f t="shared" si="22"/>
        <v/>
      </c>
      <c r="X155" s="2"/>
      <c r="Y155" s="2"/>
      <c r="Z155" s="2"/>
      <c r="AA155" s="2"/>
      <c r="AB155" s="2"/>
      <c r="AC155" s="2"/>
      <c r="AD155" s="2"/>
      <c r="AE155" s="2"/>
      <c r="AF155" s="2" t="str">
        <f t="shared" si="23"/>
        <v/>
      </c>
      <c r="AG155" s="2" t="str">
        <f t="shared" si="24"/>
        <v/>
      </c>
      <c r="AH155" s="2" t="str">
        <f>IF($AG155="","",IFERROR(VLOOKUP($AG155,DB_Categories_Export!$A:$B,2,FALSE()),"INVALID CATEGORY"))</f>
        <v/>
      </c>
      <c r="AI155" s="2" t="str">
        <f t="shared" si="25"/>
        <v/>
      </c>
      <c r="AJ155" s="2" t="str">
        <f t="shared" si="26"/>
        <v/>
      </c>
      <c r="AK155" s="2" t="str">
        <f t="shared" si="27"/>
        <v/>
      </c>
      <c r="AL155" s="2" t="str">
        <f t="shared" si="28"/>
        <v/>
      </c>
      <c r="AM155" s="2" t="str">
        <f t="shared" si="29"/>
        <v/>
      </c>
      <c r="AN155" s="2"/>
      <c r="AO155" s="2"/>
    </row>
    <row r="156" spans="1:41" ht="12" customHeight="1" x14ac:dyDescent="0.3">
      <c r="A156" s="2"/>
      <c r="B156" s="2" t="str">
        <f t="shared" si="20"/>
        <v/>
      </c>
      <c r="C156" s="2" t="str">
        <f t="shared" si="21"/>
        <v/>
      </c>
      <c r="D156" s="2" t="str">
        <f>IF(DB_Artworks_Export!A156="","",DB_Artworks_Export!A156)</f>
        <v/>
      </c>
      <c r="E156" s="2" t="str">
        <f>IF(DB_Artworks_Export!B156="","",DB_Artworks_Export!B156)</f>
        <v/>
      </c>
      <c r="F156" s="2" t="str">
        <f>IF(DB_Artworks_Export!C156="","",DB_Artworks_Export!C156)</f>
        <v/>
      </c>
      <c r="G156" s="2" t="str">
        <f>IF(DB_Artworks_Export!D156="","",DB_Artworks_Export!D156)</f>
        <v/>
      </c>
      <c r="H156" s="2" t="str">
        <f>IF(DB_Artworks_Export!E156="","",DB_Artworks_Export!E156)</f>
        <v/>
      </c>
      <c r="I156" s="2" t="str">
        <f>IF(DB_Artworks_Export!F156="","",DB_Artworks_Export!F156)</f>
        <v/>
      </c>
      <c r="J156" s="2" t="str">
        <f>IF(DB_Artworks_Export!G156="","",DB_Artworks_Export!G156)</f>
        <v/>
      </c>
      <c r="K156" s="2" t="str">
        <f>IF(DB_Artworks_Export!H156="","",DB_Artworks_Export!H156)</f>
        <v/>
      </c>
      <c r="L156" s="2" t="str">
        <f>IF(DB_Artworks_Export!I156="","",DB_Artworks_Export!I156)</f>
        <v/>
      </c>
      <c r="M156" s="2" t="str">
        <f>IF(DB_Artworks_Export!J156="","",DB_Artworks_Export!J156)</f>
        <v/>
      </c>
      <c r="N156" s="2" t="str">
        <f>IF(DB_Artworks_Export!K156="","",DB_Artworks_Export!K156)</f>
        <v/>
      </c>
      <c r="O156" s="2" t="str">
        <f>IF(DB_Artworks_Export!L156="","",DB_Artworks_Export!L156)</f>
        <v/>
      </c>
      <c r="P156" s="2" t="str">
        <f>IF(DB_Artworks_Export!M156="","",DB_Artworks_Export!M156)</f>
        <v/>
      </c>
      <c r="Q156" s="2" t="str">
        <f>IF(DB_Artworks_Export!N156="","",DB_Artworks_Export!N156)</f>
        <v/>
      </c>
      <c r="R156" s="2" t="str">
        <f>IF($D156="","",IF(COUNTIF(DB_Categories_Export!$A:$A,$F156)&gt;0,"OK","INVALID CATEGORY"))</f>
        <v/>
      </c>
      <c r="S156" s="2" t="str">
        <f>IF($D156="","",COUNTIF(DB_Artwork_Sizes_Export!$B:$B,$D156))</f>
        <v/>
      </c>
      <c r="T156" s="2" t="str">
        <f>IF($D156="","",IFERROR(INDEX(DB_Artwork_Sizes_Export!$D:$D,MATCH($D156,DB_Artwork_Sizes_Export!$B:$B,0)),""))</f>
        <v/>
      </c>
      <c r="U156" s="2" t="str">
        <f>IF($D156="","",IFERROR(INDEX(DB_Artwork_Sizes_Export!$E:$E,MATCH($D156,DB_Artwork_Sizes_Export!$B:$B,0)),""))</f>
        <v/>
      </c>
      <c r="V156" s="2" t="str">
        <f>IF($D156="","",IFERROR(INDEX(DB_Artwork_Sizes_Export!$F:$F,MATCH($D156,DB_Artwork_Sizes_Export!$B:$B,0)),""))</f>
        <v/>
      </c>
      <c r="W156" s="2" t="str">
        <f t="shared" si="22"/>
        <v/>
      </c>
      <c r="X156" s="2"/>
      <c r="Y156" s="2"/>
      <c r="Z156" s="2"/>
      <c r="AA156" s="2"/>
      <c r="AB156" s="2"/>
      <c r="AC156" s="2"/>
      <c r="AD156" s="2"/>
      <c r="AE156" s="2"/>
      <c r="AF156" s="2" t="str">
        <f t="shared" si="23"/>
        <v/>
      </c>
      <c r="AG156" s="2" t="str">
        <f t="shared" si="24"/>
        <v/>
      </c>
      <c r="AH156" s="2" t="str">
        <f>IF($AG156="","",IFERROR(VLOOKUP($AG156,DB_Categories_Export!$A:$B,2,FALSE()),"INVALID CATEGORY"))</f>
        <v/>
      </c>
      <c r="AI156" s="2" t="str">
        <f t="shared" si="25"/>
        <v/>
      </c>
      <c r="AJ156" s="2" t="str">
        <f t="shared" si="26"/>
        <v/>
      </c>
      <c r="AK156" s="2" t="str">
        <f t="shared" si="27"/>
        <v/>
      </c>
      <c r="AL156" s="2" t="str">
        <f t="shared" si="28"/>
        <v/>
      </c>
      <c r="AM156" s="2" t="str">
        <f t="shared" si="29"/>
        <v/>
      </c>
      <c r="AN156" s="2"/>
      <c r="AO156" s="2"/>
    </row>
    <row r="157" spans="1:41" ht="12" customHeight="1" x14ac:dyDescent="0.3">
      <c r="A157" s="2"/>
      <c r="B157" s="2" t="str">
        <f t="shared" si="20"/>
        <v/>
      </c>
      <c r="C157" s="2" t="str">
        <f t="shared" si="21"/>
        <v/>
      </c>
      <c r="D157" s="2" t="str">
        <f>IF(DB_Artworks_Export!A157="","",DB_Artworks_Export!A157)</f>
        <v/>
      </c>
      <c r="E157" s="2" t="str">
        <f>IF(DB_Artworks_Export!B157="","",DB_Artworks_Export!B157)</f>
        <v/>
      </c>
      <c r="F157" s="2" t="str">
        <f>IF(DB_Artworks_Export!C157="","",DB_Artworks_Export!C157)</f>
        <v/>
      </c>
      <c r="G157" s="2" t="str">
        <f>IF(DB_Artworks_Export!D157="","",DB_Artworks_Export!D157)</f>
        <v/>
      </c>
      <c r="H157" s="2" t="str">
        <f>IF(DB_Artworks_Export!E157="","",DB_Artworks_Export!E157)</f>
        <v/>
      </c>
      <c r="I157" s="2" t="str">
        <f>IF(DB_Artworks_Export!F157="","",DB_Artworks_Export!F157)</f>
        <v/>
      </c>
      <c r="J157" s="2" t="str">
        <f>IF(DB_Artworks_Export!G157="","",DB_Artworks_Export!G157)</f>
        <v/>
      </c>
      <c r="K157" s="2" t="str">
        <f>IF(DB_Artworks_Export!H157="","",DB_Artworks_Export!H157)</f>
        <v/>
      </c>
      <c r="L157" s="2" t="str">
        <f>IF(DB_Artworks_Export!I157="","",DB_Artworks_Export!I157)</f>
        <v/>
      </c>
      <c r="M157" s="2" t="str">
        <f>IF(DB_Artworks_Export!J157="","",DB_Artworks_Export!J157)</f>
        <v/>
      </c>
      <c r="N157" s="2" t="str">
        <f>IF(DB_Artworks_Export!K157="","",DB_Artworks_Export!K157)</f>
        <v/>
      </c>
      <c r="O157" s="2" t="str">
        <f>IF(DB_Artworks_Export!L157="","",DB_Artworks_Export!L157)</f>
        <v/>
      </c>
      <c r="P157" s="2" t="str">
        <f>IF(DB_Artworks_Export!M157="","",DB_Artworks_Export!M157)</f>
        <v/>
      </c>
      <c r="Q157" s="2" t="str">
        <f>IF(DB_Artworks_Export!N157="","",DB_Artworks_Export!N157)</f>
        <v/>
      </c>
      <c r="R157" s="2" t="str">
        <f>IF($D157="","",IF(COUNTIF(DB_Categories_Export!$A:$A,$F157)&gt;0,"OK","INVALID CATEGORY"))</f>
        <v/>
      </c>
      <c r="S157" s="2" t="str">
        <f>IF($D157="","",COUNTIF(DB_Artwork_Sizes_Export!$B:$B,$D157))</f>
        <v/>
      </c>
      <c r="T157" s="2" t="str">
        <f>IF($D157="","",IFERROR(INDEX(DB_Artwork_Sizes_Export!$D:$D,MATCH($D157,DB_Artwork_Sizes_Export!$B:$B,0)),""))</f>
        <v/>
      </c>
      <c r="U157" s="2" t="str">
        <f>IF($D157="","",IFERROR(INDEX(DB_Artwork_Sizes_Export!$E:$E,MATCH($D157,DB_Artwork_Sizes_Export!$B:$B,0)),""))</f>
        <v/>
      </c>
      <c r="V157" s="2" t="str">
        <f>IF($D157="","",IFERROR(INDEX(DB_Artwork_Sizes_Export!$F:$F,MATCH($D157,DB_Artwork_Sizes_Export!$B:$B,0)),""))</f>
        <v/>
      </c>
      <c r="W157" s="2" t="str">
        <f t="shared" si="22"/>
        <v/>
      </c>
      <c r="X157" s="2"/>
      <c r="Y157" s="2"/>
      <c r="Z157" s="2"/>
      <c r="AA157" s="2"/>
      <c r="AB157" s="2"/>
      <c r="AC157" s="2"/>
      <c r="AD157" s="2"/>
      <c r="AE157" s="2"/>
      <c r="AF157" s="2" t="str">
        <f t="shared" si="23"/>
        <v/>
      </c>
      <c r="AG157" s="2" t="str">
        <f t="shared" si="24"/>
        <v/>
      </c>
      <c r="AH157" s="2" t="str">
        <f>IF($AG157="","",IFERROR(VLOOKUP($AG157,DB_Categories_Export!$A:$B,2,FALSE()),"INVALID CATEGORY"))</f>
        <v/>
      </c>
      <c r="AI157" s="2" t="str">
        <f t="shared" si="25"/>
        <v/>
      </c>
      <c r="AJ157" s="2" t="str">
        <f t="shared" si="26"/>
        <v/>
      </c>
      <c r="AK157" s="2" t="str">
        <f t="shared" si="27"/>
        <v/>
      </c>
      <c r="AL157" s="2" t="str">
        <f t="shared" si="28"/>
        <v/>
      </c>
      <c r="AM157" s="2" t="str">
        <f t="shared" si="29"/>
        <v/>
      </c>
      <c r="AN157" s="2"/>
      <c r="AO157" s="2"/>
    </row>
    <row r="158" spans="1:41" ht="12" customHeight="1" x14ac:dyDescent="0.3">
      <c r="A158" s="2"/>
      <c r="B158" s="2" t="str">
        <f t="shared" si="20"/>
        <v/>
      </c>
      <c r="C158" s="2" t="str">
        <f t="shared" si="21"/>
        <v/>
      </c>
      <c r="D158" s="2" t="str">
        <f>IF(DB_Artworks_Export!A158="","",DB_Artworks_Export!A158)</f>
        <v/>
      </c>
      <c r="E158" s="2" t="str">
        <f>IF(DB_Artworks_Export!B158="","",DB_Artworks_Export!B158)</f>
        <v/>
      </c>
      <c r="F158" s="2" t="str">
        <f>IF(DB_Artworks_Export!C158="","",DB_Artworks_Export!C158)</f>
        <v/>
      </c>
      <c r="G158" s="2" t="str">
        <f>IF(DB_Artworks_Export!D158="","",DB_Artworks_Export!D158)</f>
        <v/>
      </c>
      <c r="H158" s="2" t="str">
        <f>IF(DB_Artworks_Export!E158="","",DB_Artworks_Export!E158)</f>
        <v/>
      </c>
      <c r="I158" s="2" t="str">
        <f>IF(DB_Artworks_Export!F158="","",DB_Artworks_Export!F158)</f>
        <v/>
      </c>
      <c r="J158" s="2" t="str">
        <f>IF(DB_Artworks_Export!G158="","",DB_Artworks_Export!G158)</f>
        <v/>
      </c>
      <c r="K158" s="2" t="str">
        <f>IF(DB_Artworks_Export!H158="","",DB_Artworks_Export!H158)</f>
        <v/>
      </c>
      <c r="L158" s="2" t="str">
        <f>IF(DB_Artworks_Export!I158="","",DB_Artworks_Export!I158)</f>
        <v/>
      </c>
      <c r="M158" s="2" t="str">
        <f>IF(DB_Artworks_Export!J158="","",DB_Artworks_Export!J158)</f>
        <v/>
      </c>
      <c r="N158" s="2" t="str">
        <f>IF(DB_Artworks_Export!K158="","",DB_Artworks_Export!K158)</f>
        <v/>
      </c>
      <c r="O158" s="2" t="str">
        <f>IF(DB_Artworks_Export!L158="","",DB_Artworks_Export!L158)</f>
        <v/>
      </c>
      <c r="P158" s="2" t="str">
        <f>IF(DB_Artworks_Export!M158="","",DB_Artworks_Export!M158)</f>
        <v/>
      </c>
      <c r="Q158" s="2" t="str">
        <f>IF(DB_Artworks_Export!N158="","",DB_Artworks_Export!N158)</f>
        <v/>
      </c>
      <c r="R158" s="2" t="str">
        <f>IF($D158="","",IF(COUNTIF(DB_Categories_Export!$A:$A,$F158)&gt;0,"OK","INVALID CATEGORY"))</f>
        <v/>
      </c>
      <c r="S158" s="2" t="str">
        <f>IF($D158="","",COUNTIF(DB_Artwork_Sizes_Export!$B:$B,$D158))</f>
        <v/>
      </c>
      <c r="T158" s="2" t="str">
        <f>IF($D158="","",IFERROR(INDEX(DB_Artwork_Sizes_Export!$D:$D,MATCH($D158,DB_Artwork_Sizes_Export!$B:$B,0)),""))</f>
        <v/>
      </c>
      <c r="U158" s="2" t="str">
        <f>IF($D158="","",IFERROR(INDEX(DB_Artwork_Sizes_Export!$E:$E,MATCH($D158,DB_Artwork_Sizes_Export!$B:$B,0)),""))</f>
        <v/>
      </c>
      <c r="V158" s="2" t="str">
        <f>IF($D158="","",IFERROR(INDEX(DB_Artwork_Sizes_Export!$F:$F,MATCH($D158,DB_Artwork_Sizes_Export!$B:$B,0)),""))</f>
        <v/>
      </c>
      <c r="W158" s="2" t="str">
        <f t="shared" si="22"/>
        <v/>
      </c>
      <c r="X158" s="2"/>
      <c r="Y158" s="2"/>
      <c r="Z158" s="2"/>
      <c r="AA158" s="2"/>
      <c r="AB158" s="2"/>
      <c r="AC158" s="2"/>
      <c r="AD158" s="2"/>
      <c r="AE158" s="2"/>
      <c r="AF158" s="2" t="str">
        <f t="shared" si="23"/>
        <v/>
      </c>
      <c r="AG158" s="2" t="str">
        <f t="shared" si="24"/>
        <v/>
      </c>
      <c r="AH158" s="2" t="str">
        <f>IF($AG158="","",IFERROR(VLOOKUP($AG158,DB_Categories_Export!$A:$B,2,FALSE()),"INVALID CATEGORY"))</f>
        <v/>
      </c>
      <c r="AI158" s="2" t="str">
        <f t="shared" si="25"/>
        <v/>
      </c>
      <c r="AJ158" s="2" t="str">
        <f t="shared" si="26"/>
        <v/>
      </c>
      <c r="AK158" s="2" t="str">
        <f t="shared" si="27"/>
        <v/>
      </c>
      <c r="AL158" s="2" t="str">
        <f t="shared" si="28"/>
        <v/>
      </c>
      <c r="AM158" s="2" t="str">
        <f t="shared" si="29"/>
        <v/>
      </c>
      <c r="AN158" s="2"/>
      <c r="AO158" s="2"/>
    </row>
    <row r="159" spans="1:41" ht="12" customHeight="1" x14ac:dyDescent="0.3">
      <c r="A159" s="2"/>
      <c r="B159" s="2" t="str">
        <f t="shared" si="20"/>
        <v/>
      </c>
      <c r="C159" s="2" t="str">
        <f t="shared" si="21"/>
        <v/>
      </c>
      <c r="D159" s="2" t="str">
        <f>IF(DB_Artworks_Export!A159="","",DB_Artworks_Export!A159)</f>
        <v/>
      </c>
      <c r="E159" s="2" t="str">
        <f>IF(DB_Artworks_Export!B159="","",DB_Artworks_Export!B159)</f>
        <v/>
      </c>
      <c r="F159" s="2" t="str">
        <f>IF(DB_Artworks_Export!C159="","",DB_Artworks_Export!C159)</f>
        <v/>
      </c>
      <c r="G159" s="2" t="str">
        <f>IF(DB_Artworks_Export!D159="","",DB_Artworks_Export!D159)</f>
        <v/>
      </c>
      <c r="H159" s="2" t="str">
        <f>IF(DB_Artworks_Export!E159="","",DB_Artworks_Export!E159)</f>
        <v/>
      </c>
      <c r="I159" s="2" t="str">
        <f>IF(DB_Artworks_Export!F159="","",DB_Artworks_Export!F159)</f>
        <v/>
      </c>
      <c r="J159" s="2" t="str">
        <f>IF(DB_Artworks_Export!G159="","",DB_Artworks_Export!G159)</f>
        <v/>
      </c>
      <c r="K159" s="2" t="str">
        <f>IF(DB_Artworks_Export!H159="","",DB_Artworks_Export!H159)</f>
        <v/>
      </c>
      <c r="L159" s="2" t="str">
        <f>IF(DB_Artworks_Export!I159="","",DB_Artworks_Export!I159)</f>
        <v/>
      </c>
      <c r="M159" s="2" t="str">
        <f>IF(DB_Artworks_Export!J159="","",DB_Artworks_Export!J159)</f>
        <v/>
      </c>
      <c r="N159" s="2" t="str">
        <f>IF(DB_Artworks_Export!K159="","",DB_Artworks_Export!K159)</f>
        <v/>
      </c>
      <c r="O159" s="2" t="str">
        <f>IF(DB_Artworks_Export!L159="","",DB_Artworks_Export!L159)</f>
        <v/>
      </c>
      <c r="P159" s="2" t="str">
        <f>IF(DB_Artworks_Export!M159="","",DB_Artworks_Export!M159)</f>
        <v/>
      </c>
      <c r="Q159" s="2" t="str">
        <f>IF(DB_Artworks_Export!N159="","",DB_Artworks_Export!N159)</f>
        <v/>
      </c>
      <c r="R159" s="2" t="str">
        <f>IF($D159="","",IF(COUNTIF(DB_Categories_Export!$A:$A,$F159)&gt;0,"OK","INVALID CATEGORY"))</f>
        <v/>
      </c>
      <c r="S159" s="2" t="str">
        <f>IF($D159="","",COUNTIF(DB_Artwork_Sizes_Export!$B:$B,$D159))</f>
        <v/>
      </c>
      <c r="T159" s="2" t="str">
        <f>IF($D159="","",IFERROR(INDEX(DB_Artwork_Sizes_Export!$D:$D,MATCH($D159,DB_Artwork_Sizes_Export!$B:$B,0)),""))</f>
        <v/>
      </c>
      <c r="U159" s="2" t="str">
        <f>IF($D159="","",IFERROR(INDEX(DB_Artwork_Sizes_Export!$E:$E,MATCH($D159,DB_Artwork_Sizes_Export!$B:$B,0)),""))</f>
        <v/>
      </c>
      <c r="V159" s="2" t="str">
        <f>IF($D159="","",IFERROR(INDEX(DB_Artwork_Sizes_Export!$F:$F,MATCH($D159,DB_Artwork_Sizes_Export!$B:$B,0)),""))</f>
        <v/>
      </c>
      <c r="W159" s="2" t="str">
        <f t="shared" si="22"/>
        <v/>
      </c>
      <c r="X159" s="2"/>
      <c r="Y159" s="2"/>
      <c r="Z159" s="2"/>
      <c r="AA159" s="2"/>
      <c r="AB159" s="2"/>
      <c r="AC159" s="2"/>
      <c r="AD159" s="2"/>
      <c r="AE159" s="2"/>
      <c r="AF159" s="2" t="str">
        <f t="shared" si="23"/>
        <v/>
      </c>
      <c r="AG159" s="2" t="str">
        <f t="shared" si="24"/>
        <v/>
      </c>
      <c r="AH159" s="2" t="str">
        <f>IF($AG159="","",IFERROR(VLOOKUP($AG159,DB_Categories_Export!$A:$B,2,FALSE()),"INVALID CATEGORY"))</f>
        <v/>
      </c>
      <c r="AI159" s="2" t="str">
        <f t="shared" si="25"/>
        <v/>
      </c>
      <c r="AJ159" s="2" t="str">
        <f t="shared" si="26"/>
        <v/>
      </c>
      <c r="AK159" s="2" t="str">
        <f t="shared" si="27"/>
        <v/>
      </c>
      <c r="AL159" s="2" t="str">
        <f t="shared" si="28"/>
        <v/>
      </c>
      <c r="AM159" s="2" t="str">
        <f t="shared" si="29"/>
        <v/>
      </c>
      <c r="AN159" s="2"/>
      <c r="AO159" s="2"/>
    </row>
    <row r="160" spans="1:41" ht="12" customHeight="1" x14ac:dyDescent="0.3">
      <c r="A160" s="2"/>
      <c r="B160" s="2" t="str">
        <f t="shared" si="20"/>
        <v/>
      </c>
      <c r="C160" s="2" t="str">
        <f t="shared" si="21"/>
        <v/>
      </c>
      <c r="D160" s="2" t="str">
        <f>IF(DB_Artworks_Export!A160="","",DB_Artworks_Export!A160)</f>
        <v/>
      </c>
      <c r="E160" s="2" t="str">
        <f>IF(DB_Artworks_Export!B160="","",DB_Artworks_Export!B160)</f>
        <v/>
      </c>
      <c r="F160" s="2" t="str">
        <f>IF(DB_Artworks_Export!C160="","",DB_Artworks_Export!C160)</f>
        <v/>
      </c>
      <c r="G160" s="2" t="str">
        <f>IF(DB_Artworks_Export!D160="","",DB_Artworks_Export!D160)</f>
        <v/>
      </c>
      <c r="H160" s="2" t="str">
        <f>IF(DB_Artworks_Export!E160="","",DB_Artworks_Export!E160)</f>
        <v/>
      </c>
      <c r="I160" s="2" t="str">
        <f>IF(DB_Artworks_Export!F160="","",DB_Artworks_Export!F160)</f>
        <v/>
      </c>
      <c r="J160" s="2" t="str">
        <f>IF(DB_Artworks_Export!G160="","",DB_Artworks_Export!G160)</f>
        <v/>
      </c>
      <c r="K160" s="2" t="str">
        <f>IF(DB_Artworks_Export!H160="","",DB_Artworks_Export!H160)</f>
        <v/>
      </c>
      <c r="L160" s="2" t="str">
        <f>IF(DB_Artworks_Export!I160="","",DB_Artworks_Export!I160)</f>
        <v/>
      </c>
      <c r="M160" s="2" t="str">
        <f>IF(DB_Artworks_Export!J160="","",DB_Artworks_Export!J160)</f>
        <v/>
      </c>
      <c r="N160" s="2" t="str">
        <f>IF(DB_Artworks_Export!K160="","",DB_Artworks_Export!K160)</f>
        <v/>
      </c>
      <c r="O160" s="2" t="str">
        <f>IF(DB_Artworks_Export!L160="","",DB_Artworks_Export!L160)</f>
        <v/>
      </c>
      <c r="P160" s="2" t="str">
        <f>IF(DB_Artworks_Export!M160="","",DB_Artworks_Export!M160)</f>
        <v/>
      </c>
      <c r="Q160" s="2" t="str">
        <f>IF(DB_Artworks_Export!N160="","",DB_Artworks_Export!N160)</f>
        <v/>
      </c>
      <c r="R160" s="2" t="str">
        <f>IF($D160="","",IF(COUNTIF(DB_Categories_Export!$A:$A,$F160)&gt;0,"OK","INVALID CATEGORY"))</f>
        <v/>
      </c>
      <c r="S160" s="2" t="str">
        <f>IF($D160="","",COUNTIF(DB_Artwork_Sizes_Export!$B:$B,$D160))</f>
        <v/>
      </c>
      <c r="T160" s="2" t="str">
        <f>IF($D160="","",IFERROR(INDEX(DB_Artwork_Sizes_Export!$D:$D,MATCH($D160,DB_Artwork_Sizes_Export!$B:$B,0)),""))</f>
        <v/>
      </c>
      <c r="U160" s="2" t="str">
        <f>IF($D160="","",IFERROR(INDEX(DB_Artwork_Sizes_Export!$E:$E,MATCH($D160,DB_Artwork_Sizes_Export!$B:$B,0)),""))</f>
        <v/>
      </c>
      <c r="V160" s="2" t="str">
        <f>IF($D160="","",IFERROR(INDEX(DB_Artwork_Sizes_Export!$F:$F,MATCH($D160,DB_Artwork_Sizes_Export!$B:$B,0)),""))</f>
        <v/>
      </c>
      <c r="W160" s="2" t="str">
        <f t="shared" si="22"/>
        <v/>
      </c>
      <c r="X160" s="2"/>
      <c r="Y160" s="2"/>
      <c r="Z160" s="2"/>
      <c r="AA160" s="2"/>
      <c r="AB160" s="2"/>
      <c r="AC160" s="2"/>
      <c r="AD160" s="2"/>
      <c r="AE160" s="2"/>
      <c r="AF160" s="2" t="str">
        <f t="shared" si="23"/>
        <v/>
      </c>
      <c r="AG160" s="2" t="str">
        <f t="shared" si="24"/>
        <v/>
      </c>
      <c r="AH160" s="2" t="str">
        <f>IF($AG160="","",IFERROR(VLOOKUP($AG160,DB_Categories_Export!$A:$B,2,FALSE()),"INVALID CATEGORY"))</f>
        <v/>
      </c>
      <c r="AI160" s="2" t="str">
        <f t="shared" si="25"/>
        <v/>
      </c>
      <c r="AJ160" s="2" t="str">
        <f t="shared" si="26"/>
        <v/>
      </c>
      <c r="AK160" s="2" t="str">
        <f t="shared" si="27"/>
        <v/>
      </c>
      <c r="AL160" s="2" t="str">
        <f t="shared" si="28"/>
        <v/>
      </c>
      <c r="AM160" s="2" t="str">
        <f t="shared" si="29"/>
        <v/>
      </c>
      <c r="AN160" s="2"/>
      <c r="AO160" s="2"/>
    </row>
    <row r="161" spans="1:41" ht="12" customHeight="1" x14ac:dyDescent="0.3">
      <c r="A161" s="2"/>
      <c r="B161" s="2" t="str">
        <f t="shared" si="20"/>
        <v/>
      </c>
      <c r="C161" s="2" t="str">
        <f t="shared" si="21"/>
        <v/>
      </c>
      <c r="D161" s="2" t="str">
        <f>IF(DB_Artworks_Export!A161="","",DB_Artworks_Export!A161)</f>
        <v/>
      </c>
      <c r="E161" s="2" t="str">
        <f>IF(DB_Artworks_Export!B161="","",DB_Artworks_Export!B161)</f>
        <v/>
      </c>
      <c r="F161" s="2" t="str">
        <f>IF(DB_Artworks_Export!C161="","",DB_Artworks_Export!C161)</f>
        <v/>
      </c>
      <c r="G161" s="2" t="str">
        <f>IF(DB_Artworks_Export!D161="","",DB_Artworks_Export!D161)</f>
        <v/>
      </c>
      <c r="H161" s="2" t="str">
        <f>IF(DB_Artworks_Export!E161="","",DB_Artworks_Export!E161)</f>
        <v/>
      </c>
      <c r="I161" s="2" t="str">
        <f>IF(DB_Artworks_Export!F161="","",DB_Artworks_Export!F161)</f>
        <v/>
      </c>
      <c r="J161" s="2" t="str">
        <f>IF(DB_Artworks_Export!G161="","",DB_Artworks_Export!G161)</f>
        <v/>
      </c>
      <c r="K161" s="2" t="str">
        <f>IF(DB_Artworks_Export!H161="","",DB_Artworks_Export!H161)</f>
        <v/>
      </c>
      <c r="L161" s="2" t="str">
        <f>IF(DB_Artworks_Export!I161="","",DB_Artworks_Export!I161)</f>
        <v/>
      </c>
      <c r="M161" s="2" t="str">
        <f>IF(DB_Artworks_Export!J161="","",DB_Artworks_Export!J161)</f>
        <v/>
      </c>
      <c r="N161" s="2" t="str">
        <f>IF(DB_Artworks_Export!K161="","",DB_Artworks_Export!K161)</f>
        <v/>
      </c>
      <c r="O161" s="2" t="str">
        <f>IF(DB_Artworks_Export!L161="","",DB_Artworks_Export!L161)</f>
        <v/>
      </c>
      <c r="P161" s="2" t="str">
        <f>IF(DB_Artworks_Export!M161="","",DB_Artworks_Export!M161)</f>
        <v/>
      </c>
      <c r="Q161" s="2" t="str">
        <f>IF(DB_Artworks_Export!N161="","",DB_Artworks_Export!N161)</f>
        <v/>
      </c>
      <c r="R161" s="2" t="str">
        <f>IF($D161="","",IF(COUNTIF(DB_Categories_Export!$A:$A,$F161)&gt;0,"OK","INVALID CATEGORY"))</f>
        <v/>
      </c>
      <c r="S161" s="2" t="str">
        <f>IF($D161="","",COUNTIF(DB_Artwork_Sizes_Export!$B:$B,$D161))</f>
        <v/>
      </c>
      <c r="T161" s="2" t="str">
        <f>IF($D161="","",IFERROR(INDEX(DB_Artwork_Sizes_Export!$D:$D,MATCH($D161,DB_Artwork_Sizes_Export!$B:$B,0)),""))</f>
        <v/>
      </c>
      <c r="U161" s="2" t="str">
        <f>IF($D161="","",IFERROR(INDEX(DB_Artwork_Sizes_Export!$E:$E,MATCH($D161,DB_Artwork_Sizes_Export!$B:$B,0)),""))</f>
        <v/>
      </c>
      <c r="V161" s="2" t="str">
        <f>IF($D161="","",IFERROR(INDEX(DB_Artwork_Sizes_Export!$F:$F,MATCH($D161,DB_Artwork_Sizes_Export!$B:$B,0)),""))</f>
        <v/>
      </c>
      <c r="W161" s="2" t="str">
        <f t="shared" si="22"/>
        <v/>
      </c>
      <c r="X161" s="2"/>
      <c r="Y161" s="2"/>
      <c r="Z161" s="2"/>
      <c r="AA161" s="2"/>
      <c r="AB161" s="2"/>
      <c r="AC161" s="2"/>
      <c r="AD161" s="2"/>
      <c r="AE161" s="2"/>
      <c r="AF161" s="2" t="str">
        <f t="shared" si="23"/>
        <v/>
      </c>
      <c r="AG161" s="2" t="str">
        <f t="shared" si="24"/>
        <v/>
      </c>
      <c r="AH161" s="2" t="str">
        <f>IF($AG161="","",IFERROR(VLOOKUP($AG161,DB_Categories_Export!$A:$B,2,FALSE()),"INVALID CATEGORY"))</f>
        <v/>
      </c>
      <c r="AI161" s="2" t="str">
        <f t="shared" si="25"/>
        <v/>
      </c>
      <c r="AJ161" s="2" t="str">
        <f t="shared" si="26"/>
        <v/>
      </c>
      <c r="AK161" s="2" t="str">
        <f t="shared" si="27"/>
        <v/>
      </c>
      <c r="AL161" s="2" t="str">
        <f t="shared" si="28"/>
        <v/>
      </c>
      <c r="AM161" s="2" t="str">
        <f t="shared" si="29"/>
        <v/>
      </c>
      <c r="AN161" s="2"/>
      <c r="AO161" s="2"/>
    </row>
    <row r="162" spans="1:41" ht="12" customHeight="1" x14ac:dyDescent="0.3">
      <c r="A162" s="2"/>
      <c r="B162" s="2" t="str">
        <f t="shared" si="20"/>
        <v/>
      </c>
      <c r="C162" s="2" t="str">
        <f t="shared" si="21"/>
        <v/>
      </c>
      <c r="D162" s="2" t="str">
        <f>IF(DB_Artworks_Export!A162="","",DB_Artworks_Export!A162)</f>
        <v/>
      </c>
      <c r="E162" s="2" t="str">
        <f>IF(DB_Artworks_Export!B162="","",DB_Artworks_Export!B162)</f>
        <v/>
      </c>
      <c r="F162" s="2" t="str">
        <f>IF(DB_Artworks_Export!C162="","",DB_Artworks_Export!C162)</f>
        <v/>
      </c>
      <c r="G162" s="2" t="str">
        <f>IF(DB_Artworks_Export!D162="","",DB_Artworks_Export!D162)</f>
        <v/>
      </c>
      <c r="H162" s="2" t="str">
        <f>IF(DB_Artworks_Export!E162="","",DB_Artworks_Export!E162)</f>
        <v/>
      </c>
      <c r="I162" s="2" t="str">
        <f>IF(DB_Artworks_Export!F162="","",DB_Artworks_Export!F162)</f>
        <v/>
      </c>
      <c r="J162" s="2" t="str">
        <f>IF(DB_Artworks_Export!G162="","",DB_Artworks_Export!G162)</f>
        <v/>
      </c>
      <c r="K162" s="2" t="str">
        <f>IF(DB_Artworks_Export!H162="","",DB_Artworks_Export!H162)</f>
        <v/>
      </c>
      <c r="L162" s="2" t="str">
        <f>IF(DB_Artworks_Export!I162="","",DB_Artworks_Export!I162)</f>
        <v/>
      </c>
      <c r="M162" s="2" t="str">
        <f>IF(DB_Artworks_Export!J162="","",DB_Artworks_Export!J162)</f>
        <v/>
      </c>
      <c r="N162" s="2" t="str">
        <f>IF(DB_Artworks_Export!K162="","",DB_Artworks_Export!K162)</f>
        <v/>
      </c>
      <c r="O162" s="2" t="str">
        <f>IF(DB_Artworks_Export!L162="","",DB_Artworks_Export!L162)</f>
        <v/>
      </c>
      <c r="P162" s="2" t="str">
        <f>IF(DB_Artworks_Export!M162="","",DB_Artworks_Export!M162)</f>
        <v/>
      </c>
      <c r="Q162" s="2" t="str">
        <f>IF(DB_Artworks_Export!N162="","",DB_Artworks_Export!N162)</f>
        <v/>
      </c>
      <c r="R162" s="2" t="str">
        <f>IF($D162="","",IF(COUNTIF(DB_Categories_Export!$A:$A,$F162)&gt;0,"OK","INVALID CATEGORY"))</f>
        <v/>
      </c>
      <c r="S162" s="2" t="str">
        <f>IF($D162="","",COUNTIF(DB_Artwork_Sizes_Export!$B:$B,$D162))</f>
        <v/>
      </c>
      <c r="T162" s="2" t="str">
        <f>IF($D162="","",IFERROR(INDEX(DB_Artwork_Sizes_Export!$D:$D,MATCH($D162,DB_Artwork_Sizes_Export!$B:$B,0)),""))</f>
        <v/>
      </c>
      <c r="U162" s="2" t="str">
        <f>IF($D162="","",IFERROR(INDEX(DB_Artwork_Sizes_Export!$E:$E,MATCH($D162,DB_Artwork_Sizes_Export!$B:$B,0)),""))</f>
        <v/>
      </c>
      <c r="V162" s="2" t="str">
        <f>IF($D162="","",IFERROR(INDEX(DB_Artwork_Sizes_Export!$F:$F,MATCH($D162,DB_Artwork_Sizes_Export!$B:$B,0)),""))</f>
        <v/>
      </c>
      <c r="W162" s="2" t="str">
        <f t="shared" si="22"/>
        <v/>
      </c>
      <c r="X162" s="2"/>
      <c r="Y162" s="2"/>
      <c r="Z162" s="2"/>
      <c r="AA162" s="2"/>
      <c r="AB162" s="2"/>
      <c r="AC162" s="2"/>
      <c r="AD162" s="2"/>
      <c r="AE162" s="2"/>
      <c r="AF162" s="2" t="str">
        <f t="shared" si="23"/>
        <v/>
      </c>
      <c r="AG162" s="2" t="str">
        <f t="shared" si="24"/>
        <v/>
      </c>
      <c r="AH162" s="2" t="str">
        <f>IF($AG162="","",IFERROR(VLOOKUP($AG162,DB_Categories_Export!$A:$B,2,FALSE()),"INVALID CATEGORY"))</f>
        <v/>
      </c>
      <c r="AI162" s="2" t="str">
        <f t="shared" si="25"/>
        <v/>
      </c>
      <c r="AJ162" s="2" t="str">
        <f t="shared" si="26"/>
        <v/>
      </c>
      <c r="AK162" s="2" t="str">
        <f t="shared" si="27"/>
        <v/>
      </c>
      <c r="AL162" s="2" t="str">
        <f t="shared" si="28"/>
        <v/>
      </c>
      <c r="AM162" s="2" t="str">
        <f t="shared" si="29"/>
        <v/>
      </c>
      <c r="AN162" s="2"/>
      <c r="AO162" s="2"/>
    </row>
    <row r="163" spans="1:41" ht="12" customHeight="1" x14ac:dyDescent="0.3">
      <c r="A163" s="2"/>
      <c r="B163" s="2" t="str">
        <f t="shared" si="20"/>
        <v/>
      </c>
      <c r="C163" s="2" t="str">
        <f t="shared" si="21"/>
        <v/>
      </c>
      <c r="D163" s="2" t="str">
        <f>IF(DB_Artworks_Export!A163="","",DB_Artworks_Export!A163)</f>
        <v/>
      </c>
      <c r="E163" s="2" t="str">
        <f>IF(DB_Artworks_Export!B163="","",DB_Artworks_Export!B163)</f>
        <v/>
      </c>
      <c r="F163" s="2" t="str">
        <f>IF(DB_Artworks_Export!C163="","",DB_Artworks_Export!C163)</f>
        <v/>
      </c>
      <c r="G163" s="2" t="str">
        <f>IF(DB_Artworks_Export!D163="","",DB_Artworks_Export!D163)</f>
        <v/>
      </c>
      <c r="H163" s="2" t="str">
        <f>IF(DB_Artworks_Export!E163="","",DB_Artworks_Export!E163)</f>
        <v/>
      </c>
      <c r="I163" s="2" t="str">
        <f>IF(DB_Artworks_Export!F163="","",DB_Artworks_Export!F163)</f>
        <v/>
      </c>
      <c r="J163" s="2" t="str">
        <f>IF(DB_Artworks_Export!G163="","",DB_Artworks_Export!G163)</f>
        <v/>
      </c>
      <c r="K163" s="2" t="str">
        <f>IF(DB_Artworks_Export!H163="","",DB_Artworks_Export!H163)</f>
        <v/>
      </c>
      <c r="L163" s="2" t="str">
        <f>IF(DB_Artworks_Export!I163="","",DB_Artworks_Export!I163)</f>
        <v/>
      </c>
      <c r="M163" s="2" t="str">
        <f>IF(DB_Artworks_Export!J163="","",DB_Artworks_Export!J163)</f>
        <v/>
      </c>
      <c r="N163" s="2" t="str">
        <f>IF(DB_Artworks_Export!K163="","",DB_Artworks_Export!K163)</f>
        <v/>
      </c>
      <c r="O163" s="2" t="str">
        <f>IF(DB_Artworks_Export!L163="","",DB_Artworks_Export!L163)</f>
        <v/>
      </c>
      <c r="P163" s="2" t="str">
        <f>IF(DB_Artworks_Export!M163="","",DB_Artworks_Export!M163)</f>
        <v/>
      </c>
      <c r="Q163" s="2" t="str">
        <f>IF(DB_Artworks_Export!N163="","",DB_Artworks_Export!N163)</f>
        <v/>
      </c>
      <c r="R163" s="2" t="str">
        <f>IF($D163="","",IF(COUNTIF(DB_Categories_Export!$A:$A,$F163)&gt;0,"OK","INVALID CATEGORY"))</f>
        <v/>
      </c>
      <c r="S163" s="2" t="str">
        <f>IF($D163="","",COUNTIF(DB_Artwork_Sizes_Export!$B:$B,$D163))</f>
        <v/>
      </c>
      <c r="T163" s="2" t="str">
        <f>IF($D163="","",IFERROR(INDEX(DB_Artwork_Sizes_Export!$D:$D,MATCH($D163,DB_Artwork_Sizes_Export!$B:$B,0)),""))</f>
        <v/>
      </c>
      <c r="U163" s="2" t="str">
        <f>IF($D163="","",IFERROR(INDEX(DB_Artwork_Sizes_Export!$E:$E,MATCH($D163,DB_Artwork_Sizes_Export!$B:$B,0)),""))</f>
        <v/>
      </c>
      <c r="V163" s="2" t="str">
        <f>IF($D163="","",IFERROR(INDEX(DB_Artwork_Sizes_Export!$F:$F,MATCH($D163,DB_Artwork_Sizes_Export!$B:$B,0)),""))</f>
        <v/>
      </c>
      <c r="W163" s="2" t="str">
        <f t="shared" si="22"/>
        <v/>
      </c>
      <c r="X163" s="2"/>
      <c r="Y163" s="2"/>
      <c r="Z163" s="2"/>
      <c r="AA163" s="2"/>
      <c r="AB163" s="2"/>
      <c r="AC163" s="2"/>
      <c r="AD163" s="2"/>
      <c r="AE163" s="2"/>
      <c r="AF163" s="2" t="str">
        <f t="shared" si="23"/>
        <v/>
      </c>
      <c r="AG163" s="2" t="str">
        <f t="shared" si="24"/>
        <v/>
      </c>
      <c r="AH163" s="2" t="str">
        <f>IF($AG163="","",IFERROR(VLOOKUP($AG163,DB_Categories_Export!$A:$B,2,FALSE()),"INVALID CATEGORY"))</f>
        <v/>
      </c>
      <c r="AI163" s="2" t="str">
        <f t="shared" si="25"/>
        <v/>
      </c>
      <c r="AJ163" s="2" t="str">
        <f t="shared" si="26"/>
        <v/>
      </c>
      <c r="AK163" s="2" t="str">
        <f t="shared" si="27"/>
        <v/>
      </c>
      <c r="AL163" s="2" t="str">
        <f t="shared" si="28"/>
        <v/>
      </c>
      <c r="AM163" s="2" t="str">
        <f t="shared" si="29"/>
        <v/>
      </c>
      <c r="AN163" s="2"/>
      <c r="AO163" s="2"/>
    </row>
    <row r="164" spans="1:41" ht="12" customHeight="1" x14ac:dyDescent="0.3">
      <c r="A164" s="2"/>
      <c r="B164" s="2" t="str">
        <f t="shared" si="20"/>
        <v/>
      </c>
      <c r="C164" s="2" t="str">
        <f t="shared" si="21"/>
        <v/>
      </c>
      <c r="D164" s="2" t="str">
        <f>IF(DB_Artworks_Export!A164="","",DB_Artworks_Export!A164)</f>
        <v/>
      </c>
      <c r="E164" s="2" t="str">
        <f>IF(DB_Artworks_Export!B164="","",DB_Artworks_Export!B164)</f>
        <v/>
      </c>
      <c r="F164" s="2" t="str">
        <f>IF(DB_Artworks_Export!C164="","",DB_Artworks_Export!C164)</f>
        <v/>
      </c>
      <c r="G164" s="2" t="str">
        <f>IF(DB_Artworks_Export!D164="","",DB_Artworks_Export!D164)</f>
        <v/>
      </c>
      <c r="H164" s="2" t="str">
        <f>IF(DB_Artworks_Export!E164="","",DB_Artworks_Export!E164)</f>
        <v/>
      </c>
      <c r="I164" s="2" t="str">
        <f>IF(DB_Artworks_Export!F164="","",DB_Artworks_Export!F164)</f>
        <v/>
      </c>
      <c r="J164" s="2" t="str">
        <f>IF(DB_Artworks_Export!G164="","",DB_Artworks_Export!G164)</f>
        <v/>
      </c>
      <c r="K164" s="2" t="str">
        <f>IF(DB_Artworks_Export!H164="","",DB_Artworks_Export!H164)</f>
        <v/>
      </c>
      <c r="L164" s="2" t="str">
        <f>IF(DB_Artworks_Export!I164="","",DB_Artworks_Export!I164)</f>
        <v/>
      </c>
      <c r="M164" s="2" t="str">
        <f>IF(DB_Artworks_Export!J164="","",DB_Artworks_Export!J164)</f>
        <v/>
      </c>
      <c r="N164" s="2" t="str">
        <f>IF(DB_Artworks_Export!K164="","",DB_Artworks_Export!K164)</f>
        <v/>
      </c>
      <c r="O164" s="2" t="str">
        <f>IF(DB_Artworks_Export!L164="","",DB_Artworks_Export!L164)</f>
        <v/>
      </c>
      <c r="P164" s="2" t="str">
        <f>IF(DB_Artworks_Export!M164="","",DB_Artworks_Export!M164)</f>
        <v/>
      </c>
      <c r="Q164" s="2" t="str">
        <f>IF(DB_Artworks_Export!N164="","",DB_Artworks_Export!N164)</f>
        <v/>
      </c>
      <c r="R164" s="2" t="str">
        <f>IF($D164="","",IF(COUNTIF(DB_Categories_Export!$A:$A,$F164)&gt;0,"OK","INVALID CATEGORY"))</f>
        <v/>
      </c>
      <c r="S164" s="2" t="str">
        <f>IF($D164="","",COUNTIF(DB_Artwork_Sizes_Export!$B:$B,$D164))</f>
        <v/>
      </c>
      <c r="T164" s="2" t="str">
        <f>IF($D164="","",IFERROR(INDEX(DB_Artwork_Sizes_Export!$D:$D,MATCH($D164,DB_Artwork_Sizes_Export!$B:$B,0)),""))</f>
        <v/>
      </c>
      <c r="U164" s="2" t="str">
        <f>IF($D164="","",IFERROR(INDEX(DB_Artwork_Sizes_Export!$E:$E,MATCH($D164,DB_Artwork_Sizes_Export!$B:$B,0)),""))</f>
        <v/>
      </c>
      <c r="V164" s="2" t="str">
        <f>IF($D164="","",IFERROR(INDEX(DB_Artwork_Sizes_Export!$F:$F,MATCH($D164,DB_Artwork_Sizes_Export!$B:$B,0)),""))</f>
        <v/>
      </c>
      <c r="W164" s="2" t="str">
        <f t="shared" si="22"/>
        <v/>
      </c>
      <c r="X164" s="2"/>
      <c r="Y164" s="2"/>
      <c r="Z164" s="2"/>
      <c r="AA164" s="2"/>
      <c r="AB164" s="2"/>
      <c r="AC164" s="2"/>
      <c r="AD164" s="2"/>
      <c r="AE164" s="2"/>
      <c r="AF164" s="2" t="str">
        <f t="shared" si="23"/>
        <v/>
      </c>
      <c r="AG164" s="2" t="str">
        <f t="shared" si="24"/>
        <v/>
      </c>
      <c r="AH164" s="2" t="str">
        <f>IF($AG164="","",IFERROR(VLOOKUP($AG164,DB_Categories_Export!$A:$B,2,FALSE()),"INVALID CATEGORY"))</f>
        <v/>
      </c>
      <c r="AI164" s="2" t="str">
        <f t="shared" si="25"/>
        <v/>
      </c>
      <c r="AJ164" s="2" t="str">
        <f t="shared" si="26"/>
        <v/>
      </c>
      <c r="AK164" s="2" t="str">
        <f t="shared" si="27"/>
        <v/>
      </c>
      <c r="AL164" s="2" t="str">
        <f t="shared" si="28"/>
        <v/>
      </c>
      <c r="AM164" s="2" t="str">
        <f t="shared" si="29"/>
        <v/>
      </c>
      <c r="AN164" s="2"/>
      <c r="AO164" s="2"/>
    </row>
    <row r="165" spans="1:41" ht="12" customHeight="1" x14ac:dyDescent="0.3">
      <c r="A165" s="2"/>
      <c r="B165" s="2" t="str">
        <f t="shared" si="20"/>
        <v/>
      </c>
      <c r="C165" s="2" t="str">
        <f t="shared" si="21"/>
        <v/>
      </c>
      <c r="D165" s="2" t="str">
        <f>IF(DB_Artworks_Export!A165="","",DB_Artworks_Export!A165)</f>
        <v/>
      </c>
      <c r="E165" s="2" t="str">
        <f>IF(DB_Artworks_Export!B165="","",DB_Artworks_Export!B165)</f>
        <v/>
      </c>
      <c r="F165" s="2" t="str">
        <f>IF(DB_Artworks_Export!C165="","",DB_Artworks_Export!C165)</f>
        <v/>
      </c>
      <c r="G165" s="2" t="str">
        <f>IF(DB_Artworks_Export!D165="","",DB_Artworks_Export!D165)</f>
        <v/>
      </c>
      <c r="H165" s="2" t="str">
        <f>IF(DB_Artworks_Export!E165="","",DB_Artworks_Export!E165)</f>
        <v/>
      </c>
      <c r="I165" s="2" t="str">
        <f>IF(DB_Artworks_Export!F165="","",DB_Artworks_Export!F165)</f>
        <v/>
      </c>
      <c r="J165" s="2" t="str">
        <f>IF(DB_Artworks_Export!G165="","",DB_Artworks_Export!G165)</f>
        <v/>
      </c>
      <c r="K165" s="2" t="str">
        <f>IF(DB_Artworks_Export!H165="","",DB_Artworks_Export!H165)</f>
        <v/>
      </c>
      <c r="L165" s="2" t="str">
        <f>IF(DB_Artworks_Export!I165="","",DB_Artworks_Export!I165)</f>
        <v/>
      </c>
      <c r="M165" s="2" t="str">
        <f>IF(DB_Artworks_Export!J165="","",DB_Artworks_Export!J165)</f>
        <v/>
      </c>
      <c r="N165" s="2" t="str">
        <f>IF(DB_Artworks_Export!K165="","",DB_Artworks_Export!K165)</f>
        <v/>
      </c>
      <c r="O165" s="2" t="str">
        <f>IF(DB_Artworks_Export!L165="","",DB_Artworks_Export!L165)</f>
        <v/>
      </c>
      <c r="P165" s="2" t="str">
        <f>IF(DB_Artworks_Export!M165="","",DB_Artworks_Export!M165)</f>
        <v/>
      </c>
      <c r="Q165" s="2" t="str">
        <f>IF(DB_Artworks_Export!N165="","",DB_Artworks_Export!N165)</f>
        <v/>
      </c>
      <c r="R165" s="2" t="str">
        <f>IF($D165="","",IF(COUNTIF(DB_Categories_Export!$A:$A,$F165)&gt;0,"OK","INVALID CATEGORY"))</f>
        <v/>
      </c>
      <c r="S165" s="2" t="str">
        <f>IF($D165="","",COUNTIF(DB_Artwork_Sizes_Export!$B:$B,$D165))</f>
        <v/>
      </c>
      <c r="T165" s="2" t="str">
        <f>IF($D165="","",IFERROR(INDEX(DB_Artwork_Sizes_Export!$D:$D,MATCH($D165,DB_Artwork_Sizes_Export!$B:$B,0)),""))</f>
        <v/>
      </c>
      <c r="U165" s="2" t="str">
        <f>IF($D165="","",IFERROR(INDEX(DB_Artwork_Sizes_Export!$E:$E,MATCH($D165,DB_Artwork_Sizes_Export!$B:$B,0)),""))</f>
        <v/>
      </c>
      <c r="V165" s="2" t="str">
        <f>IF($D165="","",IFERROR(INDEX(DB_Artwork_Sizes_Export!$F:$F,MATCH($D165,DB_Artwork_Sizes_Export!$B:$B,0)),""))</f>
        <v/>
      </c>
      <c r="W165" s="2" t="str">
        <f t="shared" si="22"/>
        <v/>
      </c>
      <c r="X165" s="2"/>
      <c r="Y165" s="2"/>
      <c r="Z165" s="2"/>
      <c r="AA165" s="2"/>
      <c r="AB165" s="2"/>
      <c r="AC165" s="2"/>
      <c r="AD165" s="2"/>
      <c r="AE165" s="2"/>
      <c r="AF165" s="2" t="str">
        <f t="shared" si="23"/>
        <v/>
      </c>
      <c r="AG165" s="2" t="str">
        <f t="shared" si="24"/>
        <v/>
      </c>
      <c r="AH165" s="2" t="str">
        <f>IF($AG165="","",IFERROR(VLOOKUP($AG165,DB_Categories_Export!$A:$B,2,FALSE()),"INVALID CATEGORY"))</f>
        <v/>
      </c>
      <c r="AI165" s="2" t="str">
        <f t="shared" si="25"/>
        <v/>
      </c>
      <c r="AJ165" s="2" t="str">
        <f t="shared" si="26"/>
        <v/>
      </c>
      <c r="AK165" s="2" t="str">
        <f t="shared" si="27"/>
        <v/>
      </c>
      <c r="AL165" s="2" t="str">
        <f t="shared" si="28"/>
        <v/>
      </c>
      <c r="AM165" s="2" t="str">
        <f t="shared" si="29"/>
        <v/>
      </c>
      <c r="AN165" s="2"/>
      <c r="AO165" s="2"/>
    </row>
    <row r="166" spans="1:41" ht="12" customHeight="1" x14ac:dyDescent="0.3">
      <c r="A166" s="2"/>
      <c r="B166" s="2" t="str">
        <f t="shared" si="20"/>
        <v/>
      </c>
      <c r="C166" s="2" t="str">
        <f t="shared" si="21"/>
        <v/>
      </c>
      <c r="D166" s="2" t="str">
        <f>IF(DB_Artworks_Export!A166="","",DB_Artworks_Export!A166)</f>
        <v/>
      </c>
      <c r="E166" s="2" t="str">
        <f>IF(DB_Artworks_Export!B166="","",DB_Artworks_Export!B166)</f>
        <v/>
      </c>
      <c r="F166" s="2" t="str">
        <f>IF(DB_Artworks_Export!C166="","",DB_Artworks_Export!C166)</f>
        <v/>
      </c>
      <c r="G166" s="2" t="str">
        <f>IF(DB_Artworks_Export!D166="","",DB_Artworks_Export!D166)</f>
        <v/>
      </c>
      <c r="H166" s="2" t="str">
        <f>IF(DB_Artworks_Export!E166="","",DB_Artworks_Export!E166)</f>
        <v/>
      </c>
      <c r="I166" s="2" t="str">
        <f>IF(DB_Artworks_Export!F166="","",DB_Artworks_Export!F166)</f>
        <v/>
      </c>
      <c r="J166" s="2" t="str">
        <f>IF(DB_Artworks_Export!G166="","",DB_Artworks_Export!G166)</f>
        <v/>
      </c>
      <c r="K166" s="2" t="str">
        <f>IF(DB_Artworks_Export!H166="","",DB_Artworks_Export!H166)</f>
        <v/>
      </c>
      <c r="L166" s="2" t="str">
        <f>IF(DB_Artworks_Export!I166="","",DB_Artworks_Export!I166)</f>
        <v/>
      </c>
      <c r="M166" s="2" t="str">
        <f>IF(DB_Artworks_Export!J166="","",DB_Artworks_Export!J166)</f>
        <v/>
      </c>
      <c r="N166" s="2" t="str">
        <f>IF(DB_Artworks_Export!K166="","",DB_Artworks_Export!K166)</f>
        <v/>
      </c>
      <c r="O166" s="2" t="str">
        <f>IF(DB_Artworks_Export!L166="","",DB_Artworks_Export!L166)</f>
        <v/>
      </c>
      <c r="P166" s="2" t="str">
        <f>IF(DB_Artworks_Export!M166="","",DB_Artworks_Export!M166)</f>
        <v/>
      </c>
      <c r="Q166" s="2" t="str">
        <f>IF(DB_Artworks_Export!N166="","",DB_Artworks_Export!N166)</f>
        <v/>
      </c>
      <c r="R166" s="2" t="str">
        <f>IF($D166="","",IF(COUNTIF(DB_Categories_Export!$A:$A,$F166)&gt;0,"OK","INVALID CATEGORY"))</f>
        <v/>
      </c>
      <c r="S166" s="2" t="str">
        <f>IF($D166="","",COUNTIF(DB_Artwork_Sizes_Export!$B:$B,$D166))</f>
        <v/>
      </c>
      <c r="T166" s="2" t="str">
        <f>IF($D166="","",IFERROR(INDEX(DB_Artwork_Sizes_Export!$D:$D,MATCH($D166,DB_Artwork_Sizes_Export!$B:$B,0)),""))</f>
        <v/>
      </c>
      <c r="U166" s="2" t="str">
        <f>IF($D166="","",IFERROR(INDEX(DB_Artwork_Sizes_Export!$E:$E,MATCH($D166,DB_Artwork_Sizes_Export!$B:$B,0)),""))</f>
        <v/>
      </c>
      <c r="V166" s="2" t="str">
        <f>IF($D166="","",IFERROR(INDEX(DB_Artwork_Sizes_Export!$F:$F,MATCH($D166,DB_Artwork_Sizes_Export!$B:$B,0)),""))</f>
        <v/>
      </c>
      <c r="W166" s="2" t="str">
        <f t="shared" si="22"/>
        <v/>
      </c>
      <c r="X166" s="2"/>
      <c r="Y166" s="2"/>
      <c r="Z166" s="2"/>
      <c r="AA166" s="2"/>
      <c r="AB166" s="2"/>
      <c r="AC166" s="2"/>
      <c r="AD166" s="2"/>
      <c r="AE166" s="2"/>
      <c r="AF166" s="2" t="str">
        <f t="shared" si="23"/>
        <v/>
      </c>
      <c r="AG166" s="2" t="str">
        <f t="shared" si="24"/>
        <v/>
      </c>
      <c r="AH166" s="2" t="str">
        <f>IF($AG166="","",IFERROR(VLOOKUP($AG166,DB_Categories_Export!$A:$B,2,FALSE()),"INVALID CATEGORY"))</f>
        <v/>
      </c>
      <c r="AI166" s="2" t="str">
        <f t="shared" si="25"/>
        <v/>
      </c>
      <c r="AJ166" s="2" t="str">
        <f t="shared" si="26"/>
        <v/>
      </c>
      <c r="AK166" s="2" t="str">
        <f t="shared" si="27"/>
        <v/>
      </c>
      <c r="AL166" s="2" t="str">
        <f t="shared" si="28"/>
        <v/>
      </c>
      <c r="AM166" s="2" t="str">
        <f t="shared" si="29"/>
        <v/>
      </c>
      <c r="AN166" s="2"/>
      <c r="AO166" s="2"/>
    </row>
    <row r="167" spans="1:41" ht="12" customHeight="1" x14ac:dyDescent="0.3">
      <c r="A167" s="2"/>
      <c r="B167" s="2" t="str">
        <f t="shared" si="20"/>
        <v/>
      </c>
      <c r="C167" s="2" t="str">
        <f t="shared" si="21"/>
        <v/>
      </c>
      <c r="D167" s="2" t="str">
        <f>IF(DB_Artworks_Export!A167="","",DB_Artworks_Export!A167)</f>
        <v/>
      </c>
      <c r="E167" s="2" t="str">
        <f>IF(DB_Artworks_Export!B167="","",DB_Artworks_Export!B167)</f>
        <v/>
      </c>
      <c r="F167" s="2" t="str">
        <f>IF(DB_Artworks_Export!C167="","",DB_Artworks_Export!C167)</f>
        <v/>
      </c>
      <c r="G167" s="2" t="str">
        <f>IF(DB_Artworks_Export!D167="","",DB_Artworks_Export!D167)</f>
        <v/>
      </c>
      <c r="H167" s="2" t="str">
        <f>IF(DB_Artworks_Export!E167="","",DB_Artworks_Export!E167)</f>
        <v/>
      </c>
      <c r="I167" s="2" t="str">
        <f>IF(DB_Artworks_Export!F167="","",DB_Artworks_Export!F167)</f>
        <v/>
      </c>
      <c r="J167" s="2" t="str">
        <f>IF(DB_Artworks_Export!G167="","",DB_Artworks_Export!G167)</f>
        <v/>
      </c>
      <c r="K167" s="2" t="str">
        <f>IF(DB_Artworks_Export!H167="","",DB_Artworks_Export!H167)</f>
        <v/>
      </c>
      <c r="L167" s="2" t="str">
        <f>IF(DB_Artworks_Export!I167="","",DB_Artworks_Export!I167)</f>
        <v/>
      </c>
      <c r="M167" s="2" t="str">
        <f>IF(DB_Artworks_Export!J167="","",DB_Artworks_Export!J167)</f>
        <v/>
      </c>
      <c r="N167" s="2" t="str">
        <f>IF(DB_Artworks_Export!K167="","",DB_Artworks_Export!K167)</f>
        <v/>
      </c>
      <c r="O167" s="2" t="str">
        <f>IF(DB_Artworks_Export!L167="","",DB_Artworks_Export!L167)</f>
        <v/>
      </c>
      <c r="P167" s="2" t="str">
        <f>IF(DB_Artworks_Export!M167="","",DB_Artworks_Export!M167)</f>
        <v/>
      </c>
      <c r="Q167" s="2" t="str">
        <f>IF(DB_Artworks_Export!N167="","",DB_Artworks_Export!N167)</f>
        <v/>
      </c>
      <c r="R167" s="2" t="str">
        <f>IF($D167="","",IF(COUNTIF(DB_Categories_Export!$A:$A,$F167)&gt;0,"OK","INVALID CATEGORY"))</f>
        <v/>
      </c>
      <c r="S167" s="2" t="str">
        <f>IF($D167="","",COUNTIF(DB_Artwork_Sizes_Export!$B:$B,$D167))</f>
        <v/>
      </c>
      <c r="T167" s="2" t="str">
        <f>IF($D167="","",IFERROR(INDEX(DB_Artwork_Sizes_Export!$D:$D,MATCH($D167,DB_Artwork_Sizes_Export!$B:$B,0)),""))</f>
        <v/>
      </c>
      <c r="U167" s="2" t="str">
        <f>IF($D167="","",IFERROR(INDEX(DB_Artwork_Sizes_Export!$E:$E,MATCH($D167,DB_Artwork_Sizes_Export!$B:$B,0)),""))</f>
        <v/>
      </c>
      <c r="V167" s="2" t="str">
        <f>IF($D167="","",IFERROR(INDEX(DB_Artwork_Sizes_Export!$F:$F,MATCH($D167,DB_Artwork_Sizes_Export!$B:$B,0)),""))</f>
        <v/>
      </c>
      <c r="W167" s="2" t="str">
        <f t="shared" si="22"/>
        <v/>
      </c>
      <c r="X167" s="2"/>
      <c r="Y167" s="2"/>
      <c r="Z167" s="2"/>
      <c r="AA167" s="2"/>
      <c r="AB167" s="2"/>
      <c r="AC167" s="2"/>
      <c r="AD167" s="2"/>
      <c r="AE167" s="2"/>
      <c r="AF167" s="2" t="str">
        <f t="shared" si="23"/>
        <v/>
      </c>
      <c r="AG167" s="2" t="str">
        <f t="shared" si="24"/>
        <v/>
      </c>
      <c r="AH167" s="2" t="str">
        <f>IF($AG167="","",IFERROR(VLOOKUP($AG167,DB_Categories_Export!$A:$B,2,FALSE()),"INVALID CATEGORY"))</f>
        <v/>
      </c>
      <c r="AI167" s="2" t="str">
        <f t="shared" si="25"/>
        <v/>
      </c>
      <c r="AJ167" s="2" t="str">
        <f t="shared" si="26"/>
        <v/>
      </c>
      <c r="AK167" s="2" t="str">
        <f t="shared" si="27"/>
        <v/>
      </c>
      <c r="AL167" s="2" t="str">
        <f t="shared" si="28"/>
        <v/>
      </c>
      <c r="AM167" s="2" t="str">
        <f t="shared" si="29"/>
        <v/>
      </c>
      <c r="AN167" s="2"/>
      <c r="AO167" s="2"/>
    </row>
    <row r="168" spans="1:41" ht="12" customHeight="1" x14ac:dyDescent="0.3">
      <c r="A168" s="2"/>
      <c r="B168" s="2" t="str">
        <f t="shared" si="20"/>
        <v/>
      </c>
      <c r="C168" s="2" t="str">
        <f t="shared" si="21"/>
        <v/>
      </c>
      <c r="D168" s="2" t="str">
        <f>IF(DB_Artworks_Export!A168="","",DB_Artworks_Export!A168)</f>
        <v/>
      </c>
      <c r="E168" s="2" t="str">
        <f>IF(DB_Artworks_Export!B168="","",DB_Artworks_Export!B168)</f>
        <v/>
      </c>
      <c r="F168" s="2" t="str">
        <f>IF(DB_Artworks_Export!C168="","",DB_Artworks_Export!C168)</f>
        <v/>
      </c>
      <c r="G168" s="2" t="str">
        <f>IF(DB_Artworks_Export!D168="","",DB_Artworks_Export!D168)</f>
        <v/>
      </c>
      <c r="H168" s="2" t="str">
        <f>IF(DB_Artworks_Export!E168="","",DB_Artworks_Export!E168)</f>
        <v/>
      </c>
      <c r="I168" s="2" t="str">
        <f>IF(DB_Artworks_Export!F168="","",DB_Artworks_Export!F168)</f>
        <v/>
      </c>
      <c r="J168" s="2" t="str">
        <f>IF(DB_Artworks_Export!G168="","",DB_Artworks_Export!G168)</f>
        <v/>
      </c>
      <c r="K168" s="2" t="str">
        <f>IF(DB_Artworks_Export!H168="","",DB_Artworks_Export!H168)</f>
        <v/>
      </c>
      <c r="L168" s="2" t="str">
        <f>IF(DB_Artworks_Export!I168="","",DB_Artworks_Export!I168)</f>
        <v/>
      </c>
      <c r="M168" s="2" t="str">
        <f>IF(DB_Artworks_Export!J168="","",DB_Artworks_Export!J168)</f>
        <v/>
      </c>
      <c r="N168" s="2" t="str">
        <f>IF(DB_Artworks_Export!K168="","",DB_Artworks_Export!K168)</f>
        <v/>
      </c>
      <c r="O168" s="2" t="str">
        <f>IF(DB_Artworks_Export!L168="","",DB_Artworks_Export!L168)</f>
        <v/>
      </c>
      <c r="P168" s="2" t="str">
        <f>IF(DB_Artworks_Export!M168="","",DB_Artworks_Export!M168)</f>
        <v/>
      </c>
      <c r="Q168" s="2" t="str">
        <f>IF(DB_Artworks_Export!N168="","",DB_Artworks_Export!N168)</f>
        <v/>
      </c>
      <c r="R168" s="2" t="str">
        <f>IF($D168="","",IF(COUNTIF(DB_Categories_Export!$A:$A,$F168)&gt;0,"OK","INVALID CATEGORY"))</f>
        <v/>
      </c>
      <c r="S168" s="2" t="str">
        <f>IF($D168="","",COUNTIF(DB_Artwork_Sizes_Export!$B:$B,$D168))</f>
        <v/>
      </c>
      <c r="T168" s="2" t="str">
        <f>IF($D168="","",IFERROR(INDEX(DB_Artwork_Sizes_Export!$D:$D,MATCH($D168,DB_Artwork_Sizes_Export!$B:$B,0)),""))</f>
        <v/>
      </c>
      <c r="U168" s="2" t="str">
        <f>IF($D168="","",IFERROR(INDEX(DB_Artwork_Sizes_Export!$E:$E,MATCH($D168,DB_Artwork_Sizes_Export!$B:$B,0)),""))</f>
        <v/>
      </c>
      <c r="V168" s="2" t="str">
        <f>IF($D168="","",IFERROR(INDEX(DB_Artwork_Sizes_Export!$F:$F,MATCH($D168,DB_Artwork_Sizes_Export!$B:$B,0)),""))</f>
        <v/>
      </c>
      <c r="W168" s="2" t="str">
        <f t="shared" si="22"/>
        <v/>
      </c>
      <c r="X168" s="2"/>
      <c r="Y168" s="2"/>
      <c r="Z168" s="2"/>
      <c r="AA168" s="2"/>
      <c r="AB168" s="2"/>
      <c r="AC168" s="2"/>
      <c r="AD168" s="2"/>
      <c r="AE168" s="2"/>
      <c r="AF168" s="2" t="str">
        <f t="shared" si="23"/>
        <v/>
      </c>
      <c r="AG168" s="2" t="str">
        <f t="shared" si="24"/>
        <v/>
      </c>
      <c r="AH168" s="2" t="str">
        <f>IF($AG168="","",IFERROR(VLOOKUP($AG168,DB_Categories_Export!$A:$B,2,FALSE()),"INVALID CATEGORY"))</f>
        <v/>
      </c>
      <c r="AI168" s="2" t="str">
        <f t="shared" si="25"/>
        <v/>
      </c>
      <c r="AJ168" s="2" t="str">
        <f t="shared" si="26"/>
        <v/>
      </c>
      <c r="AK168" s="2" t="str">
        <f t="shared" si="27"/>
        <v/>
      </c>
      <c r="AL168" s="2" t="str">
        <f t="shared" si="28"/>
        <v/>
      </c>
      <c r="AM168" s="2" t="str">
        <f t="shared" si="29"/>
        <v/>
      </c>
      <c r="AN168" s="2"/>
      <c r="AO168" s="2"/>
    </row>
    <row r="169" spans="1:41" ht="12" customHeight="1" x14ac:dyDescent="0.3">
      <c r="A169" s="2"/>
      <c r="B169" s="2" t="str">
        <f t="shared" si="20"/>
        <v/>
      </c>
      <c r="C169" s="2" t="str">
        <f t="shared" si="21"/>
        <v/>
      </c>
      <c r="D169" s="2" t="str">
        <f>IF(DB_Artworks_Export!A169="","",DB_Artworks_Export!A169)</f>
        <v/>
      </c>
      <c r="E169" s="2" t="str">
        <f>IF(DB_Artworks_Export!B169="","",DB_Artworks_Export!B169)</f>
        <v/>
      </c>
      <c r="F169" s="2" t="str">
        <f>IF(DB_Artworks_Export!C169="","",DB_Artworks_Export!C169)</f>
        <v/>
      </c>
      <c r="G169" s="2" t="str">
        <f>IF(DB_Artworks_Export!D169="","",DB_Artworks_Export!D169)</f>
        <v/>
      </c>
      <c r="H169" s="2" t="str">
        <f>IF(DB_Artworks_Export!E169="","",DB_Artworks_Export!E169)</f>
        <v/>
      </c>
      <c r="I169" s="2" t="str">
        <f>IF(DB_Artworks_Export!F169="","",DB_Artworks_Export!F169)</f>
        <v/>
      </c>
      <c r="J169" s="2" t="str">
        <f>IF(DB_Artworks_Export!G169="","",DB_Artworks_Export!G169)</f>
        <v/>
      </c>
      <c r="K169" s="2" t="str">
        <f>IF(DB_Artworks_Export!H169="","",DB_Artworks_Export!H169)</f>
        <v/>
      </c>
      <c r="L169" s="2" t="str">
        <f>IF(DB_Artworks_Export!I169="","",DB_Artworks_Export!I169)</f>
        <v/>
      </c>
      <c r="M169" s="2" t="str">
        <f>IF(DB_Artworks_Export!J169="","",DB_Artworks_Export!J169)</f>
        <v/>
      </c>
      <c r="N169" s="2" t="str">
        <f>IF(DB_Artworks_Export!K169="","",DB_Artworks_Export!K169)</f>
        <v/>
      </c>
      <c r="O169" s="2" t="str">
        <f>IF(DB_Artworks_Export!L169="","",DB_Artworks_Export!L169)</f>
        <v/>
      </c>
      <c r="P169" s="2" t="str">
        <f>IF(DB_Artworks_Export!M169="","",DB_Artworks_Export!M169)</f>
        <v/>
      </c>
      <c r="Q169" s="2" t="str">
        <f>IF(DB_Artworks_Export!N169="","",DB_Artworks_Export!N169)</f>
        <v/>
      </c>
      <c r="R169" s="2" t="str">
        <f>IF($D169="","",IF(COUNTIF(DB_Categories_Export!$A:$A,$F169)&gt;0,"OK","INVALID CATEGORY"))</f>
        <v/>
      </c>
      <c r="S169" s="2" t="str">
        <f>IF($D169="","",COUNTIF(DB_Artwork_Sizes_Export!$B:$B,$D169))</f>
        <v/>
      </c>
      <c r="T169" s="2" t="str">
        <f>IF($D169="","",IFERROR(INDEX(DB_Artwork_Sizes_Export!$D:$D,MATCH($D169,DB_Artwork_Sizes_Export!$B:$B,0)),""))</f>
        <v/>
      </c>
      <c r="U169" s="2" t="str">
        <f>IF($D169="","",IFERROR(INDEX(DB_Artwork_Sizes_Export!$E:$E,MATCH($D169,DB_Artwork_Sizes_Export!$B:$B,0)),""))</f>
        <v/>
      </c>
      <c r="V169" s="2" t="str">
        <f>IF($D169="","",IFERROR(INDEX(DB_Artwork_Sizes_Export!$F:$F,MATCH($D169,DB_Artwork_Sizes_Export!$B:$B,0)),""))</f>
        <v/>
      </c>
      <c r="W169" s="2" t="str">
        <f t="shared" si="22"/>
        <v/>
      </c>
      <c r="X169" s="2"/>
      <c r="Y169" s="2"/>
      <c r="Z169" s="2"/>
      <c r="AA169" s="2"/>
      <c r="AB169" s="2"/>
      <c r="AC169" s="2"/>
      <c r="AD169" s="2"/>
      <c r="AE169" s="2"/>
      <c r="AF169" s="2" t="str">
        <f t="shared" si="23"/>
        <v/>
      </c>
      <c r="AG169" s="2" t="str">
        <f t="shared" si="24"/>
        <v/>
      </c>
      <c r="AH169" s="2" t="str">
        <f>IF($AG169="","",IFERROR(VLOOKUP($AG169,DB_Categories_Export!$A:$B,2,FALSE()),"INVALID CATEGORY"))</f>
        <v/>
      </c>
      <c r="AI169" s="2" t="str">
        <f t="shared" si="25"/>
        <v/>
      </c>
      <c r="AJ169" s="2" t="str">
        <f t="shared" si="26"/>
        <v/>
      </c>
      <c r="AK169" s="2" t="str">
        <f t="shared" si="27"/>
        <v/>
      </c>
      <c r="AL169" s="2" t="str">
        <f t="shared" si="28"/>
        <v/>
      </c>
      <c r="AM169" s="2" t="str">
        <f t="shared" si="29"/>
        <v/>
      </c>
      <c r="AN169" s="2"/>
      <c r="AO169" s="2"/>
    </row>
    <row r="170" spans="1:41" ht="12" customHeight="1" x14ac:dyDescent="0.3">
      <c r="A170" s="2"/>
      <c r="B170" s="2" t="str">
        <f t="shared" si="20"/>
        <v/>
      </c>
      <c r="C170" s="2" t="str">
        <f t="shared" si="21"/>
        <v/>
      </c>
      <c r="D170" s="2" t="str">
        <f>IF(DB_Artworks_Export!A170="","",DB_Artworks_Export!A170)</f>
        <v/>
      </c>
      <c r="E170" s="2" t="str">
        <f>IF(DB_Artworks_Export!B170="","",DB_Artworks_Export!B170)</f>
        <v/>
      </c>
      <c r="F170" s="2" t="str">
        <f>IF(DB_Artworks_Export!C170="","",DB_Artworks_Export!C170)</f>
        <v/>
      </c>
      <c r="G170" s="2" t="str">
        <f>IF(DB_Artworks_Export!D170="","",DB_Artworks_Export!D170)</f>
        <v/>
      </c>
      <c r="H170" s="2" t="str">
        <f>IF(DB_Artworks_Export!E170="","",DB_Artworks_Export!E170)</f>
        <v/>
      </c>
      <c r="I170" s="2" t="str">
        <f>IF(DB_Artworks_Export!F170="","",DB_Artworks_Export!F170)</f>
        <v/>
      </c>
      <c r="J170" s="2" t="str">
        <f>IF(DB_Artworks_Export!G170="","",DB_Artworks_Export!G170)</f>
        <v/>
      </c>
      <c r="K170" s="2" t="str">
        <f>IF(DB_Artworks_Export!H170="","",DB_Artworks_Export!H170)</f>
        <v/>
      </c>
      <c r="L170" s="2" t="str">
        <f>IF(DB_Artworks_Export!I170="","",DB_Artworks_Export!I170)</f>
        <v/>
      </c>
      <c r="M170" s="2" t="str">
        <f>IF(DB_Artworks_Export!J170="","",DB_Artworks_Export!J170)</f>
        <v/>
      </c>
      <c r="N170" s="2" t="str">
        <f>IF(DB_Artworks_Export!K170="","",DB_Artworks_Export!K170)</f>
        <v/>
      </c>
      <c r="O170" s="2" t="str">
        <f>IF(DB_Artworks_Export!L170="","",DB_Artworks_Export!L170)</f>
        <v/>
      </c>
      <c r="P170" s="2" t="str">
        <f>IF(DB_Artworks_Export!M170="","",DB_Artworks_Export!M170)</f>
        <v/>
      </c>
      <c r="Q170" s="2" t="str">
        <f>IF(DB_Artworks_Export!N170="","",DB_Artworks_Export!N170)</f>
        <v/>
      </c>
      <c r="R170" s="2" t="str">
        <f>IF($D170="","",IF(COUNTIF(DB_Categories_Export!$A:$A,$F170)&gt;0,"OK","INVALID CATEGORY"))</f>
        <v/>
      </c>
      <c r="S170" s="2" t="str">
        <f>IF($D170="","",COUNTIF(DB_Artwork_Sizes_Export!$B:$B,$D170))</f>
        <v/>
      </c>
      <c r="T170" s="2" t="str">
        <f>IF($D170="","",IFERROR(INDEX(DB_Artwork_Sizes_Export!$D:$D,MATCH($D170,DB_Artwork_Sizes_Export!$B:$B,0)),""))</f>
        <v/>
      </c>
      <c r="U170" s="2" t="str">
        <f>IF($D170="","",IFERROR(INDEX(DB_Artwork_Sizes_Export!$E:$E,MATCH($D170,DB_Artwork_Sizes_Export!$B:$B,0)),""))</f>
        <v/>
      </c>
      <c r="V170" s="2" t="str">
        <f>IF($D170="","",IFERROR(INDEX(DB_Artwork_Sizes_Export!$F:$F,MATCH($D170,DB_Artwork_Sizes_Export!$B:$B,0)),""))</f>
        <v/>
      </c>
      <c r="W170" s="2" t="str">
        <f t="shared" si="22"/>
        <v/>
      </c>
      <c r="X170" s="2"/>
      <c r="Y170" s="2"/>
      <c r="Z170" s="2"/>
      <c r="AA170" s="2"/>
      <c r="AB170" s="2"/>
      <c r="AC170" s="2"/>
      <c r="AD170" s="2"/>
      <c r="AE170" s="2"/>
      <c r="AF170" s="2" t="str">
        <f t="shared" si="23"/>
        <v/>
      </c>
      <c r="AG170" s="2" t="str">
        <f t="shared" si="24"/>
        <v/>
      </c>
      <c r="AH170" s="2" t="str">
        <f>IF($AG170="","",IFERROR(VLOOKUP($AG170,DB_Categories_Export!$A:$B,2,FALSE()),"INVALID CATEGORY"))</f>
        <v/>
      </c>
      <c r="AI170" s="2" t="str">
        <f t="shared" si="25"/>
        <v/>
      </c>
      <c r="AJ170" s="2" t="str">
        <f t="shared" si="26"/>
        <v/>
      </c>
      <c r="AK170" s="2" t="str">
        <f t="shared" si="27"/>
        <v/>
      </c>
      <c r="AL170" s="2" t="str">
        <f t="shared" si="28"/>
        <v/>
      </c>
      <c r="AM170" s="2" t="str">
        <f t="shared" si="29"/>
        <v/>
      </c>
      <c r="AN170" s="2"/>
      <c r="AO170" s="2"/>
    </row>
    <row r="171" spans="1:41" ht="12" customHeight="1" x14ac:dyDescent="0.3">
      <c r="A171" s="2"/>
      <c r="B171" s="2" t="str">
        <f t="shared" si="20"/>
        <v/>
      </c>
      <c r="C171" s="2" t="str">
        <f t="shared" si="21"/>
        <v/>
      </c>
      <c r="D171" s="2" t="str">
        <f>IF(DB_Artworks_Export!A171="","",DB_Artworks_Export!A171)</f>
        <v/>
      </c>
      <c r="E171" s="2" t="str">
        <f>IF(DB_Artworks_Export!B171="","",DB_Artworks_Export!B171)</f>
        <v/>
      </c>
      <c r="F171" s="2" t="str">
        <f>IF(DB_Artworks_Export!C171="","",DB_Artworks_Export!C171)</f>
        <v/>
      </c>
      <c r="G171" s="2" t="str">
        <f>IF(DB_Artworks_Export!D171="","",DB_Artworks_Export!D171)</f>
        <v/>
      </c>
      <c r="H171" s="2" t="str">
        <f>IF(DB_Artworks_Export!E171="","",DB_Artworks_Export!E171)</f>
        <v/>
      </c>
      <c r="I171" s="2" t="str">
        <f>IF(DB_Artworks_Export!F171="","",DB_Artworks_Export!F171)</f>
        <v/>
      </c>
      <c r="J171" s="2" t="str">
        <f>IF(DB_Artworks_Export!G171="","",DB_Artworks_Export!G171)</f>
        <v/>
      </c>
      <c r="K171" s="2" t="str">
        <f>IF(DB_Artworks_Export!H171="","",DB_Artworks_Export!H171)</f>
        <v/>
      </c>
      <c r="L171" s="2" t="str">
        <f>IF(DB_Artworks_Export!I171="","",DB_Artworks_Export!I171)</f>
        <v/>
      </c>
      <c r="M171" s="2" t="str">
        <f>IF(DB_Artworks_Export!J171="","",DB_Artworks_Export!J171)</f>
        <v/>
      </c>
      <c r="N171" s="2" t="str">
        <f>IF(DB_Artworks_Export!K171="","",DB_Artworks_Export!K171)</f>
        <v/>
      </c>
      <c r="O171" s="2" t="str">
        <f>IF(DB_Artworks_Export!L171="","",DB_Artworks_Export!L171)</f>
        <v/>
      </c>
      <c r="P171" s="2" t="str">
        <f>IF(DB_Artworks_Export!M171="","",DB_Artworks_Export!M171)</f>
        <v/>
      </c>
      <c r="Q171" s="2" t="str">
        <f>IF(DB_Artworks_Export!N171="","",DB_Artworks_Export!N171)</f>
        <v/>
      </c>
      <c r="R171" s="2" t="str">
        <f>IF($D171="","",IF(COUNTIF(DB_Categories_Export!$A:$A,$F171)&gt;0,"OK","INVALID CATEGORY"))</f>
        <v/>
      </c>
      <c r="S171" s="2" t="str">
        <f>IF($D171="","",COUNTIF(DB_Artwork_Sizes_Export!$B:$B,$D171))</f>
        <v/>
      </c>
      <c r="T171" s="2" t="str">
        <f>IF($D171="","",IFERROR(INDEX(DB_Artwork_Sizes_Export!$D:$D,MATCH($D171,DB_Artwork_Sizes_Export!$B:$B,0)),""))</f>
        <v/>
      </c>
      <c r="U171" s="2" t="str">
        <f>IF($D171="","",IFERROR(INDEX(DB_Artwork_Sizes_Export!$E:$E,MATCH($D171,DB_Artwork_Sizes_Export!$B:$B,0)),""))</f>
        <v/>
      </c>
      <c r="V171" s="2" t="str">
        <f>IF($D171="","",IFERROR(INDEX(DB_Artwork_Sizes_Export!$F:$F,MATCH($D171,DB_Artwork_Sizes_Export!$B:$B,0)),""))</f>
        <v/>
      </c>
      <c r="W171" s="2" t="str">
        <f t="shared" si="22"/>
        <v/>
      </c>
      <c r="X171" s="2"/>
      <c r="Y171" s="2"/>
      <c r="Z171" s="2"/>
      <c r="AA171" s="2"/>
      <c r="AB171" s="2"/>
      <c r="AC171" s="2"/>
      <c r="AD171" s="2"/>
      <c r="AE171" s="2"/>
      <c r="AF171" s="2" t="str">
        <f t="shared" si="23"/>
        <v/>
      </c>
      <c r="AG171" s="2" t="str">
        <f t="shared" si="24"/>
        <v/>
      </c>
      <c r="AH171" s="2" t="str">
        <f>IF($AG171="","",IFERROR(VLOOKUP($AG171,DB_Categories_Export!$A:$B,2,FALSE()),"INVALID CATEGORY"))</f>
        <v/>
      </c>
      <c r="AI171" s="2" t="str">
        <f t="shared" si="25"/>
        <v/>
      </c>
      <c r="AJ171" s="2" t="str">
        <f t="shared" si="26"/>
        <v/>
      </c>
      <c r="AK171" s="2" t="str">
        <f t="shared" si="27"/>
        <v/>
      </c>
      <c r="AL171" s="2" t="str">
        <f t="shared" si="28"/>
        <v/>
      </c>
      <c r="AM171" s="2" t="str">
        <f t="shared" si="29"/>
        <v/>
      </c>
      <c r="AN171" s="2"/>
      <c r="AO171" s="2"/>
    </row>
    <row r="172" spans="1:41" ht="12" customHeight="1" x14ac:dyDescent="0.3">
      <c r="A172" s="2"/>
      <c r="B172" s="2" t="str">
        <f t="shared" si="20"/>
        <v/>
      </c>
      <c r="C172" s="2" t="str">
        <f t="shared" si="21"/>
        <v/>
      </c>
      <c r="D172" s="2" t="str">
        <f>IF(DB_Artworks_Export!A172="","",DB_Artworks_Export!A172)</f>
        <v/>
      </c>
      <c r="E172" s="2" t="str">
        <f>IF(DB_Artworks_Export!B172="","",DB_Artworks_Export!B172)</f>
        <v/>
      </c>
      <c r="F172" s="2" t="str">
        <f>IF(DB_Artworks_Export!C172="","",DB_Artworks_Export!C172)</f>
        <v/>
      </c>
      <c r="G172" s="2" t="str">
        <f>IF(DB_Artworks_Export!D172="","",DB_Artworks_Export!D172)</f>
        <v/>
      </c>
      <c r="H172" s="2" t="str">
        <f>IF(DB_Artworks_Export!E172="","",DB_Artworks_Export!E172)</f>
        <v/>
      </c>
      <c r="I172" s="2" t="str">
        <f>IF(DB_Artworks_Export!F172="","",DB_Artworks_Export!F172)</f>
        <v/>
      </c>
      <c r="J172" s="2" t="str">
        <f>IF(DB_Artworks_Export!G172="","",DB_Artworks_Export!G172)</f>
        <v/>
      </c>
      <c r="K172" s="2" t="str">
        <f>IF(DB_Artworks_Export!H172="","",DB_Artworks_Export!H172)</f>
        <v/>
      </c>
      <c r="L172" s="2" t="str">
        <f>IF(DB_Artworks_Export!I172="","",DB_Artworks_Export!I172)</f>
        <v/>
      </c>
      <c r="M172" s="2" t="str">
        <f>IF(DB_Artworks_Export!J172="","",DB_Artworks_Export!J172)</f>
        <v/>
      </c>
      <c r="N172" s="2" t="str">
        <f>IF(DB_Artworks_Export!K172="","",DB_Artworks_Export!K172)</f>
        <v/>
      </c>
      <c r="O172" s="2" t="str">
        <f>IF(DB_Artworks_Export!L172="","",DB_Artworks_Export!L172)</f>
        <v/>
      </c>
      <c r="P172" s="2" t="str">
        <f>IF(DB_Artworks_Export!M172="","",DB_Artworks_Export!M172)</f>
        <v/>
      </c>
      <c r="Q172" s="2" t="str">
        <f>IF(DB_Artworks_Export!N172="","",DB_Artworks_Export!N172)</f>
        <v/>
      </c>
      <c r="R172" s="2" t="str">
        <f>IF($D172="","",IF(COUNTIF(DB_Categories_Export!$A:$A,$F172)&gt;0,"OK","INVALID CATEGORY"))</f>
        <v/>
      </c>
      <c r="S172" s="2" t="str">
        <f>IF($D172="","",COUNTIF(DB_Artwork_Sizes_Export!$B:$B,$D172))</f>
        <v/>
      </c>
      <c r="T172" s="2" t="str">
        <f>IF($D172="","",IFERROR(INDEX(DB_Artwork_Sizes_Export!$D:$D,MATCH($D172,DB_Artwork_Sizes_Export!$B:$B,0)),""))</f>
        <v/>
      </c>
      <c r="U172" s="2" t="str">
        <f>IF($D172="","",IFERROR(INDEX(DB_Artwork_Sizes_Export!$E:$E,MATCH($D172,DB_Artwork_Sizes_Export!$B:$B,0)),""))</f>
        <v/>
      </c>
      <c r="V172" s="2" t="str">
        <f>IF($D172="","",IFERROR(INDEX(DB_Artwork_Sizes_Export!$F:$F,MATCH($D172,DB_Artwork_Sizes_Export!$B:$B,0)),""))</f>
        <v/>
      </c>
      <c r="W172" s="2" t="str">
        <f t="shared" si="22"/>
        <v/>
      </c>
      <c r="X172" s="2"/>
      <c r="Y172" s="2"/>
      <c r="Z172" s="2"/>
      <c r="AA172" s="2"/>
      <c r="AB172" s="2"/>
      <c r="AC172" s="2"/>
      <c r="AD172" s="2"/>
      <c r="AE172" s="2"/>
      <c r="AF172" s="2" t="str">
        <f t="shared" si="23"/>
        <v/>
      </c>
      <c r="AG172" s="2" t="str">
        <f t="shared" si="24"/>
        <v/>
      </c>
      <c r="AH172" s="2" t="str">
        <f>IF($AG172="","",IFERROR(VLOOKUP($AG172,DB_Categories_Export!$A:$B,2,FALSE()),"INVALID CATEGORY"))</f>
        <v/>
      </c>
      <c r="AI172" s="2" t="str">
        <f t="shared" si="25"/>
        <v/>
      </c>
      <c r="AJ172" s="2" t="str">
        <f t="shared" si="26"/>
        <v/>
      </c>
      <c r="AK172" s="2" t="str">
        <f t="shared" si="27"/>
        <v/>
      </c>
      <c r="AL172" s="2" t="str">
        <f t="shared" si="28"/>
        <v/>
      </c>
      <c r="AM172" s="2" t="str">
        <f t="shared" si="29"/>
        <v/>
      </c>
      <c r="AN172" s="2"/>
      <c r="AO172" s="2"/>
    </row>
    <row r="173" spans="1:41" ht="12" customHeight="1" x14ac:dyDescent="0.3">
      <c r="A173" s="2"/>
      <c r="B173" s="2" t="str">
        <f t="shared" si="20"/>
        <v/>
      </c>
      <c r="C173" s="2" t="str">
        <f t="shared" si="21"/>
        <v/>
      </c>
      <c r="D173" s="2" t="str">
        <f>IF(DB_Artworks_Export!A173="","",DB_Artworks_Export!A173)</f>
        <v/>
      </c>
      <c r="E173" s="2" t="str">
        <f>IF(DB_Artworks_Export!B173="","",DB_Artworks_Export!B173)</f>
        <v/>
      </c>
      <c r="F173" s="2" t="str">
        <f>IF(DB_Artworks_Export!C173="","",DB_Artworks_Export!C173)</f>
        <v/>
      </c>
      <c r="G173" s="2" t="str">
        <f>IF(DB_Artworks_Export!D173="","",DB_Artworks_Export!D173)</f>
        <v/>
      </c>
      <c r="H173" s="2" t="str">
        <f>IF(DB_Artworks_Export!E173="","",DB_Artworks_Export!E173)</f>
        <v/>
      </c>
      <c r="I173" s="2" t="str">
        <f>IF(DB_Artworks_Export!F173="","",DB_Artworks_Export!F173)</f>
        <v/>
      </c>
      <c r="J173" s="2" t="str">
        <f>IF(DB_Artworks_Export!G173="","",DB_Artworks_Export!G173)</f>
        <v/>
      </c>
      <c r="K173" s="2" t="str">
        <f>IF(DB_Artworks_Export!H173="","",DB_Artworks_Export!H173)</f>
        <v/>
      </c>
      <c r="L173" s="2" t="str">
        <f>IF(DB_Artworks_Export!I173="","",DB_Artworks_Export!I173)</f>
        <v/>
      </c>
      <c r="M173" s="2" t="str">
        <f>IF(DB_Artworks_Export!J173="","",DB_Artworks_Export!J173)</f>
        <v/>
      </c>
      <c r="N173" s="2" t="str">
        <f>IF(DB_Artworks_Export!K173="","",DB_Artworks_Export!K173)</f>
        <v/>
      </c>
      <c r="O173" s="2" t="str">
        <f>IF(DB_Artworks_Export!L173="","",DB_Artworks_Export!L173)</f>
        <v/>
      </c>
      <c r="P173" s="2" t="str">
        <f>IF(DB_Artworks_Export!M173="","",DB_Artworks_Export!M173)</f>
        <v/>
      </c>
      <c r="Q173" s="2" t="str">
        <f>IF(DB_Artworks_Export!N173="","",DB_Artworks_Export!N173)</f>
        <v/>
      </c>
      <c r="R173" s="2" t="str">
        <f>IF($D173="","",IF(COUNTIF(DB_Categories_Export!$A:$A,$F173)&gt;0,"OK","INVALID CATEGORY"))</f>
        <v/>
      </c>
      <c r="S173" s="2" t="str">
        <f>IF($D173="","",COUNTIF(DB_Artwork_Sizes_Export!$B:$B,$D173))</f>
        <v/>
      </c>
      <c r="T173" s="2" t="str">
        <f>IF($D173="","",IFERROR(INDEX(DB_Artwork_Sizes_Export!$D:$D,MATCH($D173,DB_Artwork_Sizes_Export!$B:$B,0)),""))</f>
        <v/>
      </c>
      <c r="U173" s="2" t="str">
        <f>IF($D173="","",IFERROR(INDEX(DB_Artwork_Sizes_Export!$E:$E,MATCH($D173,DB_Artwork_Sizes_Export!$B:$B,0)),""))</f>
        <v/>
      </c>
      <c r="V173" s="2" t="str">
        <f>IF($D173="","",IFERROR(INDEX(DB_Artwork_Sizes_Export!$F:$F,MATCH($D173,DB_Artwork_Sizes_Export!$B:$B,0)),""))</f>
        <v/>
      </c>
      <c r="W173" s="2" t="str">
        <f t="shared" si="22"/>
        <v/>
      </c>
      <c r="X173" s="2"/>
      <c r="Y173" s="2"/>
      <c r="Z173" s="2"/>
      <c r="AA173" s="2"/>
      <c r="AB173" s="2"/>
      <c r="AC173" s="2"/>
      <c r="AD173" s="2"/>
      <c r="AE173" s="2"/>
      <c r="AF173" s="2" t="str">
        <f t="shared" si="23"/>
        <v/>
      </c>
      <c r="AG173" s="2" t="str">
        <f t="shared" si="24"/>
        <v/>
      </c>
      <c r="AH173" s="2" t="str">
        <f>IF($AG173="","",IFERROR(VLOOKUP($AG173,DB_Categories_Export!$A:$B,2,FALSE()),"INVALID CATEGORY"))</f>
        <v/>
      </c>
      <c r="AI173" s="2" t="str">
        <f t="shared" si="25"/>
        <v/>
      </c>
      <c r="AJ173" s="2" t="str">
        <f t="shared" si="26"/>
        <v/>
      </c>
      <c r="AK173" s="2" t="str">
        <f t="shared" si="27"/>
        <v/>
      </c>
      <c r="AL173" s="2" t="str">
        <f t="shared" si="28"/>
        <v/>
      </c>
      <c r="AM173" s="2" t="str">
        <f t="shared" si="29"/>
        <v/>
      </c>
      <c r="AN173" s="2"/>
      <c r="AO173" s="2"/>
    </row>
    <row r="174" spans="1:41" ht="12" customHeight="1" x14ac:dyDescent="0.3">
      <c r="A174" s="2"/>
      <c r="B174" s="2" t="str">
        <f t="shared" si="20"/>
        <v/>
      </c>
      <c r="C174" s="2" t="str">
        <f t="shared" si="21"/>
        <v/>
      </c>
      <c r="D174" s="2" t="str">
        <f>IF(DB_Artworks_Export!A174="","",DB_Artworks_Export!A174)</f>
        <v/>
      </c>
      <c r="E174" s="2" t="str">
        <f>IF(DB_Artworks_Export!B174="","",DB_Artworks_Export!B174)</f>
        <v/>
      </c>
      <c r="F174" s="2" t="str">
        <f>IF(DB_Artworks_Export!C174="","",DB_Artworks_Export!C174)</f>
        <v/>
      </c>
      <c r="G174" s="2" t="str">
        <f>IF(DB_Artworks_Export!D174="","",DB_Artworks_Export!D174)</f>
        <v/>
      </c>
      <c r="H174" s="2" t="str">
        <f>IF(DB_Artworks_Export!E174="","",DB_Artworks_Export!E174)</f>
        <v/>
      </c>
      <c r="I174" s="2" t="str">
        <f>IF(DB_Artworks_Export!F174="","",DB_Artworks_Export!F174)</f>
        <v/>
      </c>
      <c r="J174" s="2" t="str">
        <f>IF(DB_Artworks_Export!G174="","",DB_Artworks_Export!G174)</f>
        <v/>
      </c>
      <c r="K174" s="2" t="str">
        <f>IF(DB_Artworks_Export!H174="","",DB_Artworks_Export!H174)</f>
        <v/>
      </c>
      <c r="L174" s="2" t="str">
        <f>IF(DB_Artworks_Export!I174="","",DB_Artworks_Export!I174)</f>
        <v/>
      </c>
      <c r="M174" s="2" t="str">
        <f>IF(DB_Artworks_Export!J174="","",DB_Artworks_Export!J174)</f>
        <v/>
      </c>
      <c r="N174" s="2" t="str">
        <f>IF(DB_Artworks_Export!K174="","",DB_Artworks_Export!K174)</f>
        <v/>
      </c>
      <c r="O174" s="2" t="str">
        <f>IF(DB_Artworks_Export!L174="","",DB_Artworks_Export!L174)</f>
        <v/>
      </c>
      <c r="P174" s="2" t="str">
        <f>IF(DB_Artworks_Export!M174="","",DB_Artworks_Export!M174)</f>
        <v/>
      </c>
      <c r="Q174" s="2" t="str">
        <f>IF(DB_Artworks_Export!N174="","",DB_Artworks_Export!N174)</f>
        <v/>
      </c>
      <c r="R174" s="2" t="str">
        <f>IF($D174="","",IF(COUNTIF(DB_Categories_Export!$A:$A,$F174)&gt;0,"OK","INVALID CATEGORY"))</f>
        <v/>
      </c>
      <c r="S174" s="2" t="str">
        <f>IF($D174="","",COUNTIF(DB_Artwork_Sizes_Export!$B:$B,$D174))</f>
        <v/>
      </c>
      <c r="T174" s="2" t="str">
        <f>IF($D174="","",IFERROR(INDEX(DB_Artwork_Sizes_Export!$D:$D,MATCH($D174,DB_Artwork_Sizes_Export!$B:$B,0)),""))</f>
        <v/>
      </c>
      <c r="U174" s="2" t="str">
        <f>IF($D174="","",IFERROR(INDEX(DB_Artwork_Sizes_Export!$E:$E,MATCH($D174,DB_Artwork_Sizes_Export!$B:$B,0)),""))</f>
        <v/>
      </c>
      <c r="V174" s="2" t="str">
        <f>IF($D174="","",IFERROR(INDEX(DB_Artwork_Sizes_Export!$F:$F,MATCH($D174,DB_Artwork_Sizes_Export!$B:$B,0)),""))</f>
        <v/>
      </c>
      <c r="W174" s="2" t="str">
        <f t="shared" si="22"/>
        <v/>
      </c>
      <c r="X174" s="2"/>
      <c r="Y174" s="2"/>
      <c r="Z174" s="2"/>
      <c r="AA174" s="2"/>
      <c r="AB174" s="2"/>
      <c r="AC174" s="2"/>
      <c r="AD174" s="2"/>
      <c r="AE174" s="2"/>
      <c r="AF174" s="2" t="str">
        <f t="shared" si="23"/>
        <v/>
      </c>
      <c r="AG174" s="2" t="str">
        <f t="shared" si="24"/>
        <v/>
      </c>
      <c r="AH174" s="2" t="str">
        <f>IF($AG174="","",IFERROR(VLOOKUP($AG174,DB_Categories_Export!$A:$B,2,FALSE()),"INVALID CATEGORY"))</f>
        <v/>
      </c>
      <c r="AI174" s="2" t="str">
        <f t="shared" si="25"/>
        <v/>
      </c>
      <c r="AJ174" s="2" t="str">
        <f t="shared" si="26"/>
        <v/>
      </c>
      <c r="AK174" s="2" t="str">
        <f t="shared" si="27"/>
        <v/>
      </c>
      <c r="AL174" s="2" t="str">
        <f t="shared" si="28"/>
        <v/>
      </c>
      <c r="AM174" s="2" t="str">
        <f t="shared" si="29"/>
        <v/>
      </c>
      <c r="AN174" s="2"/>
      <c r="AO174" s="2"/>
    </row>
    <row r="175" spans="1:41" ht="12" customHeight="1" x14ac:dyDescent="0.3">
      <c r="A175" s="2"/>
      <c r="B175" s="2" t="str">
        <f t="shared" si="20"/>
        <v/>
      </c>
      <c r="C175" s="2" t="str">
        <f t="shared" si="21"/>
        <v/>
      </c>
      <c r="D175" s="2" t="str">
        <f>IF(DB_Artworks_Export!A175="","",DB_Artworks_Export!A175)</f>
        <v/>
      </c>
      <c r="E175" s="2" t="str">
        <f>IF(DB_Artworks_Export!B175="","",DB_Artworks_Export!B175)</f>
        <v/>
      </c>
      <c r="F175" s="2" t="str">
        <f>IF(DB_Artworks_Export!C175="","",DB_Artworks_Export!C175)</f>
        <v/>
      </c>
      <c r="G175" s="2" t="str">
        <f>IF(DB_Artworks_Export!D175="","",DB_Artworks_Export!D175)</f>
        <v/>
      </c>
      <c r="H175" s="2" t="str">
        <f>IF(DB_Artworks_Export!E175="","",DB_Artworks_Export!E175)</f>
        <v/>
      </c>
      <c r="I175" s="2" t="str">
        <f>IF(DB_Artworks_Export!F175="","",DB_Artworks_Export!F175)</f>
        <v/>
      </c>
      <c r="J175" s="2" t="str">
        <f>IF(DB_Artworks_Export!G175="","",DB_Artworks_Export!G175)</f>
        <v/>
      </c>
      <c r="K175" s="2" t="str">
        <f>IF(DB_Artworks_Export!H175="","",DB_Artworks_Export!H175)</f>
        <v/>
      </c>
      <c r="L175" s="2" t="str">
        <f>IF(DB_Artworks_Export!I175="","",DB_Artworks_Export!I175)</f>
        <v/>
      </c>
      <c r="M175" s="2" t="str">
        <f>IF(DB_Artworks_Export!J175="","",DB_Artworks_Export!J175)</f>
        <v/>
      </c>
      <c r="N175" s="2" t="str">
        <f>IF(DB_Artworks_Export!K175="","",DB_Artworks_Export!K175)</f>
        <v/>
      </c>
      <c r="O175" s="2" t="str">
        <f>IF(DB_Artworks_Export!L175="","",DB_Artworks_Export!L175)</f>
        <v/>
      </c>
      <c r="P175" s="2" t="str">
        <f>IF(DB_Artworks_Export!M175="","",DB_Artworks_Export!M175)</f>
        <v/>
      </c>
      <c r="Q175" s="2" t="str">
        <f>IF(DB_Artworks_Export!N175="","",DB_Artworks_Export!N175)</f>
        <v/>
      </c>
      <c r="R175" s="2" t="str">
        <f>IF($D175="","",IF(COUNTIF(DB_Categories_Export!$A:$A,$F175)&gt;0,"OK","INVALID CATEGORY"))</f>
        <v/>
      </c>
      <c r="S175" s="2" t="str">
        <f>IF($D175="","",COUNTIF(DB_Artwork_Sizes_Export!$B:$B,$D175))</f>
        <v/>
      </c>
      <c r="T175" s="2" t="str">
        <f>IF($D175="","",IFERROR(INDEX(DB_Artwork_Sizes_Export!$D:$D,MATCH($D175,DB_Artwork_Sizes_Export!$B:$B,0)),""))</f>
        <v/>
      </c>
      <c r="U175" s="2" t="str">
        <f>IF($D175="","",IFERROR(INDEX(DB_Artwork_Sizes_Export!$E:$E,MATCH($D175,DB_Artwork_Sizes_Export!$B:$B,0)),""))</f>
        <v/>
      </c>
      <c r="V175" s="2" t="str">
        <f>IF($D175="","",IFERROR(INDEX(DB_Artwork_Sizes_Export!$F:$F,MATCH($D175,DB_Artwork_Sizes_Export!$B:$B,0)),""))</f>
        <v/>
      </c>
      <c r="W175" s="2" t="str">
        <f t="shared" si="22"/>
        <v/>
      </c>
      <c r="X175" s="2"/>
      <c r="Y175" s="2"/>
      <c r="Z175" s="2"/>
      <c r="AA175" s="2"/>
      <c r="AB175" s="2"/>
      <c r="AC175" s="2"/>
      <c r="AD175" s="2"/>
      <c r="AE175" s="2"/>
      <c r="AF175" s="2" t="str">
        <f t="shared" si="23"/>
        <v/>
      </c>
      <c r="AG175" s="2" t="str">
        <f t="shared" si="24"/>
        <v/>
      </c>
      <c r="AH175" s="2" t="str">
        <f>IF($AG175="","",IFERROR(VLOOKUP($AG175,DB_Categories_Export!$A:$B,2,FALSE()),"INVALID CATEGORY"))</f>
        <v/>
      </c>
      <c r="AI175" s="2" t="str">
        <f t="shared" si="25"/>
        <v/>
      </c>
      <c r="AJ175" s="2" t="str">
        <f t="shared" si="26"/>
        <v/>
      </c>
      <c r="AK175" s="2" t="str">
        <f t="shared" si="27"/>
        <v/>
      </c>
      <c r="AL175" s="2" t="str">
        <f t="shared" si="28"/>
        <v/>
      </c>
      <c r="AM175" s="2" t="str">
        <f t="shared" si="29"/>
        <v/>
      </c>
      <c r="AN175" s="2"/>
      <c r="AO175" s="2"/>
    </row>
    <row r="176" spans="1:41" ht="12" customHeight="1" x14ac:dyDescent="0.3">
      <c r="A176" s="2"/>
      <c r="B176" s="2" t="str">
        <f t="shared" si="20"/>
        <v/>
      </c>
      <c r="C176" s="2" t="str">
        <f t="shared" si="21"/>
        <v/>
      </c>
      <c r="D176" s="2" t="str">
        <f>IF(DB_Artworks_Export!A176="","",DB_Artworks_Export!A176)</f>
        <v/>
      </c>
      <c r="E176" s="2" t="str">
        <f>IF(DB_Artworks_Export!B176="","",DB_Artworks_Export!B176)</f>
        <v/>
      </c>
      <c r="F176" s="2" t="str">
        <f>IF(DB_Artworks_Export!C176="","",DB_Artworks_Export!C176)</f>
        <v/>
      </c>
      <c r="G176" s="2" t="str">
        <f>IF(DB_Artworks_Export!D176="","",DB_Artworks_Export!D176)</f>
        <v/>
      </c>
      <c r="H176" s="2" t="str">
        <f>IF(DB_Artworks_Export!E176="","",DB_Artworks_Export!E176)</f>
        <v/>
      </c>
      <c r="I176" s="2" t="str">
        <f>IF(DB_Artworks_Export!F176="","",DB_Artworks_Export!F176)</f>
        <v/>
      </c>
      <c r="J176" s="2" t="str">
        <f>IF(DB_Artworks_Export!G176="","",DB_Artworks_Export!G176)</f>
        <v/>
      </c>
      <c r="K176" s="2" t="str">
        <f>IF(DB_Artworks_Export!H176="","",DB_Artworks_Export!H176)</f>
        <v/>
      </c>
      <c r="L176" s="2" t="str">
        <f>IF(DB_Artworks_Export!I176="","",DB_Artworks_Export!I176)</f>
        <v/>
      </c>
      <c r="M176" s="2" t="str">
        <f>IF(DB_Artworks_Export!J176="","",DB_Artworks_Export!J176)</f>
        <v/>
      </c>
      <c r="N176" s="2" t="str">
        <f>IF(DB_Artworks_Export!K176="","",DB_Artworks_Export!K176)</f>
        <v/>
      </c>
      <c r="O176" s="2" t="str">
        <f>IF(DB_Artworks_Export!L176="","",DB_Artworks_Export!L176)</f>
        <v/>
      </c>
      <c r="P176" s="2" t="str">
        <f>IF(DB_Artworks_Export!M176="","",DB_Artworks_Export!M176)</f>
        <v/>
      </c>
      <c r="Q176" s="2" t="str">
        <f>IF(DB_Artworks_Export!N176="","",DB_Artworks_Export!N176)</f>
        <v/>
      </c>
      <c r="R176" s="2" t="str">
        <f>IF($D176="","",IF(COUNTIF(DB_Categories_Export!$A:$A,$F176)&gt;0,"OK","INVALID CATEGORY"))</f>
        <v/>
      </c>
      <c r="S176" s="2" t="str">
        <f>IF($D176="","",COUNTIF(DB_Artwork_Sizes_Export!$B:$B,$D176))</f>
        <v/>
      </c>
      <c r="T176" s="2" t="str">
        <f>IF($D176="","",IFERROR(INDEX(DB_Artwork_Sizes_Export!$D:$D,MATCH($D176,DB_Artwork_Sizes_Export!$B:$B,0)),""))</f>
        <v/>
      </c>
      <c r="U176" s="2" t="str">
        <f>IF($D176="","",IFERROR(INDEX(DB_Artwork_Sizes_Export!$E:$E,MATCH($D176,DB_Artwork_Sizes_Export!$B:$B,0)),""))</f>
        <v/>
      </c>
      <c r="V176" s="2" t="str">
        <f>IF($D176="","",IFERROR(INDEX(DB_Artwork_Sizes_Export!$F:$F,MATCH($D176,DB_Artwork_Sizes_Export!$B:$B,0)),""))</f>
        <v/>
      </c>
      <c r="W176" s="2" t="str">
        <f t="shared" si="22"/>
        <v/>
      </c>
      <c r="X176" s="2"/>
      <c r="Y176" s="2"/>
      <c r="Z176" s="2"/>
      <c r="AA176" s="2"/>
      <c r="AB176" s="2"/>
      <c r="AC176" s="2"/>
      <c r="AD176" s="2"/>
      <c r="AE176" s="2"/>
      <c r="AF176" s="2" t="str">
        <f t="shared" si="23"/>
        <v/>
      </c>
      <c r="AG176" s="2" t="str">
        <f t="shared" si="24"/>
        <v/>
      </c>
      <c r="AH176" s="2" t="str">
        <f>IF($AG176="","",IFERROR(VLOOKUP($AG176,DB_Categories_Export!$A:$B,2,FALSE()),"INVALID CATEGORY"))</f>
        <v/>
      </c>
      <c r="AI176" s="2" t="str">
        <f t="shared" si="25"/>
        <v/>
      </c>
      <c r="AJ176" s="2" t="str">
        <f t="shared" si="26"/>
        <v/>
      </c>
      <c r="AK176" s="2" t="str">
        <f t="shared" si="27"/>
        <v/>
      </c>
      <c r="AL176" s="2" t="str">
        <f t="shared" si="28"/>
        <v/>
      </c>
      <c r="AM176" s="2" t="str">
        <f t="shared" si="29"/>
        <v/>
      </c>
      <c r="AN176" s="2"/>
      <c r="AO176" s="2"/>
    </row>
    <row r="177" spans="1:41" ht="12" customHeight="1" x14ac:dyDescent="0.3">
      <c r="A177" s="2"/>
      <c r="B177" s="2" t="str">
        <f t="shared" si="20"/>
        <v/>
      </c>
      <c r="C177" s="2" t="str">
        <f t="shared" si="21"/>
        <v/>
      </c>
      <c r="D177" s="2" t="str">
        <f>IF(DB_Artworks_Export!A177="","",DB_Artworks_Export!A177)</f>
        <v/>
      </c>
      <c r="E177" s="2" t="str">
        <f>IF(DB_Artworks_Export!B177="","",DB_Artworks_Export!B177)</f>
        <v/>
      </c>
      <c r="F177" s="2" t="str">
        <f>IF(DB_Artworks_Export!C177="","",DB_Artworks_Export!C177)</f>
        <v/>
      </c>
      <c r="G177" s="2" t="str">
        <f>IF(DB_Artworks_Export!D177="","",DB_Artworks_Export!D177)</f>
        <v/>
      </c>
      <c r="H177" s="2" t="str">
        <f>IF(DB_Artworks_Export!E177="","",DB_Artworks_Export!E177)</f>
        <v/>
      </c>
      <c r="I177" s="2" t="str">
        <f>IF(DB_Artworks_Export!F177="","",DB_Artworks_Export!F177)</f>
        <v/>
      </c>
      <c r="J177" s="2" t="str">
        <f>IF(DB_Artworks_Export!G177="","",DB_Artworks_Export!G177)</f>
        <v/>
      </c>
      <c r="K177" s="2" t="str">
        <f>IF(DB_Artworks_Export!H177="","",DB_Artworks_Export!H177)</f>
        <v/>
      </c>
      <c r="L177" s="2" t="str">
        <f>IF(DB_Artworks_Export!I177="","",DB_Artworks_Export!I177)</f>
        <v/>
      </c>
      <c r="M177" s="2" t="str">
        <f>IF(DB_Artworks_Export!J177="","",DB_Artworks_Export!J177)</f>
        <v/>
      </c>
      <c r="N177" s="2" t="str">
        <f>IF(DB_Artworks_Export!K177="","",DB_Artworks_Export!K177)</f>
        <v/>
      </c>
      <c r="O177" s="2" t="str">
        <f>IF(DB_Artworks_Export!L177="","",DB_Artworks_Export!L177)</f>
        <v/>
      </c>
      <c r="P177" s="2" t="str">
        <f>IF(DB_Artworks_Export!M177="","",DB_Artworks_Export!M177)</f>
        <v/>
      </c>
      <c r="Q177" s="2" t="str">
        <f>IF(DB_Artworks_Export!N177="","",DB_Artworks_Export!N177)</f>
        <v/>
      </c>
      <c r="R177" s="2" t="str">
        <f>IF($D177="","",IF(COUNTIF(DB_Categories_Export!$A:$A,$F177)&gt;0,"OK","INVALID CATEGORY"))</f>
        <v/>
      </c>
      <c r="S177" s="2" t="str">
        <f>IF($D177="","",COUNTIF(DB_Artwork_Sizes_Export!$B:$B,$D177))</f>
        <v/>
      </c>
      <c r="T177" s="2" t="str">
        <f>IF($D177="","",IFERROR(INDEX(DB_Artwork_Sizes_Export!$D:$D,MATCH($D177,DB_Artwork_Sizes_Export!$B:$B,0)),""))</f>
        <v/>
      </c>
      <c r="U177" s="2" t="str">
        <f>IF($D177="","",IFERROR(INDEX(DB_Artwork_Sizes_Export!$E:$E,MATCH($D177,DB_Artwork_Sizes_Export!$B:$B,0)),""))</f>
        <v/>
      </c>
      <c r="V177" s="2" t="str">
        <f>IF($D177="","",IFERROR(INDEX(DB_Artwork_Sizes_Export!$F:$F,MATCH($D177,DB_Artwork_Sizes_Export!$B:$B,0)),""))</f>
        <v/>
      </c>
      <c r="W177" s="2" t="str">
        <f t="shared" si="22"/>
        <v/>
      </c>
      <c r="X177" s="2"/>
      <c r="Y177" s="2"/>
      <c r="Z177" s="2"/>
      <c r="AA177" s="2"/>
      <c r="AB177" s="2"/>
      <c r="AC177" s="2"/>
      <c r="AD177" s="2"/>
      <c r="AE177" s="2"/>
      <c r="AF177" s="2" t="str">
        <f t="shared" si="23"/>
        <v/>
      </c>
      <c r="AG177" s="2" t="str">
        <f t="shared" si="24"/>
        <v/>
      </c>
      <c r="AH177" s="2" t="str">
        <f>IF($AG177="","",IFERROR(VLOOKUP($AG177,DB_Categories_Export!$A:$B,2,FALSE()),"INVALID CATEGORY"))</f>
        <v/>
      </c>
      <c r="AI177" s="2" t="str">
        <f t="shared" si="25"/>
        <v/>
      </c>
      <c r="AJ177" s="2" t="str">
        <f t="shared" si="26"/>
        <v/>
      </c>
      <c r="AK177" s="2" t="str">
        <f t="shared" si="27"/>
        <v/>
      </c>
      <c r="AL177" s="2" t="str">
        <f t="shared" si="28"/>
        <v/>
      </c>
      <c r="AM177" s="2" t="str">
        <f t="shared" si="29"/>
        <v/>
      </c>
      <c r="AN177" s="2"/>
      <c r="AO177" s="2"/>
    </row>
    <row r="178" spans="1:41" ht="12" customHeight="1" x14ac:dyDescent="0.3">
      <c r="A178" s="2"/>
      <c r="B178" s="2" t="str">
        <f t="shared" si="20"/>
        <v/>
      </c>
      <c r="C178" s="2" t="str">
        <f t="shared" si="21"/>
        <v/>
      </c>
      <c r="D178" s="2" t="str">
        <f>IF(DB_Artworks_Export!A178="","",DB_Artworks_Export!A178)</f>
        <v/>
      </c>
      <c r="E178" s="2" t="str">
        <f>IF(DB_Artworks_Export!B178="","",DB_Artworks_Export!B178)</f>
        <v/>
      </c>
      <c r="F178" s="2" t="str">
        <f>IF(DB_Artworks_Export!C178="","",DB_Artworks_Export!C178)</f>
        <v/>
      </c>
      <c r="G178" s="2" t="str">
        <f>IF(DB_Artworks_Export!D178="","",DB_Artworks_Export!D178)</f>
        <v/>
      </c>
      <c r="H178" s="2" t="str">
        <f>IF(DB_Artworks_Export!E178="","",DB_Artworks_Export!E178)</f>
        <v/>
      </c>
      <c r="I178" s="2" t="str">
        <f>IF(DB_Artworks_Export!F178="","",DB_Artworks_Export!F178)</f>
        <v/>
      </c>
      <c r="J178" s="2" t="str">
        <f>IF(DB_Artworks_Export!G178="","",DB_Artworks_Export!G178)</f>
        <v/>
      </c>
      <c r="K178" s="2" t="str">
        <f>IF(DB_Artworks_Export!H178="","",DB_Artworks_Export!H178)</f>
        <v/>
      </c>
      <c r="L178" s="2" t="str">
        <f>IF(DB_Artworks_Export!I178="","",DB_Artworks_Export!I178)</f>
        <v/>
      </c>
      <c r="M178" s="2" t="str">
        <f>IF(DB_Artworks_Export!J178="","",DB_Artworks_Export!J178)</f>
        <v/>
      </c>
      <c r="N178" s="2" t="str">
        <f>IF(DB_Artworks_Export!K178="","",DB_Artworks_Export!K178)</f>
        <v/>
      </c>
      <c r="O178" s="2" t="str">
        <f>IF(DB_Artworks_Export!L178="","",DB_Artworks_Export!L178)</f>
        <v/>
      </c>
      <c r="P178" s="2" t="str">
        <f>IF(DB_Artworks_Export!M178="","",DB_Artworks_Export!M178)</f>
        <v/>
      </c>
      <c r="Q178" s="2" t="str">
        <f>IF(DB_Artworks_Export!N178="","",DB_Artworks_Export!N178)</f>
        <v/>
      </c>
      <c r="R178" s="2" t="str">
        <f>IF($D178="","",IF(COUNTIF(DB_Categories_Export!$A:$A,$F178)&gt;0,"OK","INVALID CATEGORY"))</f>
        <v/>
      </c>
      <c r="S178" s="2" t="str">
        <f>IF($D178="","",COUNTIF(DB_Artwork_Sizes_Export!$B:$B,$D178))</f>
        <v/>
      </c>
      <c r="T178" s="2" t="str">
        <f>IF($D178="","",IFERROR(INDEX(DB_Artwork_Sizes_Export!$D:$D,MATCH($D178,DB_Artwork_Sizes_Export!$B:$B,0)),""))</f>
        <v/>
      </c>
      <c r="U178" s="2" t="str">
        <f>IF($D178="","",IFERROR(INDEX(DB_Artwork_Sizes_Export!$E:$E,MATCH($D178,DB_Artwork_Sizes_Export!$B:$B,0)),""))</f>
        <v/>
      </c>
      <c r="V178" s="2" t="str">
        <f>IF($D178="","",IFERROR(INDEX(DB_Artwork_Sizes_Export!$F:$F,MATCH($D178,DB_Artwork_Sizes_Export!$B:$B,0)),""))</f>
        <v/>
      </c>
      <c r="W178" s="2" t="str">
        <f t="shared" si="22"/>
        <v/>
      </c>
      <c r="X178" s="2"/>
      <c r="Y178" s="2"/>
      <c r="Z178" s="2"/>
      <c r="AA178" s="2"/>
      <c r="AB178" s="2"/>
      <c r="AC178" s="2"/>
      <c r="AD178" s="2"/>
      <c r="AE178" s="2"/>
      <c r="AF178" s="2" t="str">
        <f t="shared" si="23"/>
        <v/>
      </c>
      <c r="AG178" s="2" t="str">
        <f t="shared" si="24"/>
        <v/>
      </c>
      <c r="AH178" s="2" t="str">
        <f>IF($AG178="","",IFERROR(VLOOKUP($AG178,DB_Categories_Export!$A:$B,2,FALSE()),"INVALID CATEGORY"))</f>
        <v/>
      </c>
      <c r="AI178" s="2" t="str">
        <f t="shared" si="25"/>
        <v/>
      </c>
      <c r="AJ178" s="2" t="str">
        <f t="shared" si="26"/>
        <v/>
      </c>
      <c r="AK178" s="2" t="str">
        <f t="shared" si="27"/>
        <v/>
      </c>
      <c r="AL178" s="2" t="str">
        <f t="shared" si="28"/>
        <v/>
      </c>
      <c r="AM178" s="2" t="str">
        <f t="shared" si="29"/>
        <v/>
      </c>
      <c r="AN178" s="2"/>
      <c r="AO178" s="2"/>
    </row>
    <row r="179" spans="1:41" ht="12" customHeight="1" x14ac:dyDescent="0.3">
      <c r="A179" s="2"/>
      <c r="B179" s="2" t="str">
        <f t="shared" si="20"/>
        <v/>
      </c>
      <c r="C179" s="2" t="str">
        <f t="shared" si="21"/>
        <v/>
      </c>
      <c r="D179" s="2" t="str">
        <f>IF(DB_Artworks_Export!A179="","",DB_Artworks_Export!A179)</f>
        <v/>
      </c>
      <c r="E179" s="2" t="str">
        <f>IF(DB_Artworks_Export!B179="","",DB_Artworks_Export!B179)</f>
        <v/>
      </c>
      <c r="F179" s="2" t="str">
        <f>IF(DB_Artworks_Export!C179="","",DB_Artworks_Export!C179)</f>
        <v/>
      </c>
      <c r="G179" s="2" t="str">
        <f>IF(DB_Artworks_Export!D179="","",DB_Artworks_Export!D179)</f>
        <v/>
      </c>
      <c r="H179" s="2" t="str">
        <f>IF(DB_Artworks_Export!E179="","",DB_Artworks_Export!E179)</f>
        <v/>
      </c>
      <c r="I179" s="2" t="str">
        <f>IF(DB_Artworks_Export!F179="","",DB_Artworks_Export!F179)</f>
        <v/>
      </c>
      <c r="J179" s="2" t="str">
        <f>IF(DB_Artworks_Export!G179="","",DB_Artworks_Export!G179)</f>
        <v/>
      </c>
      <c r="K179" s="2" t="str">
        <f>IF(DB_Artworks_Export!H179="","",DB_Artworks_Export!H179)</f>
        <v/>
      </c>
      <c r="L179" s="2" t="str">
        <f>IF(DB_Artworks_Export!I179="","",DB_Artworks_Export!I179)</f>
        <v/>
      </c>
      <c r="M179" s="2" t="str">
        <f>IF(DB_Artworks_Export!J179="","",DB_Artworks_Export!J179)</f>
        <v/>
      </c>
      <c r="N179" s="2" t="str">
        <f>IF(DB_Artworks_Export!K179="","",DB_Artworks_Export!K179)</f>
        <v/>
      </c>
      <c r="O179" s="2" t="str">
        <f>IF(DB_Artworks_Export!L179="","",DB_Artworks_Export!L179)</f>
        <v/>
      </c>
      <c r="P179" s="2" t="str">
        <f>IF(DB_Artworks_Export!M179="","",DB_Artworks_Export!M179)</f>
        <v/>
      </c>
      <c r="Q179" s="2" t="str">
        <f>IF(DB_Artworks_Export!N179="","",DB_Artworks_Export!N179)</f>
        <v/>
      </c>
      <c r="R179" s="2" t="str">
        <f>IF($D179="","",IF(COUNTIF(DB_Categories_Export!$A:$A,$F179)&gt;0,"OK","INVALID CATEGORY"))</f>
        <v/>
      </c>
      <c r="S179" s="2" t="str">
        <f>IF($D179="","",COUNTIF(DB_Artwork_Sizes_Export!$B:$B,$D179))</f>
        <v/>
      </c>
      <c r="T179" s="2" t="str">
        <f>IF($D179="","",IFERROR(INDEX(DB_Artwork_Sizes_Export!$D:$D,MATCH($D179,DB_Artwork_Sizes_Export!$B:$B,0)),""))</f>
        <v/>
      </c>
      <c r="U179" s="2" t="str">
        <f>IF($D179="","",IFERROR(INDEX(DB_Artwork_Sizes_Export!$E:$E,MATCH($D179,DB_Artwork_Sizes_Export!$B:$B,0)),""))</f>
        <v/>
      </c>
      <c r="V179" s="2" t="str">
        <f>IF($D179="","",IFERROR(INDEX(DB_Artwork_Sizes_Export!$F:$F,MATCH($D179,DB_Artwork_Sizes_Export!$B:$B,0)),""))</f>
        <v/>
      </c>
      <c r="W179" s="2" t="str">
        <f t="shared" si="22"/>
        <v/>
      </c>
      <c r="X179" s="2"/>
      <c r="Y179" s="2"/>
      <c r="Z179" s="2"/>
      <c r="AA179" s="2"/>
      <c r="AB179" s="2"/>
      <c r="AC179" s="2"/>
      <c r="AD179" s="2"/>
      <c r="AE179" s="2"/>
      <c r="AF179" s="2" t="str">
        <f t="shared" si="23"/>
        <v/>
      </c>
      <c r="AG179" s="2" t="str">
        <f t="shared" si="24"/>
        <v/>
      </c>
      <c r="AH179" s="2" t="str">
        <f>IF($AG179="","",IFERROR(VLOOKUP($AG179,DB_Categories_Export!$A:$B,2,FALSE()),"INVALID CATEGORY"))</f>
        <v/>
      </c>
      <c r="AI179" s="2" t="str">
        <f t="shared" si="25"/>
        <v/>
      </c>
      <c r="AJ179" s="2" t="str">
        <f t="shared" si="26"/>
        <v/>
      </c>
      <c r="AK179" s="2" t="str">
        <f t="shared" si="27"/>
        <v/>
      </c>
      <c r="AL179" s="2" t="str">
        <f t="shared" si="28"/>
        <v/>
      </c>
      <c r="AM179" s="2" t="str">
        <f t="shared" si="29"/>
        <v/>
      </c>
      <c r="AN179" s="2"/>
      <c r="AO179" s="2"/>
    </row>
    <row r="180" spans="1:41" ht="12" customHeight="1" x14ac:dyDescent="0.3">
      <c r="A180" s="2"/>
      <c r="B180" s="2" t="str">
        <f t="shared" si="20"/>
        <v/>
      </c>
      <c r="C180" s="2" t="str">
        <f t="shared" si="21"/>
        <v/>
      </c>
      <c r="D180" s="2" t="str">
        <f>IF(DB_Artworks_Export!A180="","",DB_Artworks_Export!A180)</f>
        <v/>
      </c>
      <c r="E180" s="2" t="str">
        <f>IF(DB_Artworks_Export!B180="","",DB_Artworks_Export!B180)</f>
        <v/>
      </c>
      <c r="F180" s="2" t="str">
        <f>IF(DB_Artworks_Export!C180="","",DB_Artworks_Export!C180)</f>
        <v/>
      </c>
      <c r="G180" s="2" t="str">
        <f>IF(DB_Artworks_Export!D180="","",DB_Artworks_Export!D180)</f>
        <v/>
      </c>
      <c r="H180" s="2" t="str">
        <f>IF(DB_Artworks_Export!E180="","",DB_Artworks_Export!E180)</f>
        <v/>
      </c>
      <c r="I180" s="2" t="str">
        <f>IF(DB_Artworks_Export!F180="","",DB_Artworks_Export!F180)</f>
        <v/>
      </c>
      <c r="J180" s="2" t="str">
        <f>IF(DB_Artworks_Export!G180="","",DB_Artworks_Export!G180)</f>
        <v/>
      </c>
      <c r="K180" s="2" t="str">
        <f>IF(DB_Artworks_Export!H180="","",DB_Artworks_Export!H180)</f>
        <v/>
      </c>
      <c r="L180" s="2" t="str">
        <f>IF(DB_Artworks_Export!I180="","",DB_Artworks_Export!I180)</f>
        <v/>
      </c>
      <c r="M180" s="2" t="str">
        <f>IF(DB_Artworks_Export!J180="","",DB_Artworks_Export!J180)</f>
        <v/>
      </c>
      <c r="N180" s="2" t="str">
        <f>IF(DB_Artworks_Export!K180="","",DB_Artworks_Export!K180)</f>
        <v/>
      </c>
      <c r="O180" s="2" t="str">
        <f>IF(DB_Artworks_Export!L180="","",DB_Artworks_Export!L180)</f>
        <v/>
      </c>
      <c r="P180" s="2" t="str">
        <f>IF(DB_Artworks_Export!M180="","",DB_Artworks_Export!M180)</f>
        <v/>
      </c>
      <c r="Q180" s="2" t="str">
        <f>IF(DB_Artworks_Export!N180="","",DB_Artworks_Export!N180)</f>
        <v/>
      </c>
      <c r="R180" s="2" t="str">
        <f>IF($D180="","",IF(COUNTIF(DB_Categories_Export!$A:$A,$F180)&gt;0,"OK","INVALID CATEGORY"))</f>
        <v/>
      </c>
      <c r="S180" s="2" t="str">
        <f>IF($D180="","",COUNTIF(DB_Artwork_Sizes_Export!$B:$B,$D180))</f>
        <v/>
      </c>
      <c r="T180" s="2" t="str">
        <f>IF($D180="","",IFERROR(INDEX(DB_Artwork_Sizes_Export!$D:$D,MATCH($D180,DB_Artwork_Sizes_Export!$B:$B,0)),""))</f>
        <v/>
      </c>
      <c r="U180" s="2" t="str">
        <f>IF($D180="","",IFERROR(INDEX(DB_Artwork_Sizes_Export!$E:$E,MATCH($D180,DB_Artwork_Sizes_Export!$B:$B,0)),""))</f>
        <v/>
      </c>
      <c r="V180" s="2" t="str">
        <f>IF($D180="","",IFERROR(INDEX(DB_Artwork_Sizes_Export!$F:$F,MATCH($D180,DB_Artwork_Sizes_Export!$B:$B,0)),""))</f>
        <v/>
      </c>
      <c r="W180" s="2" t="str">
        <f t="shared" si="22"/>
        <v/>
      </c>
      <c r="X180" s="2"/>
      <c r="Y180" s="2"/>
      <c r="Z180" s="2"/>
      <c r="AA180" s="2"/>
      <c r="AB180" s="2"/>
      <c r="AC180" s="2"/>
      <c r="AD180" s="2"/>
      <c r="AE180" s="2"/>
      <c r="AF180" s="2" t="str">
        <f t="shared" si="23"/>
        <v/>
      </c>
      <c r="AG180" s="2" t="str">
        <f t="shared" si="24"/>
        <v/>
      </c>
      <c r="AH180" s="2" t="str">
        <f>IF($AG180="","",IFERROR(VLOOKUP($AG180,DB_Categories_Export!$A:$B,2,FALSE()),"INVALID CATEGORY"))</f>
        <v/>
      </c>
      <c r="AI180" s="2" t="str">
        <f t="shared" si="25"/>
        <v/>
      </c>
      <c r="AJ180" s="2" t="str">
        <f t="shared" si="26"/>
        <v/>
      </c>
      <c r="AK180" s="2" t="str">
        <f t="shared" si="27"/>
        <v/>
      </c>
      <c r="AL180" s="2" t="str">
        <f t="shared" si="28"/>
        <v/>
      </c>
      <c r="AM180" s="2" t="str">
        <f t="shared" si="29"/>
        <v/>
      </c>
      <c r="AN180" s="2"/>
      <c r="AO180" s="2"/>
    </row>
    <row r="181" spans="1:41" ht="12" customHeight="1" x14ac:dyDescent="0.3">
      <c r="A181" s="2"/>
      <c r="B181" s="2" t="str">
        <f t="shared" si="20"/>
        <v/>
      </c>
      <c r="C181" s="2" t="str">
        <f t="shared" si="21"/>
        <v/>
      </c>
      <c r="D181" s="2" t="str">
        <f>IF(DB_Artworks_Export!A181="","",DB_Artworks_Export!A181)</f>
        <v/>
      </c>
      <c r="E181" s="2" t="str">
        <f>IF(DB_Artworks_Export!B181="","",DB_Artworks_Export!B181)</f>
        <v/>
      </c>
      <c r="F181" s="2" t="str">
        <f>IF(DB_Artworks_Export!C181="","",DB_Artworks_Export!C181)</f>
        <v/>
      </c>
      <c r="G181" s="2" t="str">
        <f>IF(DB_Artworks_Export!D181="","",DB_Artworks_Export!D181)</f>
        <v/>
      </c>
      <c r="H181" s="2" t="str">
        <f>IF(DB_Artworks_Export!E181="","",DB_Artworks_Export!E181)</f>
        <v/>
      </c>
      <c r="I181" s="2" t="str">
        <f>IF(DB_Artworks_Export!F181="","",DB_Artworks_Export!F181)</f>
        <v/>
      </c>
      <c r="J181" s="2" t="str">
        <f>IF(DB_Artworks_Export!G181="","",DB_Artworks_Export!G181)</f>
        <v/>
      </c>
      <c r="K181" s="2" t="str">
        <f>IF(DB_Artworks_Export!H181="","",DB_Artworks_Export!H181)</f>
        <v/>
      </c>
      <c r="L181" s="2" t="str">
        <f>IF(DB_Artworks_Export!I181="","",DB_Artworks_Export!I181)</f>
        <v/>
      </c>
      <c r="M181" s="2" t="str">
        <f>IF(DB_Artworks_Export!J181="","",DB_Artworks_Export!J181)</f>
        <v/>
      </c>
      <c r="N181" s="2" t="str">
        <f>IF(DB_Artworks_Export!K181="","",DB_Artworks_Export!K181)</f>
        <v/>
      </c>
      <c r="O181" s="2" t="str">
        <f>IF(DB_Artworks_Export!L181="","",DB_Artworks_Export!L181)</f>
        <v/>
      </c>
      <c r="P181" s="2" t="str">
        <f>IF(DB_Artworks_Export!M181="","",DB_Artworks_Export!M181)</f>
        <v/>
      </c>
      <c r="Q181" s="2" t="str">
        <f>IF(DB_Artworks_Export!N181="","",DB_Artworks_Export!N181)</f>
        <v/>
      </c>
      <c r="R181" s="2" t="str">
        <f>IF($D181="","",IF(COUNTIF(DB_Categories_Export!$A:$A,$F181)&gt;0,"OK","INVALID CATEGORY"))</f>
        <v/>
      </c>
      <c r="S181" s="2" t="str">
        <f>IF($D181="","",COUNTIF(DB_Artwork_Sizes_Export!$B:$B,$D181))</f>
        <v/>
      </c>
      <c r="T181" s="2" t="str">
        <f>IF($D181="","",IFERROR(INDEX(DB_Artwork_Sizes_Export!$D:$D,MATCH($D181,DB_Artwork_Sizes_Export!$B:$B,0)),""))</f>
        <v/>
      </c>
      <c r="U181" s="2" t="str">
        <f>IF($D181="","",IFERROR(INDEX(DB_Artwork_Sizes_Export!$E:$E,MATCH($D181,DB_Artwork_Sizes_Export!$B:$B,0)),""))</f>
        <v/>
      </c>
      <c r="V181" s="2" t="str">
        <f>IF($D181="","",IFERROR(INDEX(DB_Artwork_Sizes_Export!$F:$F,MATCH($D181,DB_Artwork_Sizes_Export!$B:$B,0)),""))</f>
        <v/>
      </c>
      <c r="W181" s="2" t="str">
        <f t="shared" si="22"/>
        <v/>
      </c>
      <c r="X181" s="2"/>
      <c r="Y181" s="2"/>
      <c r="Z181" s="2"/>
      <c r="AA181" s="2"/>
      <c r="AB181" s="2"/>
      <c r="AC181" s="2"/>
      <c r="AD181" s="2"/>
      <c r="AE181" s="2"/>
      <c r="AF181" s="2" t="str">
        <f t="shared" si="23"/>
        <v/>
      </c>
      <c r="AG181" s="2" t="str">
        <f t="shared" si="24"/>
        <v/>
      </c>
      <c r="AH181" s="2" t="str">
        <f>IF($AG181="","",IFERROR(VLOOKUP($AG181,DB_Categories_Export!$A:$B,2,FALSE()),"INVALID CATEGORY"))</f>
        <v/>
      </c>
      <c r="AI181" s="2" t="str">
        <f t="shared" si="25"/>
        <v/>
      </c>
      <c r="AJ181" s="2" t="str">
        <f t="shared" si="26"/>
        <v/>
      </c>
      <c r="AK181" s="2" t="str">
        <f t="shared" si="27"/>
        <v/>
      </c>
      <c r="AL181" s="2" t="str">
        <f t="shared" si="28"/>
        <v/>
      </c>
      <c r="AM181" s="2" t="str">
        <f t="shared" si="29"/>
        <v/>
      </c>
      <c r="AN181" s="2"/>
      <c r="AO181" s="2"/>
    </row>
    <row r="182" spans="1:41" ht="12" customHeight="1" x14ac:dyDescent="0.3">
      <c r="A182" s="2"/>
      <c r="B182" s="2" t="str">
        <f t="shared" si="20"/>
        <v/>
      </c>
      <c r="C182" s="2" t="str">
        <f t="shared" si="21"/>
        <v/>
      </c>
      <c r="D182" s="2" t="str">
        <f>IF(DB_Artworks_Export!A182="","",DB_Artworks_Export!A182)</f>
        <v/>
      </c>
      <c r="E182" s="2" t="str">
        <f>IF(DB_Artworks_Export!B182="","",DB_Artworks_Export!B182)</f>
        <v/>
      </c>
      <c r="F182" s="2" t="str">
        <f>IF(DB_Artworks_Export!C182="","",DB_Artworks_Export!C182)</f>
        <v/>
      </c>
      <c r="G182" s="2" t="str">
        <f>IF(DB_Artworks_Export!D182="","",DB_Artworks_Export!D182)</f>
        <v/>
      </c>
      <c r="H182" s="2" t="str">
        <f>IF(DB_Artworks_Export!E182="","",DB_Artworks_Export!E182)</f>
        <v/>
      </c>
      <c r="I182" s="2" t="str">
        <f>IF(DB_Artworks_Export!F182="","",DB_Artworks_Export!F182)</f>
        <v/>
      </c>
      <c r="J182" s="2" t="str">
        <f>IF(DB_Artworks_Export!G182="","",DB_Artworks_Export!G182)</f>
        <v/>
      </c>
      <c r="K182" s="2" t="str">
        <f>IF(DB_Artworks_Export!H182="","",DB_Artworks_Export!H182)</f>
        <v/>
      </c>
      <c r="L182" s="2" t="str">
        <f>IF(DB_Artworks_Export!I182="","",DB_Artworks_Export!I182)</f>
        <v/>
      </c>
      <c r="M182" s="2" t="str">
        <f>IF(DB_Artworks_Export!J182="","",DB_Artworks_Export!J182)</f>
        <v/>
      </c>
      <c r="N182" s="2" t="str">
        <f>IF(DB_Artworks_Export!K182="","",DB_Artworks_Export!K182)</f>
        <v/>
      </c>
      <c r="O182" s="2" t="str">
        <f>IF(DB_Artworks_Export!L182="","",DB_Artworks_Export!L182)</f>
        <v/>
      </c>
      <c r="P182" s="2" t="str">
        <f>IF(DB_Artworks_Export!M182="","",DB_Artworks_Export!M182)</f>
        <v/>
      </c>
      <c r="Q182" s="2" t="str">
        <f>IF(DB_Artworks_Export!N182="","",DB_Artworks_Export!N182)</f>
        <v/>
      </c>
      <c r="R182" s="2" t="str">
        <f>IF($D182="","",IF(COUNTIF(DB_Categories_Export!$A:$A,$F182)&gt;0,"OK","INVALID CATEGORY"))</f>
        <v/>
      </c>
      <c r="S182" s="2" t="str">
        <f>IF($D182="","",COUNTIF(DB_Artwork_Sizes_Export!$B:$B,$D182))</f>
        <v/>
      </c>
      <c r="T182" s="2" t="str">
        <f>IF($D182="","",IFERROR(INDEX(DB_Artwork_Sizes_Export!$D:$D,MATCH($D182,DB_Artwork_Sizes_Export!$B:$B,0)),""))</f>
        <v/>
      </c>
      <c r="U182" s="2" t="str">
        <f>IF($D182="","",IFERROR(INDEX(DB_Artwork_Sizes_Export!$E:$E,MATCH($D182,DB_Artwork_Sizes_Export!$B:$B,0)),""))</f>
        <v/>
      </c>
      <c r="V182" s="2" t="str">
        <f>IF($D182="","",IFERROR(INDEX(DB_Artwork_Sizes_Export!$F:$F,MATCH($D182,DB_Artwork_Sizes_Export!$B:$B,0)),""))</f>
        <v/>
      </c>
      <c r="W182" s="2" t="str">
        <f t="shared" si="22"/>
        <v/>
      </c>
      <c r="X182" s="2"/>
      <c r="Y182" s="2"/>
      <c r="Z182" s="2"/>
      <c r="AA182" s="2"/>
      <c r="AB182" s="2"/>
      <c r="AC182" s="2"/>
      <c r="AD182" s="2"/>
      <c r="AE182" s="2"/>
      <c r="AF182" s="2" t="str">
        <f t="shared" si="23"/>
        <v/>
      </c>
      <c r="AG182" s="2" t="str">
        <f t="shared" si="24"/>
        <v/>
      </c>
      <c r="AH182" s="2" t="str">
        <f>IF($AG182="","",IFERROR(VLOOKUP($AG182,DB_Categories_Export!$A:$B,2,FALSE()),"INVALID CATEGORY"))</f>
        <v/>
      </c>
      <c r="AI182" s="2" t="str">
        <f t="shared" si="25"/>
        <v/>
      </c>
      <c r="AJ182" s="2" t="str">
        <f t="shared" si="26"/>
        <v/>
      </c>
      <c r="AK182" s="2" t="str">
        <f t="shared" si="27"/>
        <v/>
      </c>
      <c r="AL182" s="2" t="str">
        <f t="shared" si="28"/>
        <v/>
      </c>
      <c r="AM182" s="2" t="str">
        <f t="shared" si="29"/>
        <v/>
      </c>
      <c r="AN182" s="2"/>
      <c r="AO182" s="2"/>
    </row>
    <row r="183" spans="1:41" ht="12" customHeight="1" x14ac:dyDescent="0.3">
      <c r="A183" s="2"/>
      <c r="B183" s="2" t="str">
        <f t="shared" si="20"/>
        <v/>
      </c>
      <c r="C183" s="2" t="str">
        <f t="shared" si="21"/>
        <v/>
      </c>
      <c r="D183" s="2" t="str">
        <f>IF(DB_Artworks_Export!A183="","",DB_Artworks_Export!A183)</f>
        <v/>
      </c>
      <c r="E183" s="2" t="str">
        <f>IF(DB_Artworks_Export!B183="","",DB_Artworks_Export!B183)</f>
        <v/>
      </c>
      <c r="F183" s="2" t="str">
        <f>IF(DB_Artworks_Export!C183="","",DB_Artworks_Export!C183)</f>
        <v/>
      </c>
      <c r="G183" s="2" t="str">
        <f>IF(DB_Artworks_Export!D183="","",DB_Artworks_Export!D183)</f>
        <v/>
      </c>
      <c r="H183" s="2" t="str">
        <f>IF(DB_Artworks_Export!E183="","",DB_Artworks_Export!E183)</f>
        <v/>
      </c>
      <c r="I183" s="2" t="str">
        <f>IF(DB_Artworks_Export!F183="","",DB_Artworks_Export!F183)</f>
        <v/>
      </c>
      <c r="J183" s="2" t="str">
        <f>IF(DB_Artworks_Export!G183="","",DB_Artworks_Export!G183)</f>
        <v/>
      </c>
      <c r="K183" s="2" t="str">
        <f>IF(DB_Artworks_Export!H183="","",DB_Artworks_Export!H183)</f>
        <v/>
      </c>
      <c r="L183" s="2" t="str">
        <f>IF(DB_Artworks_Export!I183="","",DB_Artworks_Export!I183)</f>
        <v/>
      </c>
      <c r="M183" s="2" t="str">
        <f>IF(DB_Artworks_Export!J183="","",DB_Artworks_Export!J183)</f>
        <v/>
      </c>
      <c r="N183" s="2" t="str">
        <f>IF(DB_Artworks_Export!K183="","",DB_Artworks_Export!K183)</f>
        <v/>
      </c>
      <c r="O183" s="2" t="str">
        <f>IF(DB_Artworks_Export!L183="","",DB_Artworks_Export!L183)</f>
        <v/>
      </c>
      <c r="P183" s="2" t="str">
        <f>IF(DB_Artworks_Export!M183="","",DB_Artworks_Export!M183)</f>
        <v/>
      </c>
      <c r="Q183" s="2" t="str">
        <f>IF(DB_Artworks_Export!N183="","",DB_Artworks_Export!N183)</f>
        <v/>
      </c>
      <c r="R183" s="2" t="str">
        <f>IF($D183="","",IF(COUNTIF(DB_Categories_Export!$A:$A,$F183)&gt;0,"OK","INVALID CATEGORY"))</f>
        <v/>
      </c>
      <c r="S183" s="2" t="str">
        <f>IF($D183="","",COUNTIF(DB_Artwork_Sizes_Export!$B:$B,$D183))</f>
        <v/>
      </c>
      <c r="T183" s="2" t="str">
        <f>IF($D183="","",IFERROR(INDEX(DB_Artwork_Sizes_Export!$D:$D,MATCH($D183,DB_Artwork_Sizes_Export!$B:$B,0)),""))</f>
        <v/>
      </c>
      <c r="U183" s="2" t="str">
        <f>IF($D183="","",IFERROR(INDEX(DB_Artwork_Sizes_Export!$E:$E,MATCH($D183,DB_Artwork_Sizes_Export!$B:$B,0)),""))</f>
        <v/>
      </c>
      <c r="V183" s="2" t="str">
        <f>IF($D183="","",IFERROR(INDEX(DB_Artwork_Sizes_Export!$F:$F,MATCH($D183,DB_Artwork_Sizes_Export!$B:$B,0)),""))</f>
        <v/>
      </c>
      <c r="W183" s="2" t="str">
        <f t="shared" si="22"/>
        <v/>
      </c>
      <c r="X183" s="2"/>
      <c r="Y183" s="2"/>
      <c r="Z183" s="2"/>
      <c r="AA183" s="2"/>
      <c r="AB183" s="2"/>
      <c r="AC183" s="2"/>
      <c r="AD183" s="2"/>
      <c r="AE183" s="2"/>
      <c r="AF183" s="2" t="str">
        <f t="shared" si="23"/>
        <v/>
      </c>
      <c r="AG183" s="2" t="str">
        <f t="shared" si="24"/>
        <v/>
      </c>
      <c r="AH183" s="2" t="str">
        <f>IF($AG183="","",IFERROR(VLOOKUP($AG183,DB_Categories_Export!$A:$B,2,FALSE()),"INVALID CATEGORY"))</f>
        <v/>
      </c>
      <c r="AI183" s="2" t="str">
        <f t="shared" si="25"/>
        <v/>
      </c>
      <c r="AJ183" s="2" t="str">
        <f t="shared" si="26"/>
        <v/>
      </c>
      <c r="AK183" s="2" t="str">
        <f t="shared" si="27"/>
        <v/>
      </c>
      <c r="AL183" s="2" t="str">
        <f t="shared" si="28"/>
        <v/>
      </c>
      <c r="AM183" s="2" t="str">
        <f t="shared" si="29"/>
        <v/>
      </c>
      <c r="AN183" s="2"/>
      <c r="AO183" s="2"/>
    </row>
    <row r="184" spans="1:41" ht="12" customHeight="1" x14ac:dyDescent="0.3">
      <c r="A184" s="2"/>
      <c r="B184" s="2" t="str">
        <f t="shared" si="20"/>
        <v/>
      </c>
      <c r="C184" s="2" t="str">
        <f t="shared" si="21"/>
        <v/>
      </c>
      <c r="D184" s="2" t="str">
        <f>IF(DB_Artworks_Export!A184="","",DB_Artworks_Export!A184)</f>
        <v/>
      </c>
      <c r="E184" s="2" t="str">
        <f>IF(DB_Artworks_Export!B184="","",DB_Artworks_Export!B184)</f>
        <v/>
      </c>
      <c r="F184" s="2" t="str">
        <f>IF(DB_Artworks_Export!C184="","",DB_Artworks_Export!C184)</f>
        <v/>
      </c>
      <c r="G184" s="2" t="str">
        <f>IF(DB_Artworks_Export!D184="","",DB_Artworks_Export!D184)</f>
        <v/>
      </c>
      <c r="H184" s="2" t="str">
        <f>IF(DB_Artworks_Export!E184="","",DB_Artworks_Export!E184)</f>
        <v/>
      </c>
      <c r="I184" s="2" t="str">
        <f>IF(DB_Artworks_Export!F184="","",DB_Artworks_Export!F184)</f>
        <v/>
      </c>
      <c r="J184" s="2" t="str">
        <f>IF(DB_Artworks_Export!G184="","",DB_Artworks_Export!G184)</f>
        <v/>
      </c>
      <c r="K184" s="2" t="str">
        <f>IF(DB_Artworks_Export!H184="","",DB_Artworks_Export!H184)</f>
        <v/>
      </c>
      <c r="L184" s="2" t="str">
        <f>IF(DB_Artworks_Export!I184="","",DB_Artworks_Export!I184)</f>
        <v/>
      </c>
      <c r="M184" s="2" t="str">
        <f>IF(DB_Artworks_Export!J184="","",DB_Artworks_Export!J184)</f>
        <v/>
      </c>
      <c r="N184" s="2" t="str">
        <f>IF(DB_Artworks_Export!K184="","",DB_Artworks_Export!K184)</f>
        <v/>
      </c>
      <c r="O184" s="2" t="str">
        <f>IF(DB_Artworks_Export!L184="","",DB_Artworks_Export!L184)</f>
        <v/>
      </c>
      <c r="P184" s="2" t="str">
        <f>IF(DB_Artworks_Export!M184="","",DB_Artworks_Export!M184)</f>
        <v/>
      </c>
      <c r="Q184" s="2" t="str">
        <f>IF(DB_Artworks_Export!N184="","",DB_Artworks_Export!N184)</f>
        <v/>
      </c>
      <c r="R184" s="2" t="str">
        <f>IF($D184="","",IF(COUNTIF(DB_Categories_Export!$A:$A,$F184)&gt;0,"OK","INVALID CATEGORY"))</f>
        <v/>
      </c>
      <c r="S184" s="2" t="str">
        <f>IF($D184="","",COUNTIF(DB_Artwork_Sizes_Export!$B:$B,$D184))</f>
        <v/>
      </c>
      <c r="T184" s="2" t="str">
        <f>IF($D184="","",IFERROR(INDEX(DB_Artwork_Sizes_Export!$D:$D,MATCH($D184,DB_Artwork_Sizes_Export!$B:$B,0)),""))</f>
        <v/>
      </c>
      <c r="U184" s="2" t="str">
        <f>IF($D184="","",IFERROR(INDEX(DB_Artwork_Sizes_Export!$E:$E,MATCH($D184,DB_Artwork_Sizes_Export!$B:$B,0)),""))</f>
        <v/>
      </c>
      <c r="V184" s="2" t="str">
        <f>IF($D184="","",IFERROR(INDEX(DB_Artwork_Sizes_Export!$F:$F,MATCH($D184,DB_Artwork_Sizes_Export!$B:$B,0)),""))</f>
        <v/>
      </c>
      <c r="W184" s="2" t="str">
        <f t="shared" si="22"/>
        <v/>
      </c>
      <c r="X184" s="2"/>
      <c r="Y184" s="2"/>
      <c r="Z184" s="2"/>
      <c r="AA184" s="2"/>
      <c r="AB184" s="2"/>
      <c r="AC184" s="2"/>
      <c r="AD184" s="2"/>
      <c r="AE184" s="2"/>
      <c r="AF184" s="2" t="str">
        <f t="shared" si="23"/>
        <v/>
      </c>
      <c r="AG184" s="2" t="str">
        <f t="shared" si="24"/>
        <v/>
      </c>
      <c r="AH184" s="2" t="str">
        <f>IF($AG184="","",IFERROR(VLOOKUP($AG184,DB_Categories_Export!$A:$B,2,FALSE()),"INVALID CATEGORY"))</f>
        <v/>
      </c>
      <c r="AI184" s="2" t="str">
        <f t="shared" si="25"/>
        <v/>
      </c>
      <c r="AJ184" s="2" t="str">
        <f t="shared" si="26"/>
        <v/>
      </c>
      <c r="AK184" s="2" t="str">
        <f t="shared" si="27"/>
        <v/>
      </c>
      <c r="AL184" s="2" t="str">
        <f t="shared" si="28"/>
        <v/>
      </c>
      <c r="AM184" s="2" t="str">
        <f t="shared" si="29"/>
        <v/>
      </c>
      <c r="AN184" s="2"/>
      <c r="AO184" s="2"/>
    </row>
    <row r="185" spans="1:41" ht="12" customHeight="1" x14ac:dyDescent="0.3">
      <c r="A185" s="2"/>
      <c r="B185" s="2" t="str">
        <f t="shared" si="20"/>
        <v/>
      </c>
      <c r="C185" s="2" t="str">
        <f t="shared" si="21"/>
        <v/>
      </c>
      <c r="D185" s="2" t="str">
        <f>IF(DB_Artworks_Export!A185="","",DB_Artworks_Export!A185)</f>
        <v/>
      </c>
      <c r="E185" s="2" t="str">
        <f>IF(DB_Artworks_Export!B185="","",DB_Artworks_Export!B185)</f>
        <v/>
      </c>
      <c r="F185" s="2" t="str">
        <f>IF(DB_Artworks_Export!C185="","",DB_Artworks_Export!C185)</f>
        <v/>
      </c>
      <c r="G185" s="2" t="str">
        <f>IF(DB_Artworks_Export!D185="","",DB_Artworks_Export!D185)</f>
        <v/>
      </c>
      <c r="H185" s="2" t="str">
        <f>IF(DB_Artworks_Export!E185="","",DB_Artworks_Export!E185)</f>
        <v/>
      </c>
      <c r="I185" s="2" t="str">
        <f>IF(DB_Artworks_Export!F185="","",DB_Artworks_Export!F185)</f>
        <v/>
      </c>
      <c r="J185" s="2" t="str">
        <f>IF(DB_Artworks_Export!G185="","",DB_Artworks_Export!G185)</f>
        <v/>
      </c>
      <c r="K185" s="2" t="str">
        <f>IF(DB_Artworks_Export!H185="","",DB_Artworks_Export!H185)</f>
        <v/>
      </c>
      <c r="L185" s="2" t="str">
        <f>IF(DB_Artworks_Export!I185="","",DB_Artworks_Export!I185)</f>
        <v/>
      </c>
      <c r="M185" s="2" t="str">
        <f>IF(DB_Artworks_Export!J185="","",DB_Artworks_Export!J185)</f>
        <v/>
      </c>
      <c r="N185" s="2" t="str">
        <f>IF(DB_Artworks_Export!K185="","",DB_Artworks_Export!K185)</f>
        <v/>
      </c>
      <c r="O185" s="2" t="str">
        <f>IF(DB_Artworks_Export!L185="","",DB_Artworks_Export!L185)</f>
        <v/>
      </c>
      <c r="P185" s="2" t="str">
        <f>IF(DB_Artworks_Export!M185="","",DB_Artworks_Export!M185)</f>
        <v/>
      </c>
      <c r="Q185" s="2" t="str">
        <f>IF(DB_Artworks_Export!N185="","",DB_Artworks_Export!N185)</f>
        <v/>
      </c>
      <c r="R185" s="2" t="str">
        <f>IF($D185="","",IF(COUNTIF(DB_Categories_Export!$A:$A,$F185)&gt;0,"OK","INVALID CATEGORY"))</f>
        <v/>
      </c>
      <c r="S185" s="2" t="str">
        <f>IF($D185="","",COUNTIF(DB_Artwork_Sizes_Export!$B:$B,$D185))</f>
        <v/>
      </c>
      <c r="T185" s="2" t="str">
        <f>IF($D185="","",IFERROR(INDEX(DB_Artwork_Sizes_Export!$D:$D,MATCH($D185,DB_Artwork_Sizes_Export!$B:$B,0)),""))</f>
        <v/>
      </c>
      <c r="U185" s="2" t="str">
        <f>IF($D185="","",IFERROR(INDEX(DB_Artwork_Sizes_Export!$E:$E,MATCH($D185,DB_Artwork_Sizes_Export!$B:$B,0)),""))</f>
        <v/>
      </c>
      <c r="V185" s="2" t="str">
        <f>IF($D185="","",IFERROR(INDEX(DB_Artwork_Sizes_Export!$F:$F,MATCH($D185,DB_Artwork_Sizes_Export!$B:$B,0)),""))</f>
        <v/>
      </c>
      <c r="W185" s="2" t="str">
        <f t="shared" si="22"/>
        <v/>
      </c>
      <c r="X185" s="2"/>
      <c r="Y185" s="2"/>
      <c r="Z185" s="2"/>
      <c r="AA185" s="2"/>
      <c r="AB185" s="2"/>
      <c r="AC185" s="2"/>
      <c r="AD185" s="2"/>
      <c r="AE185" s="2"/>
      <c r="AF185" s="2" t="str">
        <f t="shared" si="23"/>
        <v/>
      </c>
      <c r="AG185" s="2" t="str">
        <f t="shared" si="24"/>
        <v/>
      </c>
      <c r="AH185" s="2" t="str">
        <f>IF($AG185="","",IFERROR(VLOOKUP($AG185,DB_Categories_Export!$A:$B,2,FALSE()),"INVALID CATEGORY"))</f>
        <v/>
      </c>
      <c r="AI185" s="2" t="str">
        <f t="shared" si="25"/>
        <v/>
      </c>
      <c r="AJ185" s="2" t="str">
        <f t="shared" si="26"/>
        <v/>
      </c>
      <c r="AK185" s="2" t="str">
        <f t="shared" si="27"/>
        <v/>
      </c>
      <c r="AL185" s="2" t="str">
        <f t="shared" si="28"/>
        <v/>
      </c>
      <c r="AM185" s="2" t="str">
        <f t="shared" si="29"/>
        <v/>
      </c>
      <c r="AN185" s="2"/>
      <c r="AO185" s="2"/>
    </row>
    <row r="186" spans="1:41" ht="12" customHeight="1" x14ac:dyDescent="0.3">
      <c r="A186" s="2"/>
      <c r="B186" s="2" t="str">
        <f t="shared" si="20"/>
        <v/>
      </c>
      <c r="C186" s="2" t="str">
        <f t="shared" si="21"/>
        <v/>
      </c>
      <c r="D186" s="2" t="str">
        <f>IF(DB_Artworks_Export!A186="","",DB_Artworks_Export!A186)</f>
        <v/>
      </c>
      <c r="E186" s="2" t="str">
        <f>IF(DB_Artworks_Export!B186="","",DB_Artworks_Export!B186)</f>
        <v/>
      </c>
      <c r="F186" s="2" t="str">
        <f>IF(DB_Artworks_Export!C186="","",DB_Artworks_Export!C186)</f>
        <v/>
      </c>
      <c r="G186" s="2" t="str">
        <f>IF(DB_Artworks_Export!D186="","",DB_Artworks_Export!D186)</f>
        <v/>
      </c>
      <c r="H186" s="2" t="str">
        <f>IF(DB_Artworks_Export!E186="","",DB_Artworks_Export!E186)</f>
        <v/>
      </c>
      <c r="I186" s="2" t="str">
        <f>IF(DB_Artworks_Export!F186="","",DB_Artworks_Export!F186)</f>
        <v/>
      </c>
      <c r="J186" s="2" t="str">
        <f>IF(DB_Artworks_Export!G186="","",DB_Artworks_Export!G186)</f>
        <v/>
      </c>
      <c r="K186" s="2" t="str">
        <f>IF(DB_Artworks_Export!H186="","",DB_Artworks_Export!H186)</f>
        <v/>
      </c>
      <c r="L186" s="2" t="str">
        <f>IF(DB_Artworks_Export!I186="","",DB_Artworks_Export!I186)</f>
        <v/>
      </c>
      <c r="M186" s="2" t="str">
        <f>IF(DB_Artworks_Export!J186="","",DB_Artworks_Export!J186)</f>
        <v/>
      </c>
      <c r="N186" s="2" t="str">
        <f>IF(DB_Artworks_Export!K186="","",DB_Artworks_Export!K186)</f>
        <v/>
      </c>
      <c r="O186" s="2" t="str">
        <f>IF(DB_Artworks_Export!L186="","",DB_Artworks_Export!L186)</f>
        <v/>
      </c>
      <c r="P186" s="2" t="str">
        <f>IF(DB_Artworks_Export!M186="","",DB_Artworks_Export!M186)</f>
        <v/>
      </c>
      <c r="Q186" s="2" t="str">
        <f>IF(DB_Artworks_Export!N186="","",DB_Artworks_Export!N186)</f>
        <v/>
      </c>
      <c r="R186" s="2" t="str">
        <f>IF($D186="","",IF(COUNTIF(DB_Categories_Export!$A:$A,$F186)&gt;0,"OK","INVALID CATEGORY"))</f>
        <v/>
      </c>
      <c r="S186" s="2" t="str">
        <f>IF($D186="","",COUNTIF(DB_Artwork_Sizes_Export!$B:$B,$D186))</f>
        <v/>
      </c>
      <c r="T186" s="2" t="str">
        <f>IF($D186="","",IFERROR(INDEX(DB_Artwork_Sizes_Export!$D:$D,MATCH($D186,DB_Artwork_Sizes_Export!$B:$B,0)),""))</f>
        <v/>
      </c>
      <c r="U186" s="2" t="str">
        <f>IF($D186="","",IFERROR(INDEX(DB_Artwork_Sizes_Export!$E:$E,MATCH($D186,DB_Artwork_Sizes_Export!$B:$B,0)),""))</f>
        <v/>
      </c>
      <c r="V186" s="2" t="str">
        <f>IF($D186="","",IFERROR(INDEX(DB_Artwork_Sizes_Export!$F:$F,MATCH($D186,DB_Artwork_Sizes_Export!$B:$B,0)),""))</f>
        <v/>
      </c>
      <c r="W186" s="2" t="str">
        <f t="shared" si="22"/>
        <v/>
      </c>
      <c r="X186" s="2"/>
      <c r="Y186" s="2"/>
      <c r="Z186" s="2"/>
      <c r="AA186" s="2"/>
      <c r="AB186" s="2"/>
      <c r="AC186" s="2"/>
      <c r="AD186" s="2"/>
      <c r="AE186" s="2"/>
      <c r="AF186" s="2" t="str">
        <f t="shared" si="23"/>
        <v/>
      </c>
      <c r="AG186" s="2" t="str">
        <f t="shared" si="24"/>
        <v/>
      </c>
      <c r="AH186" s="2" t="str">
        <f>IF($AG186="","",IFERROR(VLOOKUP($AG186,DB_Categories_Export!$A:$B,2,FALSE()),"INVALID CATEGORY"))</f>
        <v/>
      </c>
      <c r="AI186" s="2" t="str">
        <f t="shared" si="25"/>
        <v/>
      </c>
      <c r="AJ186" s="2" t="str">
        <f t="shared" si="26"/>
        <v/>
      </c>
      <c r="AK186" s="2" t="str">
        <f t="shared" si="27"/>
        <v/>
      </c>
      <c r="AL186" s="2" t="str">
        <f t="shared" si="28"/>
        <v/>
      </c>
      <c r="AM186" s="2" t="str">
        <f t="shared" si="29"/>
        <v/>
      </c>
      <c r="AN186" s="2"/>
      <c r="AO186" s="2"/>
    </row>
    <row r="187" spans="1:41" ht="12" customHeight="1" x14ac:dyDescent="0.3">
      <c r="A187" s="2"/>
      <c r="B187" s="2" t="str">
        <f t="shared" si="20"/>
        <v/>
      </c>
      <c r="C187" s="2" t="str">
        <f t="shared" si="21"/>
        <v/>
      </c>
      <c r="D187" s="2" t="str">
        <f>IF(DB_Artworks_Export!A187="","",DB_Artworks_Export!A187)</f>
        <v/>
      </c>
      <c r="E187" s="2" t="str">
        <f>IF(DB_Artworks_Export!B187="","",DB_Artworks_Export!B187)</f>
        <v/>
      </c>
      <c r="F187" s="2" t="str">
        <f>IF(DB_Artworks_Export!C187="","",DB_Artworks_Export!C187)</f>
        <v/>
      </c>
      <c r="G187" s="2" t="str">
        <f>IF(DB_Artworks_Export!D187="","",DB_Artworks_Export!D187)</f>
        <v/>
      </c>
      <c r="H187" s="2" t="str">
        <f>IF(DB_Artworks_Export!E187="","",DB_Artworks_Export!E187)</f>
        <v/>
      </c>
      <c r="I187" s="2" t="str">
        <f>IF(DB_Artworks_Export!F187="","",DB_Artworks_Export!F187)</f>
        <v/>
      </c>
      <c r="J187" s="2" t="str">
        <f>IF(DB_Artworks_Export!G187="","",DB_Artworks_Export!G187)</f>
        <v/>
      </c>
      <c r="K187" s="2" t="str">
        <f>IF(DB_Artworks_Export!H187="","",DB_Artworks_Export!H187)</f>
        <v/>
      </c>
      <c r="L187" s="2" t="str">
        <f>IF(DB_Artworks_Export!I187="","",DB_Artworks_Export!I187)</f>
        <v/>
      </c>
      <c r="M187" s="2" t="str">
        <f>IF(DB_Artworks_Export!J187="","",DB_Artworks_Export!J187)</f>
        <v/>
      </c>
      <c r="N187" s="2" t="str">
        <f>IF(DB_Artworks_Export!K187="","",DB_Artworks_Export!K187)</f>
        <v/>
      </c>
      <c r="O187" s="2" t="str">
        <f>IF(DB_Artworks_Export!L187="","",DB_Artworks_Export!L187)</f>
        <v/>
      </c>
      <c r="P187" s="2" t="str">
        <f>IF(DB_Artworks_Export!M187="","",DB_Artworks_Export!M187)</f>
        <v/>
      </c>
      <c r="Q187" s="2" t="str">
        <f>IF(DB_Artworks_Export!N187="","",DB_Artworks_Export!N187)</f>
        <v/>
      </c>
      <c r="R187" s="2" t="str">
        <f>IF($D187="","",IF(COUNTIF(DB_Categories_Export!$A:$A,$F187)&gt;0,"OK","INVALID CATEGORY"))</f>
        <v/>
      </c>
      <c r="S187" s="2" t="str">
        <f>IF($D187="","",COUNTIF(DB_Artwork_Sizes_Export!$B:$B,$D187))</f>
        <v/>
      </c>
      <c r="T187" s="2" t="str">
        <f>IF($D187="","",IFERROR(INDEX(DB_Artwork_Sizes_Export!$D:$D,MATCH($D187,DB_Artwork_Sizes_Export!$B:$B,0)),""))</f>
        <v/>
      </c>
      <c r="U187" s="2" t="str">
        <f>IF($D187="","",IFERROR(INDEX(DB_Artwork_Sizes_Export!$E:$E,MATCH($D187,DB_Artwork_Sizes_Export!$B:$B,0)),""))</f>
        <v/>
      </c>
      <c r="V187" s="2" t="str">
        <f>IF($D187="","",IFERROR(INDEX(DB_Artwork_Sizes_Export!$F:$F,MATCH($D187,DB_Artwork_Sizes_Export!$B:$B,0)),""))</f>
        <v/>
      </c>
      <c r="W187" s="2" t="str">
        <f t="shared" si="22"/>
        <v/>
      </c>
      <c r="X187" s="2"/>
      <c r="Y187" s="2"/>
      <c r="Z187" s="2"/>
      <c r="AA187" s="2"/>
      <c r="AB187" s="2"/>
      <c r="AC187" s="2"/>
      <c r="AD187" s="2"/>
      <c r="AE187" s="2"/>
      <c r="AF187" s="2" t="str">
        <f t="shared" si="23"/>
        <v/>
      </c>
      <c r="AG187" s="2" t="str">
        <f t="shared" si="24"/>
        <v/>
      </c>
      <c r="AH187" s="2" t="str">
        <f>IF($AG187="","",IFERROR(VLOOKUP($AG187,DB_Categories_Export!$A:$B,2,FALSE()),"INVALID CATEGORY"))</f>
        <v/>
      </c>
      <c r="AI187" s="2" t="str">
        <f t="shared" si="25"/>
        <v/>
      </c>
      <c r="AJ187" s="2" t="str">
        <f t="shared" si="26"/>
        <v/>
      </c>
      <c r="AK187" s="2" t="str">
        <f t="shared" si="27"/>
        <v/>
      </c>
      <c r="AL187" s="2" t="str">
        <f t="shared" si="28"/>
        <v/>
      </c>
      <c r="AM187" s="2" t="str">
        <f t="shared" si="29"/>
        <v/>
      </c>
      <c r="AN187" s="2"/>
      <c r="AO187" s="2"/>
    </row>
    <row r="188" spans="1:41" ht="12" customHeight="1" x14ac:dyDescent="0.3">
      <c r="A188" s="2"/>
      <c r="B188" s="2" t="str">
        <f t="shared" si="20"/>
        <v/>
      </c>
      <c r="C188" s="2" t="str">
        <f t="shared" si="21"/>
        <v/>
      </c>
      <c r="D188" s="2" t="str">
        <f>IF(DB_Artworks_Export!A188="","",DB_Artworks_Export!A188)</f>
        <v/>
      </c>
      <c r="E188" s="2" t="str">
        <f>IF(DB_Artworks_Export!B188="","",DB_Artworks_Export!B188)</f>
        <v/>
      </c>
      <c r="F188" s="2" t="str">
        <f>IF(DB_Artworks_Export!C188="","",DB_Artworks_Export!C188)</f>
        <v/>
      </c>
      <c r="G188" s="2" t="str">
        <f>IF(DB_Artworks_Export!D188="","",DB_Artworks_Export!D188)</f>
        <v/>
      </c>
      <c r="H188" s="2" t="str">
        <f>IF(DB_Artworks_Export!E188="","",DB_Artworks_Export!E188)</f>
        <v/>
      </c>
      <c r="I188" s="2" t="str">
        <f>IF(DB_Artworks_Export!F188="","",DB_Artworks_Export!F188)</f>
        <v/>
      </c>
      <c r="J188" s="2" t="str">
        <f>IF(DB_Artworks_Export!G188="","",DB_Artworks_Export!G188)</f>
        <v/>
      </c>
      <c r="K188" s="2" t="str">
        <f>IF(DB_Artworks_Export!H188="","",DB_Artworks_Export!H188)</f>
        <v/>
      </c>
      <c r="L188" s="2" t="str">
        <f>IF(DB_Artworks_Export!I188="","",DB_Artworks_Export!I188)</f>
        <v/>
      </c>
      <c r="M188" s="2" t="str">
        <f>IF(DB_Artworks_Export!J188="","",DB_Artworks_Export!J188)</f>
        <v/>
      </c>
      <c r="N188" s="2" t="str">
        <f>IF(DB_Artworks_Export!K188="","",DB_Artworks_Export!K188)</f>
        <v/>
      </c>
      <c r="O188" s="2" t="str">
        <f>IF(DB_Artworks_Export!L188="","",DB_Artworks_Export!L188)</f>
        <v/>
      </c>
      <c r="P188" s="2" t="str">
        <f>IF(DB_Artworks_Export!M188="","",DB_Artworks_Export!M188)</f>
        <v/>
      </c>
      <c r="Q188" s="2" t="str">
        <f>IF(DB_Artworks_Export!N188="","",DB_Artworks_Export!N188)</f>
        <v/>
      </c>
      <c r="R188" s="2" t="str">
        <f>IF($D188="","",IF(COUNTIF(DB_Categories_Export!$A:$A,$F188)&gt;0,"OK","INVALID CATEGORY"))</f>
        <v/>
      </c>
      <c r="S188" s="2" t="str">
        <f>IF($D188="","",COUNTIF(DB_Artwork_Sizes_Export!$B:$B,$D188))</f>
        <v/>
      </c>
      <c r="T188" s="2" t="str">
        <f>IF($D188="","",IFERROR(INDEX(DB_Artwork_Sizes_Export!$D:$D,MATCH($D188,DB_Artwork_Sizes_Export!$B:$B,0)),""))</f>
        <v/>
      </c>
      <c r="U188" s="2" t="str">
        <f>IF($D188="","",IFERROR(INDEX(DB_Artwork_Sizes_Export!$E:$E,MATCH($D188,DB_Artwork_Sizes_Export!$B:$B,0)),""))</f>
        <v/>
      </c>
      <c r="V188" s="2" t="str">
        <f>IF($D188="","",IFERROR(INDEX(DB_Artwork_Sizes_Export!$F:$F,MATCH($D188,DB_Artwork_Sizes_Export!$B:$B,0)),""))</f>
        <v/>
      </c>
      <c r="W188" s="2" t="str">
        <f t="shared" si="22"/>
        <v/>
      </c>
      <c r="X188" s="2"/>
      <c r="Y188" s="2"/>
      <c r="Z188" s="2"/>
      <c r="AA188" s="2"/>
      <c r="AB188" s="2"/>
      <c r="AC188" s="2"/>
      <c r="AD188" s="2"/>
      <c r="AE188" s="2"/>
      <c r="AF188" s="2" t="str">
        <f t="shared" si="23"/>
        <v/>
      </c>
      <c r="AG188" s="2" t="str">
        <f t="shared" si="24"/>
        <v/>
      </c>
      <c r="AH188" s="2" t="str">
        <f>IF($AG188="","",IFERROR(VLOOKUP($AG188,DB_Categories_Export!$A:$B,2,FALSE()),"INVALID CATEGORY"))</f>
        <v/>
      </c>
      <c r="AI188" s="2" t="str">
        <f t="shared" si="25"/>
        <v/>
      </c>
      <c r="AJ188" s="2" t="str">
        <f t="shared" si="26"/>
        <v/>
      </c>
      <c r="AK188" s="2" t="str">
        <f t="shared" si="27"/>
        <v/>
      </c>
      <c r="AL188" s="2" t="str">
        <f t="shared" si="28"/>
        <v/>
      </c>
      <c r="AM188" s="2" t="str">
        <f t="shared" si="29"/>
        <v/>
      </c>
      <c r="AN188" s="2"/>
      <c r="AO188" s="2"/>
    </row>
    <row r="189" spans="1:41" ht="12" customHeight="1" x14ac:dyDescent="0.3">
      <c r="A189" s="2"/>
      <c r="B189" s="2" t="str">
        <f t="shared" si="20"/>
        <v/>
      </c>
      <c r="C189" s="2" t="str">
        <f t="shared" si="21"/>
        <v/>
      </c>
      <c r="D189" s="2" t="str">
        <f>IF(DB_Artworks_Export!A189="","",DB_Artworks_Export!A189)</f>
        <v/>
      </c>
      <c r="E189" s="2" t="str">
        <f>IF(DB_Artworks_Export!B189="","",DB_Artworks_Export!B189)</f>
        <v/>
      </c>
      <c r="F189" s="2" t="str">
        <f>IF(DB_Artworks_Export!C189="","",DB_Artworks_Export!C189)</f>
        <v/>
      </c>
      <c r="G189" s="2" t="str">
        <f>IF(DB_Artworks_Export!D189="","",DB_Artworks_Export!D189)</f>
        <v/>
      </c>
      <c r="H189" s="2" t="str">
        <f>IF(DB_Artworks_Export!E189="","",DB_Artworks_Export!E189)</f>
        <v/>
      </c>
      <c r="I189" s="2" t="str">
        <f>IF(DB_Artworks_Export!F189="","",DB_Artworks_Export!F189)</f>
        <v/>
      </c>
      <c r="J189" s="2" t="str">
        <f>IF(DB_Artworks_Export!G189="","",DB_Artworks_Export!G189)</f>
        <v/>
      </c>
      <c r="K189" s="2" t="str">
        <f>IF(DB_Artworks_Export!H189="","",DB_Artworks_Export!H189)</f>
        <v/>
      </c>
      <c r="L189" s="2" t="str">
        <f>IF(DB_Artworks_Export!I189="","",DB_Artworks_Export!I189)</f>
        <v/>
      </c>
      <c r="M189" s="2" t="str">
        <f>IF(DB_Artworks_Export!J189="","",DB_Artworks_Export!J189)</f>
        <v/>
      </c>
      <c r="N189" s="2" t="str">
        <f>IF(DB_Artworks_Export!K189="","",DB_Artworks_Export!K189)</f>
        <v/>
      </c>
      <c r="O189" s="2" t="str">
        <f>IF(DB_Artworks_Export!L189="","",DB_Artworks_Export!L189)</f>
        <v/>
      </c>
      <c r="P189" s="2" t="str">
        <f>IF(DB_Artworks_Export!M189="","",DB_Artworks_Export!M189)</f>
        <v/>
      </c>
      <c r="Q189" s="2" t="str">
        <f>IF(DB_Artworks_Export!N189="","",DB_Artworks_Export!N189)</f>
        <v/>
      </c>
      <c r="R189" s="2" t="str">
        <f>IF($D189="","",IF(COUNTIF(DB_Categories_Export!$A:$A,$F189)&gt;0,"OK","INVALID CATEGORY"))</f>
        <v/>
      </c>
      <c r="S189" s="2" t="str">
        <f>IF($D189="","",COUNTIF(DB_Artwork_Sizes_Export!$B:$B,$D189))</f>
        <v/>
      </c>
      <c r="T189" s="2" t="str">
        <f>IF($D189="","",IFERROR(INDEX(DB_Artwork_Sizes_Export!$D:$D,MATCH($D189,DB_Artwork_Sizes_Export!$B:$B,0)),""))</f>
        <v/>
      </c>
      <c r="U189" s="2" t="str">
        <f>IF($D189="","",IFERROR(INDEX(DB_Artwork_Sizes_Export!$E:$E,MATCH($D189,DB_Artwork_Sizes_Export!$B:$B,0)),""))</f>
        <v/>
      </c>
      <c r="V189" s="2" t="str">
        <f>IF($D189="","",IFERROR(INDEX(DB_Artwork_Sizes_Export!$F:$F,MATCH($D189,DB_Artwork_Sizes_Export!$B:$B,0)),""))</f>
        <v/>
      </c>
      <c r="W189" s="2" t="str">
        <f t="shared" si="22"/>
        <v/>
      </c>
      <c r="X189" s="2"/>
      <c r="Y189" s="2"/>
      <c r="Z189" s="2"/>
      <c r="AA189" s="2"/>
      <c r="AB189" s="2"/>
      <c r="AC189" s="2"/>
      <c r="AD189" s="2"/>
      <c r="AE189" s="2"/>
      <c r="AF189" s="2" t="str">
        <f t="shared" si="23"/>
        <v/>
      </c>
      <c r="AG189" s="2" t="str">
        <f t="shared" si="24"/>
        <v/>
      </c>
      <c r="AH189" s="2" t="str">
        <f>IF($AG189="","",IFERROR(VLOOKUP($AG189,DB_Categories_Export!$A:$B,2,FALSE()),"INVALID CATEGORY"))</f>
        <v/>
      </c>
      <c r="AI189" s="2" t="str">
        <f t="shared" si="25"/>
        <v/>
      </c>
      <c r="AJ189" s="2" t="str">
        <f t="shared" si="26"/>
        <v/>
      </c>
      <c r="AK189" s="2" t="str">
        <f t="shared" si="27"/>
        <v/>
      </c>
      <c r="AL189" s="2" t="str">
        <f t="shared" si="28"/>
        <v/>
      </c>
      <c r="AM189" s="2" t="str">
        <f t="shared" si="29"/>
        <v/>
      </c>
      <c r="AN189" s="2"/>
      <c r="AO189" s="2"/>
    </row>
    <row r="190" spans="1:41" ht="12" customHeight="1" x14ac:dyDescent="0.3">
      <c r="A190" s="2"/>
      <c r="B190" s="2" t="str">
        <f t="shared" si="20"/>
        <v/>
      </c>
      <c r="C190" s="2" t="str">
        <f t="shared" si="21"/>
        <v/>
      </c>
      <c r="D190" s="2" t="str">
        <f>IF(DB_Artworks_Export!A190="","",DB_Artworks_Export!A190)</f>
        <v/>
      </c>
      <c r="E190" s="2" t="str">
        <f>IF(DB_Artworks_Export!B190="","",DB_Artworks_Export!B190)</f>
        <v/>
      </c>
      <c r="F190" s="2" t="str">
        <f>IF(DB_Artworks_Export!C190="","",DB_Artworks_Export!C190)</f>
        <v/>
      </c>
      <c r="G190" s="2" t="str">
        <f>IF(DB_Artworks_Export!D190="","",DB_Artworks_Export!D190)</f>
        <v/>
      </c>
      <c r="H190" s="2" t="str">
        <f>IF(DB_Artworks_Export!E190="","",DB_Artworks_Export!E190)</f>
        <v/>
      </c>
      <c r="I190" s="2" t="str">
        <f>IF(DB_Artworks_Export!F190="","",DB_Artworks_Export!F190)</f>
        <v/>
      </c>
      <c r="J190" s="2" t="str">
        <f>IF(DB_Artworks_Export!G190="","",DB_Artworks_Export!G190)</f>
        <v/>
      </c>
      <c r="K190" s="2" t="str">
        <f>IF(DB_Artworks_Export!H190="","",DB_Artworks_Export!H190)</f>
        <v/>
      </c>
      <c r="L190" s="2" t="str">
        <f>IF(DB_Artworks_Export!I190="","",DB_Artworks_Export!I190)</f>
        <v/>
      </c>
      <c r="M190" s="2" t="str">
        <f>IF(DB_Artworks_Export!J190="","",DB_Artworks_Export!J190)</f>
        <v/>
      </c>
      <c r="N190" s="2" t="str">
        <f>IF(DB_Artworks_Export!K190="","",DB_Artworks_Export!K190)</f>
        <v/>
      </c>
      <c r="O190" s="2" t="str">
        <f>IF(DB_Artworks_Export!L190="","",DB_Artworks_Export!L190)</f>
        <v/>
      </c>
      <c r="P190" s="2" t="str">
        <f>IF(DB_Artworks_Export!M190="","",DB_Artworks_Export!M190)</f>
        <v/>
      </c>
      <c r="Q190" s="2" t="str">
        <f>IF(DB_Artworks_Export!N190="","",DB_Artworks_Export!N190)</f>
        <v/>
      </c>
      <c r="R190" s="2" t="str">
        <f>IF($D190="","",IF(COUNTIF(DB_Categories_Export!$A:$A,$F190)&gt;0,"OK","INVALID CATEGORY"))</f>
        <v/>
      </c>
      <c r="S190" s="2" t="str">
        <f>IF($D190="","",COUNTIF(DB_Artwork_Sizes_Export!$B:$B,$D190))</f>
        <v/>
      </c>
      <c r="T190" s="2" t="str">
        <f>IF($D190="","",IFERROR(INDEX(DB_Artwork_Sizes_Export!$D:$D,MATCH($D190,DB_Artwork_Sizes_Export!$B:$B,0)),""))</f>
        <v/>
      </c>
      <c r="U190" s="2" t="str">
        <f>IF($D190="","",IFERROR(INDEX(DB_Artwork_Sizes_Export!$E:$E,MATCH($D190,DB_Artwork_Sizes_Export!$B:$B,0)),""))</f>
        <v/>
      </c>
      <c r="V190" s="2" t="str">
        <f>IF($D190="","",IFERROR(INDEX(DB_Artwork_Sizes_Export!$F:$F,MATCH($D190,DB_Artwork_Sizes_Export!$B:$B,0)),""))</f>
        <v/>
      </c>
      <c r="W190" s="2" t="str">
        <f t="shared" si="22"/>
        <v/>
      </c>
      <c r="X190" s="2"/>
      <c r="Y190" s="2"/>
      <c r="Z190" s="2"/>
      <c r="AA190" s="2"/>
      <c r="AB190" s="2"/>
      <c r="AC190" s="2"/>
      <c r="AD190" s="2"/>
      <c r="AE190" s="2"/>
      <c r="AF190" s="2" t="str">
        <f t="shared" si="23"/>
        <v/>
      </c>
      <c r="AG190" s="2" t="str">
        <f t="shared" si="24"/>
        <v/>
      </c>
      <c r="AH190" s="2" t="str">
        <f>IF($AG190="","",IFERROR(VLOOKUP($AG190,DB_Categories_Export!$A:$B,2,FALSE()),"INVALID CATEGORY"))</f>
        <v/>
      </c>
      <c r="AI190" s="2" t="str">
        <f t="shared" si="25"/>
        <v/>
      </c>
      <c r="AJ190" s="2" t="str">
        <f t="shared" si="26"/>
        <v/>
      </c>
      <c r="AK190" s="2" t="str">
        <f t="shared" si="27"/>
        <v/>
      </c>
      <c r="AL190" s="2" t="str">
        <f t="shared" si="28"/>
        <v/>
      </c>
      <c r="AM190" s="2" t="str">
        <f t="shared" si="29"/>
        <v/>
      </c>
      <c r="AN190" s="2"/>
      <c r="AO190" s="2"/>
    </row>
    <row r="191" spans="1:41" ht="12" customHeight="1" x14ac:dyDescent="0.3">
      <c r="A191" s="2"/>
      <c r="B191" s="2" t="str">
        <f t="shared" si="20"/>
        <v/>
      </c>
      <c r="C191" s="2" t="str">
        <f t="shared" si="21"/>
        <v/>
      </c>
      <c r="D191" s="2" t="str">
        <f>IF(DB_Artworks_Export!A191="","",DB_Artworks_Export!A191)</f>
        <v/>
      </c>
      <c r="E191" s="2" t="str">
        <f>IF(DB_Artworks_Export!B191="","",DB_Artworks_Export!B191)</f>
        <v/>
      </c>
      <c r="F191" s="2" t="str">
        <f>IF(DB_Artworks_Export!C191="","",DB_Artworks_Export!C191)</f>
        <v/>
      </c>
      <c r="G191" s="2" t="str">
        <f>IF(DB_Artworks_Export!D191="","",DB_Artworks_Export!D191)</f>
        <v/>
      </c>
      <c r="H191" s="2" t="str">
        <f>IF(DB_Artworks_Export!E191="","",DB_Artworks_Export!E191)</f>
        <v/>
      </c>
      <c r="I191" s="2" t="str">
        <f>IF(DB_Artworks_Export!F191="","",DB_Artworks_Export!F191)</f>
        <v/>
      </c>
      <c r="J191" s="2" t="str">
        <f>IF(DB_Artworks_Export!G191="","",DB_Artworks_Export!G191)</f>
        <v/>
      </c>
      <c r="K191" s="2" t="str">
        <f>IF(DB_Artworks_Export!H191="","",DB_Artworks_Export!H191)</f>
        <v/>
      </c>
      <c r="L191" s="2" t="str">
        <f>IF(DB_Artworks_Export!I191="","",DB_Artworks_Export!I191)</f>
        <v/>
      </c>
      <c r="M191" s="2" t="str">
        <f>IF(DB_Artworks_Export!J191="","",DB_Artworks_Export!J191)</f>
        <v/>
      </c>
      <c r="N191" s="2" t="str">
        <f>IF(DB_Artworks_Export!K191="","",DB_Artworks_Export!K191)</f>
        <v/>
      </c>
      <c r="O191" s="2" t="str">
        <f>IF(DB_Artworks_Export!L191="","",DB_Artworks_Export!L191)</f>
        <v/>
      </c>
      <c r="P191" s="2" t="str">
        <f>IF(DB_Artworks_Export!M191="","",DB_Artworks_Export!M191)</f>
        <v/>
      </c>
      <c r="Q191" s="2" t="str">
        <f>IF(DB_Artworks_Export!N191="","",DB_Artworks_Export!N191)</f>
        <v/>
      </c>
      <c r="R191" s="2" t="str">
        <f>IF($D191="","",IF(COUNTIF(DB_Categories_Export!$A:$A,$F191)&gt;0,"OK","INVALID CATEGORY"))</f>
        <v/>
      </c>
      <c r="S191" s="2" t="str">
        <f>IF($D191="","",COUNTIF(DB_Artwork_Sizes_Export!$B:$B,$D191))</f>
        <v/>
      </c>
      <c r="T191" s="2" t="str">
        <f>IF($D191="","",IFERROR(INDEX(DB_Artwork_Sizes_Export!$D:$D,MATCH($D191,DB_Artwork_Sizes_Export!$B:$B,0)),""))</f>
        <v/>
      </c>
      <c r="U191" s="2" t="str">
        <f>IF($D191="","",IFERROR(INDEX(DB_Artwork_Sizes_Export!$E:$E,MATCH($D191,DB_Artwork_Sizes_Export!$B:$B,0)),""))</f>
        <v/>
      </c>
      <c r="V191" s="2" t="str">
        <f>IF($D191="","",IFERROR(INDEX(DB_Artwork_Sizes_Export!$F:$F,MATCH($D191,DB_Artwork_Sizes_Export!$B:$B,0)),""))</f>
        <v/>
      </c>
      <c r="W191" s="2" t="str">
        <f t="shared" si="22"/>
        <v/>
      </c>
      <c r="X191" s="2"/>
      <c r="Y191" s="2"/>
      <c r="Z191" s="2"/>
      <c r="AA191" s="2"/>
      <c r="AB191" s="2"/>
      <c r="AC191" s="2"/>
      <c r="AD191" s="2"/>
      <c r="AE191" s="2"/>
      <c r="AF191" s="2" t="str">
        <f t="shared" si="23"/>
        <v/>
      </c>
      <c r="AG191" s="2" t="str">
        <f t="shared" si="24"/>
        <v/>
      </c>
      <c r="AH191" s="2" t="str">
        <f>IF($AG191="","",IFERROR(VLOOKUP($AG191,DB_Categories_Export!$A:$B,2,FALSE()),"INVALID CATEGORY"))</f>
        <v/>
      </c>
      <c r="AI191" s="2" t="str">
        <f t="shared" si="25"/>
        <v/>
      </c>
      <c r="AJ191" s="2" t="str">
        <f t="shared" si="26"/>
        <v/>
      </c>
      <c r="AK191" s="2" t="str">
        <f t="shared" si="27"/>
        <v/>
      </c>
      <c r="AL191" s="2" t="str">
        <f t="shared" si="28"/>
        <v/>
      </c>
      <c r="AM191" s="2" t="str">
        <f t="shared" si="29"/>
        <v/>
      </c>
      <c r="AN191" s="2"/>
      <c r="AO191" s="2"/>
    </row>
    <row r="192" spans="1:41" ht="12" customHeight="1" x14ac:dyDescent="0.3">
      <c r="A192" s="2"/>
      <c r="B192" s="2" t="str">
        <f t="shared" si="20"/>
        <v/>
      </c>
      <c r="C192" s="2" t="str">
        <f t="shared" si="21"/>
        <v/>
      </c>
      <c r="D192" s="2" t="str">
        <f>IF(DB_Artworks_Export!A192="","",DB_Artworks_Export!A192)</f>
        <v/>
      </c>
      <c r="E192" s="2" t="str">
        <f>IF(DB_Artworks_Export!B192="","",DB_Artworks_Export!B192)</f>
        <v/>
      </c>
      <c r="F192" s="2" t="str">
        <f>IF(DB_Artworks_Export!C192="","",DB_Artworks_Export!C192)</f>
        <v/>
      </c>
      <c r="G192" s="2" t="str">
        <f>IF(DB_Artworks_Export!D192="","",DB_Artworks_Export!D192)</f>
        <v/>
      </c>
      <c r="H192" s="2" t="str">
        <f>IF(DB_Artworks_Export!E192="","",DB_Artworks_Export!E192)</f>
        <v/>
      </c>
      <c r="I192" s="2" t="str">
        <f>IF(DB_Artworks_Export!F192="","",DB_Artworks_Export!F192)</f>
        <v/>
      </c>
      <c r="J192" s="2" t="str">
        <f>IF(DB_Artworks_Export!G192="","",DB_Artworks_Export!G192)</f>
        <v/>
      </c>
      <c r="K192" s="2" t="str">
        <f>IF(DB_Artworks_Export!H192="","",DB_Artworks_Export!H192)</f>
        <v/>
      </c>
      <c r="L192" s="2" t="str">
        <f>IF(DB_Artworks_Export!I192="","",DB_Artworks_Export!I192)</f>
        <v/>
      </c>
      <c r="M192" s="2" t="str">
        <f>IF(DB_Artworks_Export!J192="","",DB_Artworks_Export!J192)</f>
        <v/>
      </c>
      <c r="N192" s="2" t="str">
        <f>IF(DB_Artworks_Export!K192="","",DB_Artworks_Export!K192)</f>
        <v/>
      </c>
      <c r="O192" s="2" t="str">
        <f>IF(DB_Artworks_Export!L192="","",DB_Artworks_Export!L192)</f>
        <v/>
      </c>
      <c r="P192" s="2" t="str">
        <f>IF(DB_Artworks_Export!M192="","",DB_Artworks_Export!M192)</f>
        <v/>
      </c>
      <c r="Q192" s="2" t="str">
        <f>IF(DB_Artworks_Export!N192="","",DB_Artworks_Export!N192)</f>
        <v/>
      </c>
      <c r="R192" s="2" t="str">
        <f>IF($D192="","",IF(COUNTIF(DB_Categories_Export!$A:$A,$F192)&gt;0,"OK","INVALID CATEGORY"))</f>
        <v/>
      </c>
      <c r="S192" s="2" t="str">
        <f>IF($D192="","",COUNTIF(DB_Artwork_Sizes_Export!$B:$B,$D192))</f>
        <v/>
      </c>
      <c r="T192" s="2" t="str">
        <f>IF($D192="","",IFERROR(INDEX(DB_Artwork_Sizes_Export!$D:$D,MATCH($D192,DB_Artwork_Sizes_Export!$B:$B,0)),""))</f>
        <v/>
      </c>
      <c r="U192" s="2" t="str">
        <f>IF($D192="","",IFERROR(INDEX(DB_Artwork_Sizes_Export!$E:$E,MATCH($D192,DB_Artwork_Sizes_Export!$B:$B,0)),""))</f>
        <v/>
      </c>
      <c r="V192" s="2" t="str">
        <f>IF($D192="","",IFERROR(INDEX(DB_Artwork_Sizes_Export!$F:$F,MATCH($D192,DB_Artwork_Sizes_Export!$B:$B,0)),""))</f>
        <v/>
      </c>
      <c r="W192" s="2" t="str">
        <f t="shared" si="22"/>
        <v/>
      </c>
      <c r="X192" s="2"/>
      <c r="Y192" s="2"/>
      <c r="Z192" s="2"/>
      <c r="AA192" s="2"/>
      <c r="AB192" s="2"/>
      <c r="AC192" s="2"/>
      <c r="AD192" s="2"/>
      <c r="AE192" s="2"/>
      <c r="AF192" s="2" t="str">
        <f t="shared" si="23"/>
        <v/>
      </c>
      <c r="AG192" s="2" t="str">
        <f t="shared" si="24"/>
        <v/>
      </c>
      <c r="AH192" s="2" t="str">
        <f>IF($AG192="","",IFERROR(VLOOKUP($AG192,DB_Categories_Export!$A:$B,2,FALSE()),"INVALID CATEGORY"))</f>
        <v/>
      </c>
      <c r="AI192" s="2" t="str">
        <f t="shared" si="25"/>
        <v/>
      </c>
      <c r="AJ192" s="2" t="str">
        <f t="shared" si="26"/>
        <v/>
      </c>
      <c r="AK192" s="2" t="str">
        <f t="shared" si="27"/>
        <v/>
      </c>
      <c r="AL192" s="2" t="str">
        <f t="shared" si="28"/>
        <v/>
      </c>
      <c r="AM192" s="2" t="str">
        <f t="shared" si="29"/>
        <v/>
      </c>
      <c r="AN192" s="2"/>
      <c r="AO192" s="2"/>
    </row>
    <row r="193" spans="1:41" ht="12" customHeight="1" x14ac:dyDescent="0.3">
      <c r="A193" s="2"/>
      <c r="B193" s="2" t="str">
        <f t="shared" si="20"/>
        <v/>
      </c>
      <c r="C193" s="2" t="str">
        <f t="shared" si="21"/>
        <v/>
      </c>
      <c r="D193" s="2" t="str">
        <f>IF(DB_Artworks_Export!A193="","",DB_Artworks_Export!A193)</f>
        <v/>
      </c>
      <c r="E193" s="2" t="str">
        <f>IF(DB_Artworks_Export!B193="","",DB_Artworks_Export!B193)</f>
        <v/>
      </c>
      <c r="F193" s="2" t="str">
        <f>IF(DB_Artworks_Export!C193="","",DB_Artworks_Export!C193)</f>
        <v/>
      </c>
      <c r="G193" s="2" t="str">
        <f>IF(DB_Artworks_Export!D193="","",DB_Artworks_Export!D193)</f>
        <v/>
      </c>
      <c r="H193" s="2" t="str">
        <f>IF(DB_Artworks_Export!E193="","",DB_Artworks_Export!E193)</f>
        <v/>
      </c>
      <c r="I193" s="2" t="str">
        <f>IF(DB_Artworks_Export!F193="","",DB_Artworks_Export!F193)</f>
        <v/>
      </c>
      <c r="J193" s="2" t="str">
        <f>IF(DB_Artworks_Export!G193="","",DB_Artworks_Export!G193)</f>
        <v/>
      </c>
      <c r="K193" s="2" t="str">
        <f>IF(DB_Artworks_Export!H193="","",DB_Artworks_Export!H193)</f>
        <v/>
      </c>
      <c r="L193" s="2" t="str">
        <f>IF(DB_Artworks_Export!I193="","",DB_Artworks_Export!I193)</f>
        <v/>
      </c>
      <c r="M193" s="2" t="str">
        <f>IF(DB_Artworks_Export!J193="","",DB_Artworks_Export!J193)</f>
        <v/>
      </c>
      <c r="N193" s="2" t="str">
        <f>IF(DB_Artworks_Export!K193="","",DB_Artworks_Export!K193)</f>
        <v/>
      </c>
      <c r="O193" s="2" t="str">
        <f>IF(DB_Artworks_Export!L193="","",DB_Artworks_Export!L193)</f>
        <v/>
      </c>
      <c r="P193" s="2" t="str">
        <f>IF(DB_Artworks_Export!M193="","",DB_Artworks_Export!M193)</f>
        <v/>
      </c>
      <c r="Q193" s="2" t="str">
        <f>IF(DB_Artworks_Export!N193="","",DB_Artworks_Export!N193)</f>
        <v/>
      </c>
      <c r="R193" s="2" t="str">
        <f>IF($D193="","",IF(COUNTIF(DB_Categories_Export!$A:$A,$F193)&gt;0,"OK","INVALID CATEGORY"))</f>
        <v/>
      </c>
      <c r="S193" s="2" t="str">
        <f>IF($D193="","",COUNTIF(DB_Artwork_Sizes_Export!$B:$B,$D193))</f>
        <v/>
      </c>
      <c r="T193" s="2" t="str">
        <f>IF($D193="","",IFERROR(INDEX(DB_Artwork_Sizes_Export!$D:$D,MATCH($D193,DB_Artwork_Sizes_Export!$B:$B,0)),""))</f>
        <v/>
      </c>
      <c r="U193" s="2" t="str">
        <f>IF($D193="","",IFERROR(INDEX(DB_Artwork_Sizes_Export!$E:$E,MATCH($D193,DB_Artwork_Sizes_Export!$B:$B,0)),""))</f>
        <v/>
      </c>
      <c r="V193" s="2" t="str">
        <f>IF($D193="","",IFERROR(INDEX(DB_Artwork_Sizes_Export!$F:$F,MATCH($D193,DB_Artwork_Sizes_Export!$B:$B,0)),""))</f>
        <v/>
      </c>
      <c r="W193" s="2" t="str">
        <f t="shared" si="22"/>
        <v/>
      </c>
      <c r="X193" s="2"/>
      <c r="Y193" s="2"/>
      <c r="Z193" s="2"/>
      <c r="AA193" s="2"/>
      <c r="AB193" s="2"/>
      <c r="AC193" s="2"/>
      <c r="AD193" s="2"/>
      <c r="AE193" s="2"/>
      <c r="AF193" s="2" t="str">
        <f t="shared" si="23"/>
        <v/>
      </c>
      <c r="AG193" s="2" t="str">
        <f t="shared" si="24"/>
        <v/>
      </c>
      <c r="AH193" s="2" t="str">
        <f>IF($AG193="","",IFERROR(VLOOKUP($AG193,DB_Categories_Export!$A:$B,2,FALSE()),"INVALID CATEGORY"))</f>
        <v/>
      </c>
      <c r="AI193" s="2" t="str">
        <f t="shared" si="25"/>
        <v/>
      </c>
      <c r="AJ193" s="2" t="str">
        <f t="shared" si="26"/>
        <v/>
      </c>
      <c r="AK193" s="2" t="str">
        <f t="shared" si="27"/>
        <v/>
      </c>
      <c r="AL193" s="2" t="str">
        <f t="shared" si="28"/>
        <v/>
      </c>
      <c r="AM193" s="2" t="str">
        <f t="shared" si="29"/>
        <v/>
      </c>
      <c r="AN193" s="2"/>
      <c r="AO193" s="2"/>
    </row>
    <row r="194" spans="1:41" ht="12" customHeight="1" x14ac:dyDescent="0.3">
      <c r="A194" s="2"/>
      <c r="B194" s="2" t="str">
        <f t="shared" ref="B194:B257" si="30">IF($D194="","",IF(COUNTA($Y194:$AE194)&gt;0,"UPDATE","NO_CHANGE"))</f>
        <v/>
      </c>
      <c r="C194" s="2" t="str">
        <f t="shared" ref="C194:C257" si="31">IF($D194="","",IF($R194&lt;&gt;"OK","ERROR",IF(OR($E194="", $F194="", $J194=""),"ERROR",IF($W194&lt;&gt;"OK","WARNING","PASS"))))</f>
        <v/>
      </c>
      <c r="D194" s="2" t="str">
        <f>IF(DB_Artworks_Export!A194="","",DB_Artworks_Export!A194)</f>
        <v/>
      </c>
      <c r="E194" s="2" t="str">
        <f>IF(DB_Artworks_Export!B194="","",DB_Artworks_Export!B194)</f>
        <v/>
      </c>
      <c r="F194" s="2" t="str">
        <f>IF(DB_Artworks_Export!C194="","",DB_Artworks_Export!C194)</f>
        <v/>
      </c>
      <c r="G194" s="2" t="str">
        <f>IF(DB_Artworks_Export!D194="","",DB_Artworks_Export!D194)</f>
        <v/>
      </c>
      <c r="H194" s="2" t="str">
        <f>IF(DB_Artworks_Export!E194="","",DB_Artworks_Export!E194)</f>
        <v/>
      </c>
      <c r="I194" s="2" t="str">
        <f>IF(DB_Artworks_Export!F194="","",DB_Artworks_Export!F194)</f>
        <v/>
      </c>
      <c r="J194" s="2" t="str">
        <f>IF(DB_Artworks_Export!G194="","",DB_Artworks_Export!G194)</f>
        <v/>
      </c>
      <c r="K194" s="2" t="str">
        <f>IF(DB_Artworks_Export!H194="","",DB_Artworks_Export!H194)</f>
        <v/>
      </c>
      <c r="L194" s="2" t="str">
        <f>IF(DB_Artworks_Export!I194="","",DB_Artworks_Export!I194)</f>
        <v/>
      </c>
      <c r="M194" s="2" t="str">
        <f>IF(DB_Artworks_Export!J194="","",DB_Artworks_Export!J194)</f>
        <v/>
      </c>
      <c r="N194" s="2" t="str">
        <f>IF(DB_Artworks_Export!K194="","",DB_Artworks_Export!K194)</f>
        <v/>
      </c>
      <c r="O194" s="2" t="str">
        <f>IF(DB_Artworks_Export!L194="","",DB_Artworks_Export!L194)</f>
        <v/>
      </c>
      <c r="P194" s="2" t="str">
        <f>IF(DB_Artworks_Export!M194="","",DB_Artworks_Export!M194)</f>
        <v/>
      </c>
      <c r="Q194" s="2" t="str">
        <f>IF(DB_Artworks_Export!N194="","",DB_Artworks_Export!N194)</f>
        <v/>
      </c>
      <c r="R194" s="2" t="str">
        <f>IF($D194="","",IF(COUNTIF(DB_Categories_Export!$A:$A,$F194)&gt;0,"OK","INVALID CATEGORY"))</f>
        <v/>
      </c>
      <c r="S194" s="2" t="str">
        <f>IF($D194="","",COUNTIF(DB_Artwork_Sizes_Export!$B:$B,$D194))</f>
        <v/>
      </c>
      <c r="T194" s="2" t="str">
        <f>IF($D194="","",IFERROR(INDEX(DB_Artwork_Sizes_Export!$D:$D,MATCH($D194,DB_Artwork_Sizes_Export!$B:$B,0)),""))</f>
        <v/>
      </c>
      <c r="U194" s="2" t="str">
        <f>IF($D194="","",IFERROR(INDEX(DB_Artwork_Sizes_Export!$E:$E,MATCH($D194,DB_Artwork_Sizes_Export!$B:$B,0)),""))</f>
        <v/>
      </c>
      <c r="V194" s="2" t="str">
        <f>IF($D194="","",IFERROR(INDEX(DB_Artwork_Sizes_Export!$F:$F,MATCH($D194,DB_Artwork_Sizes_Export!$B:$B,0)),""))</f>
        <v/>
      </c>
      <c r="W194" s="2" t="str">
        <f t="shared" ref="W194:W257" si="32">IF($D194="","",IF($S194&gt;0,"REVIEW_SIZE_PRICING","OK"))</f>
        <v/>
      </c>
      <c r="X194" s="2"/>
      <c r="Y194" s="2"/>
      <c r="Z194" s="2"/>
      <c r="AA194" s="2"/>
      <c r="AB194" s="2"/>
      <c r="AC194" s="2"/>
      <c r="AD194" s="2"/>
      <c r="AE194" s="2"/>
      <c r="AF194" s="2" t="str">
        <f t="shared" ref="AF194:AF257" si="33">IF($Y194&lt;&gt;"",$Y194,$E194)</f>
        <v/>
      </c>
      <c r="AG194" s="2" t="str">
        <f t="shared" ref="AG194:AG257" si="34">IF($Z194&lt;&gt;"",$Z194,$F194)</f>
        <v/>
      </c>
      <c r="AH194" s="2" t="str">
        <f>IF($AG194="","",IFERROR(VLOOKUP($AG194,DB_Categories_Export!$A:$B,2,FALSE()),"INVALID CATEGORY"))</f>
        <v/>
      </c>
      <c r="AI194" s="2" t="str">
        <f t="shared" ref="AI194:AI257" si="35">IF($AA194&lt;&gt;"",$AA194,$H194)</f>
        <v/>
      </c>
      <c r="AJ194" s="2" t="str">
        <f t="shared" ref="AJ194:AJ257" si="36">IF($AB194&lt;&gt;"",$AB194,$I194)</f>
        <v/>
      </c>
      <c r="AK194" s="2" t="str">
        <f t="shared" ref="AK194:AK257" si="37">IF($AC194&lt;&gt;"",$AC194,$J194)</f>
        <v/>
      </c>
      <c r="AL194" s="2" t="str">
        <f t="shared" ref="AL194:AL257" si="38">IF($AD194&lt;&gt;"",$AD194,$N194)</f>
        <v/>
      </c>
      <c r="AM194" s="2" t="str">
        <f t="shared" ref="AM194:AM257" si="39">IF($AE194&lt;&gt;"",$AE194,$O194)</f>
        <v/>
      </c>
      <c r="AN194" s="2"/>
      <c r="AO194" s="2"/>
    </row>
    <row r="195" spans="1:41" ht="12" customHeight="1" x14ac:dyDescent="0.3">
      <c r="A195" s="2"/>
      <c r="B195" s="2" t="str">
        <f t="shared" si="30"/>
        <v/>
      </c>
      <c r="C195" s="2" t="str">
        <f t="shared" si="31"/>
        <v/>
      </c>
      <c r="D195" s="2" t="str">
        <f>IF(DB_Artworks_Export!A195="","",DB_Artworks_Export!A195)</f>
        <v/>
      </c>
      <c r="E195" s="2" t="str">
        <f>IF(DB_Artworks_Export!B195="","",DB_Artworks_Export!B195)</f>
        <v/>
      </c>
      <c r="F195" s="2" t="str">
        <f>IF(DB_Artworks_Export!C195="","",DB_Artworks_Export!C195)</f>
        <v/>
      </c>
      <c r="G195" s="2" t="str">
        <f>IF(DB_Artworks_Export!D195="","",DB_Artworks_Export!D195)</f>
        <v/>
      </c>
      <c r="H195" s="2" t="str">
        <f>IF(DB_Artworks_Export!E195="","",DB_Artworks_Export!E195)</f>
        <v/>
      </c>
      <c r="I195" s="2" t="str">
        <f>IF(DB_Artworks_Export!F195="","",DB_Artworks_Export!F195)</f>
        <v/>
      </c>
      <c r="J195" s="2" t="str">
        <f>IF(DB_Artworks_Export!G195="","",DB_Artworks_Export!G195)</f>
        <v/>
      </c>
      <c r="K195" s="2" t="str">
        <f>IF(DB_Artworks_Export!H195="","",DB_Artworks_Export!H195)</f>
        <v/>
      </c>
      <c r="L195" s="2" t="str">
        <f>IF(DB_Artworks_Export!I195="","",DB_Artworks_Export!I195)</f>
        <v/>
      </c>
      <c r="M195" s="2" t="str">
        <f>IF(DB_Artworks_Export!J195="","",DB_Artworks_Export!J195)</f>
        <v/>
      </c>
      <c r="N195" s="2" t="str">
        <f>IF(DB_Artworks_Export!K195="","",DB_Artworks_Export!K195)</f>
        <v/>
      </c>
      <c r="O195" s="2" t="str">
        <f>IF(DB_Artworks_Export!L195="","",DB_Artworks_Export!L195)</f>
        <v/>
      </c>
      <c r="P195" s="2" t="str">
        <f>IF(DB_Artworks_Export!M195="","",DB_Artworks_Export!M195)</f>
        <v/>
      </c>
      <c r="Q195" s="2" t="str">
        <f>IF(DB_Artworks_Export!N195="","",DB_Artworks_Export!N195)</f>
        <v/>
      </c>
      <c r="R195" s="2" t="str">
        <f>IF($D195="","",IF(COUNTIF(DB_Categories_Export!$A:$A,$F195)&gt;0,"OK","INVALID CATEGORY"))</f>
        <v/>
      </c>
      <c r="S195" s="2" t="str">
        <f>IF($D195="","",COUNTIF(DB_Artwork_Sizes_Export!$B:$B,$D195))</f>
        <v/>
      </c>
      <c r="T195" s="2" t="str">
        <f>IF($D195="","",IFERROR(INDEX(DB_Artwork_Sizes_Export!$D:$D,MATCH($D195,DB_Artwork_Sizes_Export!$B:$B,0)),""))</f>
        <v/>
      </c>
      <c r="U195" s="2" t="str">
        <f>IF($D195="","",IFERROR(INDEX(DB_Artwork_Sizes_Export!$E:$E,MATCH($D195,DB_Artwork_Sizes_Export!$B:$B,0)),""))</f>
        <v/>
      </c>
      <c r="V195" s="2" t="str">
        <f>IF($D195="","",IFERROR(INDEX(DB_Artwork_Sizes_Export!$F:$F,MATCH($D195,DB_Artwork_Sizes_Export!$B:$B,0)),""))</f>
        <v/>
      </c>
      <c r="W195" s="2" t="str">
        <f t="shared" si="32"/>
        <v/>
      </c>
      <c r="X195" s="2"/>
      <c r="Y195" s="2"/>
      <c r="Z195" s="2"/>
      <c r="AA195" s="2"/>
      <c r="AB195" s="2"/>
      <c r="AC195" s="2"/>
      <c r="AD195" s="2"/>
      <c r="AE195" s="2"/>
      <c r="AF195" s="2" t="str">
        <f t="shared" si="33"/>
        <v/>
      </c>
      <c r="AG195" s="2" t="str">
        <f t="shared" si="34"/>
        <v/>
      </c>
      <c r="AH195" s="2" t="str">
        <f>IF($AG195="","",IFERROR(VLOOKUP($AG195,DB_Categories_Export!$A:$B,2,FALSE()),"INVALID CATEGORY"))</f>
        <v/>
      </c>
      <c r="AI195" s="2" t="str">
        <f t="shared" si="35"/>
        <v/>
      </c>
      <c r="AJ195" s="2" t="str">
        <f t="shared" si="36"/>
        <v/>
      </c>
      <c r="AK195" s="2" t="str">
        <f t="shared" si="37"/>
        <v/>
      </c>
      <c r="AL195" s="2" t="str">
        <f t="shared" si="38"/>
        <v/>
      </c>
      <c r="AM195" s="2" t="str">
        <f t="shared" si="39"/>
        <v/>
      </c>
      <c r="AN195" s="2"/>
      <c r="AO195" s="2"/>
    </row>
    <row r="196" spans="1:41" ht="12" customHeight="1" x14ac:dyDescent="0.3">
      <c r="A196" s="2"/>
      <c r="B196" s="2" t="str">
        <f t="shared" si="30"/>
        <v/>
      </c>
      <c r="C196" s="2" t="str">
        <f t="shared" si="31"/>
        <v/>
      </c>
      <c r="D196" s="2" t="str">
        <f>IF(DB_Artworks_Export!A196="","",DB_Artworks_Export!A196)</f>
        <v/>
      </c>
      <c r="E196" s="2" t="str">
        <f>IF(DB_Artworks_Export!B196="","",DB_Artworks_Export!B196)</f>
        <v/>
      </c>
      <c r="F196" s="2" t="str">
        <f>IF(DB_Artworks_Export!C196="","",DB_Artworks_Export!C196)</f>
        <v/>
      </c>
      <c r="G196" s="2" t="str">
        <f>IF(DB_Artworks_Export!D196="","",DB_Artworks_Export!D196)</f>
        <v/>
      </c>
      <c r="H196" s="2" t="str">
        <f>IF(DB_Artworks_Export!E196="","",DB_Artworks_Export!E196)</f>
        <v/>
      </c>
      <c r="I196" s="2" t="str">
        <f>IF(DB_Artworks_Export!F196="","",DB_Artworks_Export!F196)</f>
        <v/>
      </c>
      <c r="J196" s="2" t="str">
        <f>IF(DB_Artworks_Export!G196="","",DB_Artworks_Export!G196)</f>
        <v/>
      </c>
      <c r="K196" s="2" t="str">
        <f>IF(DB_Artworks_Export!H196="","",DB_Artworks_Export!H196)</f>
        <v/>
      </c>
      <c r="L196" s="2" t="str">
        <f>IF(DB_Artworks_Export!I196="","",DB_Artworks_Export!I196)</f>
        <v/>
      </c>
      <c r="M196" s="2" t="str">
        <f>IF(DB_Artworks_Export!J196="","",DB_Artworks_Export!J196)</f>
        <v/>
      </c>
      <c r="N196" s="2" t="str">
        <f>IF(DB_Artworks_Export!K196="","",DB_Artworks_Export!K196)</f>
        <v/>
      </c>
      <c r="O196" s="2" t="str">
        <f>IF(DB_Artworks_Export!L196="","",DB_Artworks_Export!L196)</f>
        <v/>
      </c>
      <c r="P196" s="2" t="str">
        <f>IF(DB_Artworks_Export!M196="","",DB_Artworks_Export!M196)</f>
        <v/>
      </c>
      <c r="Q196" s="2" t="str">
        <f>IF(DB_Artworks_Export!N196="","",DB_Artworks_Export!N196)</f>
        <v/>
      </c>
      <c r="R196" s="2" t="str">
        <f>IF($D196="","",IF(COUNTIF(DB_Categories_Export!$A:$A,$F196)&gt;0,"OK","INVALID CATEGORY"))</f>
        <v/>
      </c>
      <c r="S196" s="2" t="str">
        <f>IF($D196="","",COUNTIF(DB_Artwork_Sizes_Export!$B:$B,$D196))</f>
        <v/>
      </c>
      <c r="T196" s="2" t="str">
        <f>IF($D196="","",IFERROR(INDEX(DB_Artwork_Sizes_Export!$D:$D,MATCH($D196,DB_Artwork_Sizes_Export!$B:$B,0)),""))</f>
        <v/>
      </c>
      <c r="U196" s="2" t="str">
        <f>IF($D196="","",IFERROR(INDEX(DB_Artwork_Sizes_Export!$E:$E,MATCH($D196,DB_Artwork_Sizes_Export!$B:$B,0)),""))</f>
        <v/>
      </c>
      <c r="V196" s="2" t="str">
        <f>IF($D196="","",IFERROR(INDEX(DB_Artwork_Sizes_Export!$F:$F,MATCH($D196,DB_Artwork_Sizes_Export!$B:$B,0)),""))</f>
        <v/>
      </c>
      <c r="W196" s="2" t="str">
        <f t="shared" si="32"/>
        <v/>
      </c>
      <c r="X196" s="2"/>
      <c r="Y196" s="2"/>
      <c r="Z196" s="2"/>
      <c r="AA196" s="2"/>
      <c r="AB196" s="2"/>
      <c r="AC196" s="2"/>
      <c r="AD196" s="2"/>
      <c r="AE196" s="2"/>
      <c r="AF196" s="2" t="str">
        <f t="shared" si="33"/>
        <v/>
      </c>
      <c r="AG196" s="2" t="str">
        <f t="shared" si="34"/>
        <v/>
      </c>
      <c r="AH196" s="2" t="str">
        <f>IF($AG196="","",IFERROR(VLOOKUP($AG196,DB_Categories_Export!$A:$B,2,FALSE()),"INVALID CATEGORY"))</f>
        <v/>
      </c>
      <c r="AI196" s="2" t="str">
        <f t="shared" si="35"/>
        <v/>
      </c>
      <c r="AJ196" s="2" t="str">
        <f t="shared" si="36"/>
        <v/>
      </c>
      <c r="AK196" s="2" t="str">
        <f t="shared" si="37"/>
        <v/>
      </c>
      <c r="AL196" s="2" t="str">
        <f t="shared" si="38"/>
        <v/>
      </c>
      <c r="AM196" s="2" t="str">
        <f t="shared" si="39"/>
        <v/>
      </c>
      <c r="AN196" s="2"/>
      <c r="AO196" s="2"/>
    </row>
    <row r="197" spans="1:41" ht="12" customHeight="1" x14ac:dyDescent="0.3">
      <c r="A197" s="2"/>
      <c r="B197" s="2" t="str">
        <f t="shared" si="30"/>
        <v/>
      </c>
      <c r="C197" s="2" t="str">
        <f t="shared" si="31"/>
        <v/>
      </c>
      <c r="D197" s="2" t="str">
        <f>IF(DB_Artworks_Export!A197="","",DB_Artworks_Export!A197)</f>
        <v/>
      </c>
      <c r="E197" s="2" t="str">
        <f>IF(DB_Artworks_Export!B197="","",DB_Artworks_Export!B197)</f>
        <v/>
      </c>
      <c r="F197" s="2" t="str">
        <f>IF(DB_Artworks_Export!C197="","",DB_Artworks_Export!C197)</f>
        <v/>
      </c>
      <c r="G197" s="2" t="str">
        <f>IF(DB_Artworks_Export!D197="","",DB_Artworks_Export!D197)</f>
        <v/>
      </c>
      <c r="H197" s="2" t="str">
        <f>IF(DB_Artworks_Export!E197="","",DB_Artworks_Export!E197)</f>
        <v/>
      </c>
      <c r="I197" s="2" t="str">
        <f>IF(DB_Artworks_Export!F197="","",DB_Artworks_Export!F197)</f>
        <v/>
      </c>
      <c r="J197" s="2" t="str">
        <f>IF(DB_Artworks_Export!G197="","",DB_Artworks_Export!G197)</f>
        <v/>
      </c>
      <c r="K197" s="2" t="str">
        <f>IF(DB_Artworks_Export!H197="","",DB_Artworks_Export!H197)</f>
        <v/>
      </c>
      <c r="L197" s="2" t="str">
        <f>IF(DB_Artworks_Export!I197="","",DB_Artworks_Export!I197)</f>
        <v/>
      </c>
      <c r="M197" s="2" t="str">
        <f>IF(DB_Artworks_Export!J197="","",DB_Artworks_Export!J197)</f>
        <v/>
      </c>
      <c r="N197" s="2" t="str">
        <f>IF(DB_Artworks_Export!K197="","",DB_Artworks_Export!K197)</f>
        <v/>
      </c>
      <c r="O197" s="2" t="str">
        <f>IF(DB_Artworks_Export!L197="","",DB_Artworks_Export!L197)</f>
        <v/>
      </c>
      <c r="P197" s="2" t="str">
        <f>IF(DB_Artworks_Export!M197="","",DB_Artworks_Export!M197)</f>
        <v/>
      </c>
      <c r="Q197" s="2" t="str">
        <f>IF(DB_Artworks_Export!N197="","",DB_Artworks_Export!N197)</f>
        <v/>
      </c>
      <c r="R197" s="2" t="str">
        <f>IF($D197="","",IF(COUNTIF(DB_Categories_Export!$A:$A,$F197)&gt;0,"OK","INVALID CATEGORY"))</f>
        <v/>
      </c>
      <c r="S197" s="2" t="str">
        <f>IF($D197="","",COUNTIF(DB_Artwork_Sizes_Export!$B:$B,$D197))</f>
        <v/>
      </c>
      <c r="T197" s="2" t="str">
        <f>IF($D197="","",IFERROR(INDEX(DB_Artwork_Sizes_Export!$D:$D,MATCH($D197,DB_Artwork_Sizes_Export!$B:$B,0)),""))</f>
        <v/>
      </c>
      <c r="U197" s="2" t="str">
        <f>IF($D197="","",IFERROR(INDEX(DB_Artwork_Sizes_Export!$E:$E,MATCH($D197,DB_Artwork_Sizes_Export!$B:$B,0)),""))</f>
        <v/>
      </c>
      <c r="V197" s="2" t="str">
        <f>IF($D197="","",IFERROR(INDEX(DB_Artwork_Sizes_Export!$F:$F,MATCH($D197,DB_Artwork_Sizes_Export!$B:$B,0)),""))</f>
        <v/>
      </c>
      <c r="W197" s="2" t="str">
        <f t="shared" si="32"/>
        <v/>
      </c>
      <c r="X197" s="2"/>
      <c r="Y197" s="2"/>
      <c r="Z197" s="2"/>
      <c r="AA197" s="2"/>
      <c r="AB197" s="2"/>
      <c r="AC197" s="2"/>
      <c r="AD197" s="2"/>
      <c r="AE197" s="2"/>
      <c r="AF197" s="2" t="str">
        <f t="shared" si="33"/>
        <v/>
      </c>
      <c r="AG197" s="2" t="str">
        <f t="shared" si="34"/>
        <v/>
      </c>
      <c r="AH197" s="2" t="str">
        <f>IF($AG197="","",IFERROR(VLOOKUP($AG197,DB_Categories_Export!$A:$B,2,FALSE()),"INVALID CATEGORY"))</f>
        <v/>
      </c>
      <c r="AI197" s="2" t="str">
        <f t="shared" si="35"/>
        <v/>
      </c>
      <c r="AJ197" s="2" t="str">
        <f t="shared" si="36"/>
        <v/>
      </c>
      <c r="AK197" s="2" t="str">
        <f t="shared" si="37"/>
        <v/>
      </c>
      <c r="AL197" s="2" t="str">
        <f t="shared" si="38"/>
        <v/>
      </c>
      <c r="AM197" s="2" t="str">
        <f t="shared" si="39"/>
        <v/>
      </c>
      <c r="AN197" s="2"/>
      <c r="AO197" s="2"/>
    </row>
    <row r="198" spans="1:41" ht="12" customHeight="1" x14ac:dyDescent="0.3">
      <c r="A198" s="2"/>
      <c r="B198" s="2" t="str">
        <f t="shared" si="30"/>
        <v/>
      </c>
      <c r="C198" s="2" t="str">
        <f t="shared" si="31"/>
        <v/>
      </c>
      <c r="D198" s="2" t="str">
        <f>IF(DB_Artworks_Export!A198="","",DB_Artworks_Export!A198)</f>
        <v/>
      </c>
      <c r="E198" s="2" t="str">
        <f>IF(DB_Artworks_Export!B198="","",DB_Artworks_Export!B198)</f>
        <v/>
      </c>
      <c r="F198" s="2" t="str">
        <f>IF(DB_Artworks_Export!C198="","",DB_Artworks_Export!C198)</f>
        <v/>
      </c>
      <c r="G198" s="2" t="str">
        <f>IF(DB_Artworks_Export!D198="","",DB_Artworks_Export!D198)</f>
        <v/>
      </c>
      <c r="H198" s="2" t="str">
        <f>IF(DB_Artworks_Export!E198="","",DB_Artworks_Export!E198)</f>
        <v/>
      </c>
      <c r="I198" s="2" t="str">
        <f>IF(DB_Artworks_Export!F198="","",DB_Artworks_Export!F198)</f>
        <v/>
      </c>
      <c r="J198" s="2" t="str">
        <f>IF(DB_Artworks_Export!G198="","",DB_Artworks_Export!G198)</f>
        <v/>
      </c>
      <c r="K198" s="2" t="str">
        <f>IF(DB_Artworks_Export!H198="","",DB_Artworks_Export!H198)</f>
        <v/>
      </c>
      <c r="L198" s="2" t="str">
        <f>IF(DB_Artworks_Export!I198="","",DB_Artworks_Export!I198)</f>
        <v/>
      </c>
      <c r="M198" s="2" t="str">
        <f>IF(DB_Artworks_Export!J198="","",DB_Artworks_Export!J198)</f>
        <v/>
      </c>
      <c r="N198" s="2" t="str">
        <f>IF(DB_Artworks_Export!K198="","",DB_Artworks_Export!K198)</f>
        <v/>
      </c>
      <c r="O198" s="2" t="str">
        <f>IF(DB_Artworks_Export!L198="","",DB_Artworks_Export!L198)</f>
        <v/>
      </c>
      <c r="P198" s="2" t="str">
        <f>IF(DB_Artworks_Export!M198="","",DB_Artworks_Export!M198)</f>
        <v/>
      </c>
      <c r="Q198" s="2" t="str">
        <f>IF(DB_Artworks_Export!N198="","",DB_Artworks_Export!N198)</f>
        <v/>
      </c>
      <c r="R198" s="2" t="str">
        <f>IF($D198="","",IF(COUNTIF(DB_Categories_Export!$A:$A,$F198)&gt;0,"OK","INVALID CATEGORY"))</f>
        <v/>
      </c>
      <c r="S198" s="2" t="str">
        <f>IF($D198="","",COUNTIF(DB_Artwork_Sizes_Export!$B:$B,$D198))</f>
        <v/>
      </c>
      <c r="T198" s="2" t="str">
        <f>IF($D198="","",IFERROR(INDEX(DB_Artwork_Sizes_Export!$D:$D,MATCH($D198,DB_Artwork_Sizes_Export!$B:$B,0)),""))</f>
        <v/>
      </c>
      <c r="U198" s="2" t="str">
        <f>IF($D198="","",IFERROR(INDEX(DB_Artwork_Sizes_Export!$E:$E,MATCH($D198,DB_Artwork_Sizes_Export!$B:$B,0)),""))</f>
        <v/>
      </c>
      <c r="V198" s="2" t="str">
        <f>IF($D198="","",IFERROR(INDEX(DB_Artwork_Sizes_Export!$F:$F,MATCH($D198,DB_Artwork_Sizes_Export!$B:$B,0)),""))</f>
        <v/>
      </c>
      <c r="W198" s="2" t="str">
        <f t="shared" si="32"/>
        <v/>
      </c>
      <c r="X198" s="2"/>
      <c r="Y198" s="2"/>
      <c r="Z198" s="2"/>
      <c r="AA198" s="2"/>
      <c r="AB198" s="2"/>
      <c r="AC198" s="2"/>
      <c r="AD198" s="2"/>
      <c r="AE198" s="2"/>
      <c r="AF198" s="2" t="str">
        <f t="shared" si="33"/>
        <v/>
      </c>
      <c r="AG198" s="2" t="str">
        <f t="shared" si="34"/>
        <v/>
      </c>
      <c r="AH198" s="2" t="str">
        <f>IF($AG198="","",IFERROR(VLOOKUP($AG198,DB_Categories_Export!$A:$B,2,FALSE()),"INVALID CATEGORY"))</f>
        <v/>
      </c>
      <c r="AI198" s="2" t="str">
        <f t="shared" si="35"/>
        <v/>
      </c>
      <c r="AJ198" s="2" t="str">
        <f t="shared" si="36"/>
        <v/>
      </c>
      <c r="AK198" s="2" t="str">
        <f t="shared" si="37"/>
        <v/>
      </c>
      <c r="AL198" s="2" t="str">
        <f t="shared" si="38"/>
        <v/>
      </c>
      <c r="AM198" s="2" t="str">
        <f t="shared" si="39"/>
        <v/>
      </c>
      <c r="AN198" s="2"/>
      <c r="AO198" s="2"/>
    </row>
    <row r="199" spans="1:41" ht="12" customHeight="1" x14ac:dyDescent="0.3">
      <c r="A199" s="2"/>
      <c r="B199" s="2" t="str">
        <f t="shared" si="30"/>
        <v/>
      </c>
      <c r="C199" s="2" t="str">
        <f t="shared" si="31"/>
        <v/>
      </c>
      <c r="D199" s="2" t="str">
        <f>IF(DB_Artworks_Export!A199="","",DB_Artworks_Export!A199)</f>
        <v/>
      </c>
      <c r="E199" s="2" t="str">
        <f>IF(DB_Artworks_Export!B199="","",DB_Artworks_Export!B199)</f>
        <v/>
      </c>
      <c r="F199" s="2" t="str">
        <f>IF(DB_Artworks_Export!C199="","",DB_Artworks_Export!C199)</f>
        <v/>
      </c>
      <c r="G199" s="2" t="str">
        <f>IF(DB_Artworks_Export!D199="","",DB_Artworks_Export!D199)</f>
        <v/>
      </c>
      <c r="H199" s="2" t="str">
        <f>IF(DB_Artworks_Export!E199="","",DB_Artworks_Export!E199)</f>
        <v/>
      </c>
      <c r="I199" s="2" t="str">
        <f>IF(DB_Artworks_Export!F199="","",DB_Artworks_Export!F199)</f>
        <v/>
      </c>
      <c r="J199" s="2" t="str">
        <f>IF(DB_Artworks_Export!G199="","",DB_Artworks_Export!G199)</f>
        <v/>
      </c>
      <c r="K199" s="2" t="str">
        <f>IF(DB_Artworks_Export!H199="","",DB_Artworks_Export!H199)</f>
        <v/>
      </c>
      <c r="L199" s="2" t="str">
        <f>IF(DB_Artworks_Export!I199="","",DB_Artworks_Export!I199)</f>
        <v/>
      </c>
      <c r="M199" s="2" t="str">
        <f>IF(DB_Artworks_Export!J199="","",DB_Artworks_Export!J199)</f>
        <v/>
      </c>
      <c r="N199" s="2" t="str">
        <f>IF(DB_Artworks_Export!K199="","",DB_Artworks_Export!K199)</f>
        <v/>
      </c>
      <c r="O199" s="2" t="str">
        <f>IF(DB_Artworks_Export!L199="","",DB_Artworks_Export!L199)</f>
        <v/>
      </c>
      <c r="P199" s="2" t="str">
        <f>IF(DB_Artworks_Export!M199="","",DB_Artworks_Export!M199)</f>
        <v/>
      </c>
      <c r="Q199" s="2" t="str">
        <f>IF(DB_Artworks_Export!N199="","",DB_Artworks_Export!N199)</f>
        <v/>
      </c>
      <c r="R199" s="2" t="str">
        <f>IF($D199="","",IF(COUNTIF(DB_Categories_Export!$A:$A,$F199)&gt;0,"OK","INVALID CATEGORY"))</f>
        <v/>
      </c>
      <c r="S199" s="2" t="str">
        <f>IF($D199="","",COUNTIF(DB_Artwork_Sizes_Export!$B:$B,$D199))</f>
        <v/>
      </c>
      <c r="T199" s="2" t="str">
        <f>IF($D199="","",IFERROR(INDEX(DB_Artwork_Sizes_Export!$D:$D,MATCH($D199,DB_Artwork_Sizes_Export!$B:$B,0)),""))</f>
        <v/>
      </c>
      <c r="U199" s="2" t="str">
        <f>IF($D199="","",IFERROR(INDEX(DB_Artwork_Sizes_Export!$E:$E,MATCH($D199,DB_Artwork_Sizes_Export!$B:$B,0)),""))</f>
        <v/>
      </c>
      <c r="V199" s="2" t="str">
        <f>IF($D199="","",IFERROR(INDEX(DB_Artwork_Sizes_Export!$F:$F,MATCH($D199,DB_Artwork_Sizes_Export!$B:$B,0)),""))</f>
        <v/>
      </c>
      <c r="W199" s="2" t="str">
        <f t="shared" si="32"/>
        <v/>
      </c>
      <c r="X199" s="2"/>
      <c r="Y199" s="2"/>
      <c r="Z199" s="2"/>
      <c r="AA199" s="2"/>
      <c r="AB199" s="2"/>
      <c r="AC199" s="2"/>
      <c r="AD199" s="2"/>
      <c r="AE199" s="2"/>
      <c r="AF199" s="2" t="str">
        <f t="shared" si="33"/>
        <v/>
      </c>
      <c r="AG199" s="2" t="str">
        <f t="shared" si="34"/>
        <v/>
      </c>
      <c r="AH199" s="2" t="str">
        <f>IF($AG199="","",IFERROR(VLOOKUP($AG199,DB_Categories_Export!$A:$B,2,FALSE()),"INVALID CATEGORY"))</f>
        <v/>
      </c>
      <c r="AI199" s="2" t="str">
        <f t="shared" si="35"/>
        <v/>
      </c>
      <c r="AJ199" s="2" t="str">
        <f t="shared" si="36"/>
        <v/>
      </c>
      <c r="AK199" s="2" t="str">
        <f t="shared" si="37"/>
        <v/>
      </c>
      <c r="AL199" s="2" t="str">
        <f t="shared" si="38"/>
        <v/>
      </c>
      <c r="AM199" s="2" t="str">
        <f t="shared" si="39"/>
        <v/>
      </c>
      <c r="AN199" s="2"/>
      <c r="AO199" s="2"/>
    </row>
    <row r="200" spans="1:41" ht="12" customHeight="1" x14ac:dyDescent="0.3">
      <c r="A200" s="2"/>
      <c r="B200" s="2" t="str">
        <f t="shared" si="30"/>
        <v/>
      </c>
      <c r="C200" s="2" t="str">
        <f t="shared" si="31"/>
        <v/>
      </c>
      <c r="D200" s="2" t="str">
        <f>IF(DB_Artworks_Export!A200="","",DB_Artworks_Export!A200)</f>
        <v/>
      </c>
      <c r="E200" s="2" t="str">
        <f>IF(DB_Artworks_Export!B200="","",DB_Artworks_Export!B200)</f>
        <v/>
      </c>
      <c r="F200" s="2" t="str">
        <f>IF(DB_Artworks_Export!C200="","",DB_Artworks_Export!C200)</f>
        <v/>
      </c>
      <c r="G200" s="2" t="str">
        <f>IF(DB_Artworks_Export!D200="","",DB_Artworks_Export!D200)</f>
        <v/>
      </c>
      <c r="H200" s="2" t="str">
        <f>IF(DB_Artworks_Export!E200="","",DB_Artworks_Export!E200)</f>
        <v/>
      </c>
      <c r="I200" s="2" t="str">
        <f>IF(DB_Artworks_Export!F200="","",DB_Artworks_Export!F200)</f>
        <v/>
      </c>
      <c r="J200" s="2" t="str">
        <f>IF(DB_Artworks_Export!G200="","",DB_Artworks_Export!G200)</f>
        <v/>
      </c>
      <c r="K200" s="2" t="str">
        <f>IF(DB_Artworks_Export!H200="","",DB_Artworks_Export!H200)</f>
        <v/>
      </c>
      <c r="L200" s="2" t="str">
        <f>IF(DB_Artworks_Export!I200="","",DB_Artworks_Export!I200)</f>
        <v/>
      </c>
      <c r="M200" s="2" t="str">
        <f>IF(DB_Artworks_Export!J200="","",DB_Artworks_Export!J200)</f>
        <v/>
      </c>
      <c r="N200" s="2" t="str">
        <f>IF(DB_Artworks_Export!K200="","",DB_Artworks_Export!K200)</f>
        <v/>
      </c>
      <c r="O200" s="2" t="str">
        <f>IF(DB_Artworks_Export!L200="","",DB_Artworks_Export!L200)</f>
        <v/>
      </c>
      <c r="P200" s="2" t="str">
        <f>IF(DB_Artworks_Export!M200="","",DB_Artworks_Export!M200)</f>
        <v/>
      </c>
      <c r="Q200" s="2" t="str">
        <f>IF(DB_Artworks_Export!N200="","",DB_Artworks_Export!N200)</f>
        <v/>
      </c>
      <c r="R200" s="2" t="str">
        <f>IF($D200="","",IF(COUNTIF(DB_Categories_Export!$A:$A,$F200)&gt;0,"OK","INVALID CATEGORY"))</f>
        <v/>
      </c>
      <c r="S200" s="2" t="str">
        <f>IF($D200="","",COUNTIF(DB_Artwork_Sizes_Export!$B:$B,$D200))</f>
        <v/>
      </c>
      <c r="T200" s="2" t="str">
        <f>IF($D200="","",IFERROR(INDEX(DB_Artwork_Sizes_Export!$D:$D,MATCH($D200,DB_Artwork_Sizes_Export!$B:$B,0)),""))</f>
        <v/>
      </c>
      <c r="U200" s="2" t="str">
        <f>IF($D200="","",IFERROR(INDEX(DB_Artwork_Sizes_Export!$E:$E,MATCH($D200,DB_Artwork_Sizes_Export!$B:$B,0)),""))</f>
        <v/>
      </c>
      <c r="V200" s="2" t="str">
        <f>IF($D200="","",IFERROR(INDEX(DB_Artwork_Sizes_Export!$F:$F,MATCH($D200,DB_Artwork_Sizes_Export!$B:$B,0)),""))</f>
        <v/>
      </c>
      <c r="W200" s="2" t="str">
        <f t="shared" si="32"/>
        <v/>
      </c>
      <c r="X200" s="2"/>
      <c r="Y200" s="2"/>
      <c r="Z200" s="2"/>
      <c r="AA200" s="2"/>
      <c r="AB200" s="2"/>
      <c r="AC200" s="2"/>
      <c r="AD200" s="2"/>
      <c r="AE200" s="2"/>
      <c r="AF200" s="2" t="str">
        <f t="shared" si="33"/>
        <v/>
      </c>
      <c r="AG200" s="2" t="str">
        <f t="shared" si="34"/>
        <v/>
      </c>
      <c r="AH200" s="2" t="str">
        <f>IF($AG200="","",IFERROR(VLOOKUP($AG200,DB_Categories_Export!$A:$B,2,FALSE()),"INVALID CATEGORY"))</f>
        <v/>
      </c>
      <c r="AI200" s="2" t="str">
        <f t="shared" si="35"/>
        <v/>
      </c>
      <c r="AJ200" s="2" t="str">
        <f t="shared" si="36"/>
        <v/>
      </c>
      <c r="AK200" s="2" t="str">
        <f t="shared" si="37"/>
        <v/>
      </c>
      <c r="AL200" s="2" t="str">
        <f t="shared" si="38"/>
        <v/>
      </c>
      <c r="AM200" s="2" t="str">
        <f t="shared" si="39"/>
        <v/>
      </c>
      <c r="AN200" s="2"/>
      <c r="AO200" s="2"/>
    </row>
    <row r="201" spans="1:41" ht="12" customHeight="1" x14ac:dyDescent="0.3">
      <c r="A201" s="2"/>
      <c r="B201" s="2" t="str">
        <f t="shared" si="30"/>
        <v/>
      </c>
      <c r="C201" s="2" t="str">
        <f t="shared" si="31"/>
        <v/>
      </c>
      <c r="D201" s="2" t="str">
        <f>IF(DB_Artworks_Export!A201="","",DB_Artworks_Export!A201)</f>
        <v/>
      </c>
      <c r="E201" s="2" t="str">
        <f>IF(DB_Artworks_Export!B201="","",DB_Artworks_Export!B201)</f>
        <v/>
      </c>
      <c r="F201" s="2" t="str">
        <f>IF(DB_Artworks_Export!C201="","",DB_Artworks_Export!C201)</f>
        <v/>
      </c>
      <c r="G201" s="2" t="str">
        <f>IF(DB_Artworks_Export!D201="","",DB_Artworks_Export!D201)</f>
        <v/>
      </c>
      <c r="H201" s="2" t="str">
        <f>IF(DB_Artworks_Export!E201="","",DB_Artworks_Export!E201)</f>
        <v/>
      </c>
      <c r="I201" s="2" t="str">
        <f>IF(DB_Artworks_Export!F201="","",DB_Artworks_Export!F201)</f>
        <v/>
      </c>
      <c r="J201" s="2" t="str">
        <f>IF(DB_Artworks_Export!G201="","",DB_Artworks_Export!G201)</f>
        <v/>
      </c>
      <c r="K201" s="2" t="str">
        <f>IF(DB_Artworks_Export!H201="","",DB_Artworks_Export!H201)</f>
        <v/>
      </c>
      <c r="L201" s="2" t="str">
        <f>IF(DB_Artworks_Export!I201="","",DB_Artworks_Export!I201)</f>
        <v/>
      </c>
      <c r="M201" s="2" t="str">
        <f>IF(DB_Artworks_Export!J201="","",DB_Artworks_Export!J201)</f>
        <v/>
      </c>
      <c r="N201" s="2" t="str">
        <f>IF(DB_Artworks_Export!K201="","",DB_Artworks_Export!K201)</f>
        <v/>
      </c>
      <c r="O201" s="2" t="str">
        <f>IF(DB_Artworks_Export!L201="","",DB_Artworks_Export!L201)</f>
        <v/>
      </c>
      <c r="P201" s="2" t="str">
        <f>IF(DB_Artworks_Export!M201="","",DB_Artworks_Export!M201)</f>
        <v/>
      </c>
      <c r="Q201" s="2" t="str">
        <f>IF(DB_Artworks_Export!N201="","",DB_Artworks_Export!N201)</f>
        <v/>
      </c>
      <c r="R201" s="2" t="str">
        <f>IF($D201="","",IF(COUNTIF(DB_Categories_Export!$A:$A,$F201)&gt;0,"OK","INVALID CATEGORY"))</f>
        <v/>
      </c>
      <c r="S201" s="2" t="str">
        <f>IF($D201="","",COUNTIF(DB_Artwork_Sizes_Export!$B:$B,$D201))</f>
        <v/>
      </c>
      <c r="T201" s="2" t="str">
        <f>IF($D201="","",IFERROR(INDEX(DB_Artwork_Sizes_Export!$D:$D,MATCH($D201,DB_Artwork_Sizes_Export!$B:$B,0)),""))</f>
        <v/>
      </c>
      <c r="U201" s="2" t="str">
        <f>IF($D201="","",IFERROR(INDEX(DB_Artwork_Sizes_Export!$E:$E,MATCH($D201,DB_Artwork_Sizes_Export!$B:$B,0)),""))</f>
        <v/>
      </c>
      <c r="V201" s="2" t="str">
        <f>IF($D201="","",IFERROR(INDEX(DB_Artwork_Sizes_Export!$F:$F,MATCH($D201,DB_Artwork_Sizes_Export!$B:$B,0)),""))</f>
        <v/>
      </c>
      <c r="W201" s="2" t="str">
        <f t="shared" si="32"/>
        <v/>
      </c>
      <c r="X201" s="2"/>
      <c r="Y201" s="2"/>
      <c r="Z201" s="2"/>
      <c r="AA201" s="2"/>
      <c r="AB201" s="2"/>
      <c r="AC201" s="2"/>
      <c r="AD201" s="2"/>
      <c r="AE201" s="2"/>
      <c r="AF201" s="2" t="str">
        <f t="shared" si="33"/>
        <v/>
      </c>
      <c r="AG201" s="2" t="str">
        <f t="shared" si="34"/>
        <v/>
      </c>
      <c r="AH201" s="2" t="str">
        <f>IF($AG201="","",IFERROR(VLOOKUP($AG201,DB_Categories_Export!$A:$B,2,FALSE()),"INVALID CATEGORY"))</f>
        <v/>
      </c>
      <c r="AI201" s="2" t="str">
        <f t="shared" si="35"/>
        <v/>
      </c>
      <c r="AJ201" s="2" t="str">
        <f t="shared" si="36"/>
        <v/>
      </c>
      <c r="AK201" s="2" t="str">
        <f t="shared" si="37"/>
        <v/>
      </c>
      <c r="AL201" s="2" t="str">
        <f t="shared" si="38"/>
        <v/>
      </c>
      <c r="AM201" s="2" t="str">
        <f t="shared" si="39"/>
        <v/>
      </c>
      <c r="AN201" s="2"/>
      <c r="AO201" s="2"/>
    </row>
    <row r="202" spans="1:41" ht="12" customHeight="1" x14ac:dyDescent="0.3">
      <c r="A202" s="2"/>
      <c r="B202" s="2" t="str">
        <f t="shared" si="30"/>
        <v/>
      </c>
      <c r="C202" s="2" t="str">
        <f t="shared" si="31"/>
        <v/>
      </c>
      <c r="D202" s="2" t="str">
        <f>IF(DB_Artworks_Export!A202="","",DB_Artworks_Export!A202)</f>
        <v/>
      </c>
      <c r="E202" s="2" t="str">
        <f>IF(DB_Artworks_Export!B202="","",DB_Artworks_Export!B202)</f>
        <v/>
      </c>
      <c r="F202" s="2" t="str">
        <f>IF(DB_Artworks_Export!C202="","",DB_Artworks_Export!C202)</f>
        <v/>
      </c>
      <c r="G202" s="2" t="str">
        <f>IF(DB_Artworks_Export!D202="","",DB_Artworks_Export!D202)</f>
        <v/>
      </c>
      <c r="H202" s="2" t="str">
        <f>IF(DB_Artworks_Export!E202="","",DB_Artworks_Export!E202)</f>
        <v/>
      </c>
      <c r="I202" s="2" t="str">
        <f>IF(DB_Artworks_Export!F202="","",DB_Artworks_Export!F202)</f>
        <v/>
      </c>
      <c r="J202" s="2" t="str">
        <f>IF(DB_Artworks_Export!G202="","",DB_Artworks_Export!G202)</f>
        <v/>
      </c>
      <c r="K202" s="2" t="str">
        <f>IF(DB_Artworks_Export!H202="","",DB_Artworks_Export!H202)</f>
        <v/>
      </c>
      <c r="L202" s="2" t="str">
        <f>IF(DB_Artworks_Export!I202="","",DB_Artworks_Export!I202)</f>
        <v/>
      </c>
      <c r="M202" s="2" t="str">
        <f>IF(DB_Artworks_Export!J202="","",DB_Artworks_Export!J202)</f>
        <v/>
      </c>
      <c r="N202" s="2" t="str">
        <f>IF(DB_Artworks_Export!K202="","",DB_Artworks_Export!K202)</f>
        <v/>
      </c>
      <c r="O202" s="2" t="str">
        <f>IF(DB_Artworks_Export!L202="","",DB_Artworks_Export!L202)</f>
        <v/>
      </c>
      <c r="P202" s="2" t="str">
        <f>IF(DB_Artworks_Export!M202="","",DB_Artworks_Export!M202)</f>
        <v/>
      </c>
      <c r="Q202" s="2" t="str">
        <f>IF(DB_Artworks_Export!N202="","",DB_Artworks_Export!N202)</f>
        <v/>
      </c>
      <c r="R202" s="2" t="str">
        <f>IF($D202="","",IF(COUNTIF(DB_Categories_Export!$A:$A,$F202)&gt;0,"OK","INVALID CATEGORY"))</f>
        <v/>
      </c>
      <c r="S202" s="2" t="str">
        <f>IF($D202="","",COUNTIF(DB_Artwork_Sizes_Export!$B:$B,$D202))</f>
        <v/>
      </c>
      <c r="T202" s="2" t="str">
        <f>IF($D202="","",IFERROR(INDEX(DB_Artwork_Sizes_Export!$D:$D,MATCH($D202,DB_Artwork_Sizes_Export!$B:$B,0)),""))</f>
        <v/>
      </c>
      <c r="U202" s="2" t="str">
        <f>IF($D202="","",IFERROR(INDEX(DB_Artwork_Sizes_Export!$E:$E,MATCH($D202,DB_Artwork_Sizes_Export!$B:$B,0)),""))</f>
        <v/>
      </c>
      <c r="V202" s="2" t="str">
        <f>IF($D202="","",IFERROR(INDEX(DB_Artwork_Sizes_Export!$F:$F,MATCH($D202,DB_Artwork_Sizes_Export!$B:$B,0)),""))</f>
        <v/>
      </c>
      <c r="W202" s="2" t="str">
        <f t="shared" si="32"/>
        <v/>
      </c>
      <c r="X202" s="2"/>
      <c r="Y202" s="2"/>
      <c r="Z202" s="2"/>
      <c r="AA202" s="2"/>
      <c r="AB202" s="2"/>
      <c r="AC202" s="2"/>
      <c r="AD202" s="2"/>
      <c r="AE202" s="2"/>
      <c r="AF202" s="2" t="str">
        <f t="shared" si="33"/>
        <v/>
      </c>
      <c r="AG202" s="2" t="str">
        <f t="shared" si="34"/>
        <v/>
      </c>
      <c r="AH202" s="2" t="str">
        <f>IF($AG202="","",IFERROR(VLOOKUP($AG202,DB_Categories_Export!$A:$B,2,FALSE()),"INVALID CATEGORY"))</f>
        <v/>
      </c>
      <c r="AI202" s="2" t="str">
        <f t="shared" si="35"/>
        <v/>
      </c>
      <c r="AJ202" s="2" t="str">
        <f t="shared" si="36"/>
        <v/>
      </c>
      <c r="AK202" s="2" t="str">
        <f t="shared" si="37"/>
        <v/>
      </c>
      <c r="AL202" s="2" t="str">
        <f t="shared" si="38"/>
        <v/>
      </c>
      <c r="AM202" s="2" t="str">
        <f t="shared" si="39"/>
        <v/>
      </c>
      <c r="AN202" s="2"/>
      <c r="AO202" s="2"/>
    </row>
    <row r="203" spans="1:41" ht="12" customHeight="1" x14ac:dyDescent="0.3">
      <c r="A203" s="2"/>
      <c r="B203" s="2" t="str">
        <f t="shared" si="30"/>
        <v/>
      </c>
      <c r="C203" s="2" t="str">
        <f t="shared" si="31"/>
        <v/>
      </c>
      <c r="D203" s="2" t="str">
        <f>IF(DB_Artworks_Export!A203="","",DB_Artworks_Export!A203)</f>
        <v/>
      </c>
      <c r="E203" s="2" t="str">
        <f>IF(DB_Artworks_Export!B203="","",DB_Artworks_Export!B203)</f>
        <v/>
      </c>
      <c r="F203" s="2" t="str">
        <f>IF(DB_Artworks_Export!C203="","",DB_Artworks_Export!C203)</f>
        <v/>
      </c>
      <c r="G203" s="2" t="str">
        <f>IF(DB_Artworks_Export!D203="","",DB_Artworks_Export!D203)</f>
        <v/>
      </c>
      <c r="H203" s="2" t="str">
        <f>IF(DB_Artworks_Export!E203="","",DB_Artworks_Export!E203)</f>
        <v/>
      </c>
      <c r="I203" s="2" t="str">
        <f>IF(DB_Artworks_Export!F203="","",DB_Artworks_Export!F203)</f>
        <v/>
      </c>
      <c r="J203" s="2" t="str">
        <f>IF(DB_Artworks_Export!G203="","",DB_Artworks_Export!G203)</f>
        <v/>
      </c>
      <c r="K203" s="2" t="str">
        <f>IF(DB_Artworks_Export!H203="","",DB_Artworks_Export!H203)</f>
        <v/>
      </c>
      <c r="L203" s="2" t="str">
        <f>IF(DB_Artworks_Export!I203="","",DB_Artworks_Export!I203)</f>
        <v/>
      </c>
      <c r="M203" s="2" t="str">
        <f>IF(DB_Artworks_Export!J203="","",DB_Artworks_Export!J203)</f>
        <v/>
      </c>
      <c r="N203" s="2" t="str">
        <f>IF(DB_Artworks_Export!K203="","",DB_Artworks_Export!K203)</f>
        <v/>
      </c>
      <c r="O203" s="2" t="str">
        <f>IF(DB_Artworks_Export!L203="","",DB_Artworks_Export!L203)</f>
        <v/>
      </c>
      <c r="P203" s="2" t="str">
        <f>IF(DB_Artworks_Export!M203="","",DB_Artworks_Export!M203)</f>
        <v/>
      </c>
      <c r="Q203" s="2" t="str">
        <f>IF(DB_Artworks_Export!N203="","",DB_Artworks_Export!N203)</f>
        <v/>
      </c>
      <c r="R203" s="2" t="str">
        <f>IF($D203="","",IF(COUNTIF(DB_Categories_Export!$A:$A,$F203)&gt;0,"OK","INVALID CATEGORY"))</f>
        <v/>
      </c>
      <c r="S203" s="2" t="str">
        <f>IF($D203="","",COUNTIF(DB_Artwork_Sizes_Export!$B:$B,$D203))</f>
        <v/>
      </c>
      <c r="T203" s="2" t="str">
        <f>IF($D203="","",IFERROR(INDEX(DB_Artwork_Sizes_Export!$D:$D,MATCH($D203,DB_Artwork_Sizes_Export!$B:$B,0)),""))</f>
        <v/>
      </c>
      <c r="U203" s="2" t="str">
        <f>IF($D203="","",IFERROR(INDEX(DB_Artwork_Sizes_Export!$E:$E,MATCH($D203,DB_Artwork_Sizes_Export!$B:$B,0)),""))</f>
        <v/>
      </c>
      <c r="V203" s="2" t="str">
        <f>IF($D203="","",IFERROR(INDEX(DB_Artwork_Sizes_Export!$F:$F,MATCH($D203,DB_Artwork_Sizes_Export!$B:$B,0)),""))</f>
        <v/>
      </c>
      <c r="W203" s="2" t="str">
        <f t="shared" si="32"/>
        <v/>
      </c>
      <c r="X203" s="2"/>
      <c r="Y203" s="2"/>
      <c r="Z203" s="2"/>
      <c r="AA203" s="2"/>
      <c r="AB203" s="2"/>
      <c r="AC203" s="2"/>
      <c r="AD203" s="2"/>
      <c r="AE203" s="2"/>
      <c r="AF203" s="2" t="str">
        <f t="shared" si="33"/>
        <v/>
      </c>
      <c r="AG203" s="2" t="str">
        <f t="shared" si="34"/>
        <v/>
      </c>
      <c r="AH203" s="2" t="str">
        <f>IF($AG203="","",IFERROR(VLOOKUP($AG203,DB_Categories_Export!$A:$B,2,FALSE()),"INVALID CATEGORY"))</f>
        <v/>
      </c>
      <c r="AI203" s="2" t="str">
        <f t="shared" si="35"/>
        <v/>
      </c>
      <c r="AJ203" s="2" t="str">
        <f t="shared" si="36"/>
        <v/>
      </c>
      <c r="AK203" s="2" t="str">
        <f t="shared" si="37"/>
        <v/>
      </c>
      <c r="AL203" s="2" t="str">
        <f t="shared" si="38"/>
        <v/>
      </c>
      <c r="AM203" s="2" t="str">
        <f t="shared" si="39"/>
        <v/>
      </c>
      <c r="AN203" s="2"/>
      <c r="AO203" s="2"/>
    </row>
    <row r="204" spans="1:41" ht="12" customHeight="1" x14ac:dyDescent="0.3">
      <c r="A204" s="2"/>
      <c r="B204" s="2" t="str">
        <f t="shared" si="30"/>
        <v/>
      </c>
      <c r="C204" s="2" t="str">
        <f t="shared" si="31"/>
        <v/>
      </c>
      <c r="D204" s="2" t="str">
        <f>IF(DB_Artworks_Export!A204="","",DB_Artworks_Export!A204)</f>
        <v/>
      </c>
      <c r="E204" s="2" t="str">
        <f>IF(DB_Artworks_Export!B204="","",DB_Artworks_Export!B204)</f>
        <v/>
      </c>
      <c r="F204" s="2" t="str">
        <f>IF(DB_Artworks_Export!C204="","",DB_Artworks_Export!C204)</f>
        <v/>
      </c>
      <c r="G204" s="2" t="str">
        <f>IF(DB_Artworks_Export!D204="","",DB_Artworks_Export!D204)</f>
        <v/>
      </c>
      <c r="H204" s="2" t="str">
        <f>IF(DB_Artworks_Export!E204="","",DB_Artworks_Export!E204)</f>
        <v/>
      </c>
      <c r="I204" s="2" t="str">
        <f>IF(DB_Artworks_Export!F204="","",DB_Artworks_Export!F204)</f>
        <v/>
      </c>
      <c r="J204" s="2" t="str">
        <f>IF(DB_Artworks_Export!G204="","",DB_Artworks_Export!G204)</f>
        <v/>
      </c>
      <c r="K204" s="2" t="str">
        <f>IF(DB_Artworks_Export!H204="","",DB_Artworks_Export!H204)</f>
        <v/>
      </c>
      <c r="L204" s="2" t="str">
        <f>IF(DB_Artworks_Export!I204="","",DB_Artworks_Export!I204)</f>
        <v/>
      </c>
      <c r="M204" s="2" t="str">
        <f>IF(DB_Artworks_Export!J204="","",DB_Artworks_Export!J204)</f>
        <v/>
      </c>
      <c r="N204" s="2" t="str">
        <f>IF(DB_Artworks_Export!K204="","",DB_Artworks_Export!K204)</f>
        <v/>
      </c>
      <c r="O204" s="2" t="str">
        <f>IF(DB_Artworks_Export!L204="","",DB_Artworks_Export!L204)</f>
        <v/>
      </c>
      <c r="P204" s="2" t="str">
        <f>IF(DB_Artworks_Export!M204="","",DB_Artworks_Export!M204)</f>
        <v/>
      </c>
      <c r="Q204" s="2" t="str">
        <f>IF(DB_Artworks_Export!N204="","",DB_Artworks_Export!N204)</f>
        <v/>
      </c>
      <c r="R204" s="2" t="str">
        <f>IF($D204="","",IF(COUNTIF(DB_Categories_Export!$A:$A,$F204)&gt;0,"OK","INVALID CATEGORY"))</f>
        <v/>
      </c>
      <c r="S204" s="2" t="str">
        <f>IF($D204="","",COUNTIF(DB_Artwork_Sizes_Export!$B:$B,$D204))</f>
        <v/>
      </c>
      <c r="T204" s="2" t="str">
        <f>IF($D204="","",IFERROR(INDEX(DB_Artwork_Sizes_Export!$D:$D,MATCH($D204,DB_Artwork_Sizes_Export!$B:$B,0)),""))</f>
        <v/>
      </c>
      <c r="U204" s="2" t="str">
        <f>IF($D204="","",IFERROR(INDEX(DB_Artwork_Sizes_Export!$E:$E,MATCH($D204,DB_Artwork_Sizes_Export!$B:$B,0)),""))</f>
        <v/>
      </c>
      <c r="V204" s="2" t="str">
        <f>IF($D204="","",IFERROR(INDEX(DB_Artwork_Sizes_Export!$F:$F,MATCH($D204,DB_Artwork_Sizes_Export!$B:$B,0)),""))</f>
        <v/>
      </c>
      <c r="W204" s="2" t="str">
        <f t="shared" si="32"/>
        <v/>
      </c>
      <c r="X204" s="2"/>
      <c r="Y204" s="2"/>
      <c r="Z204" s="2"/>
      <c r="AA204" s="2"/>
      <c r="AB204" s="2"/>
      <c r="AC204" s="2"/>
      <c r="AD204" s="2"/>
      <c r="AE204" s="2"/>
      <c r="AF204" s="2" t="str">
        <f t="shared" si="33"/>
        <v/>
      </c>
      <c r="AG204" s="2" t="str">
        <f t="shared" si="34"/>
        <v/>
      </c>
      <c r="AH204" s="2" t="str">
        <f>IF($AG204="","",IFERROR(VLOOKUP($AG204,DB_Categories_Export!$A:$B,2,FALSE()),"INVALID CATEGORY"))</f>
        <v/>
      </c>
      <c r="AI204" s="2" t="str">
        <f t="shared" si="35"/>
        <v/>
      </c>
      <c r="AJ204" s="2" t="str">
        <f t="shared" si="36"/>
        <v/>
      </c>
      <c r="AK204" s="2" t="str">
        <f t="shared" si="37"/>
        <v/>
      </c>
      <c r="AL204" s="2" t="str">
        <f t="shared" si="38"/>
        <v/>
      </c>
      <c r="AM204" s="2" t="str">
        <f t="shared" si="39"/>
        <v/>
      </c>
      <c r="AN204" s="2"/>
      <c r="AO204" s="2"/>
    </row>
    <row r="205" spans="1:41" ht="12" customHeight="1" x14ac:dyDescent="0.3">
      <c r="A205" s="2"/>
      <c r="B205" s="2" t="str">
        <f t="shared" si="30"/>
        <v/>
      </c>
      <c r="C205" s="2" t="str">
        <f t="shared" si="31"/>
        <v/>
      </c>
      <c r="D205" s="2" t="str">
        <f>IF(DB_Artworks_Export!A205="","",DB_Artworks_Export!A205)</f>
        <v/>
      </c>
      <c r="E205" s="2" t="str">
        <f>IF(DB_Artworks_Export!B205="","",DB_Artworks_Export!B205)</f>
        <v/>
      </c>
      <c r="F205" s="2" t="str">
        <f>IF(DB_Artworks_Export!C205="","",DB_Artworks_Export!C205)</f>
        <v/>
      </c>
      <c r="G205" s="2" t="str">
        <f>IF(DB_Artworks_Export!D205="","",DB_Artworks_Export!D205)</f>
        <v/>
      </c>
      <c r="H205" s="2" t="str">
        <f>IF(DB_Artworks_Export!E205="","",DB_Artworks_Export!E205)</f>
        <v/>
      </c>
      <c r="I205" s="2" t="str">
        <f>IF(DB_Artworks_Export!F205="","",DB_Artworks_Export!F205)</f>
        <v/>
      </c>
      <c r="J205" s="2" t="str">
        <f>IF(DB_Artworks_Export!G205="","",DB_Artworks_Export!G205)</f>
        <v/>
      </c>
      <c r="K205" s="2" t="str">
        <f>IF(DB_Artworks_Export!H205="","",DB_Artworks_Export!H205)</f>
        <v/>
      </c>
      <c r="L205" s="2" t="str">
        <f>IF(DB_Artworks_Export!I205="","",DB_Artworks_Export!I205)</f>
        <v/>
      </c>
      <c r="M205" s="2" t="str">
        <f>IF(DB_Artworks_Export!J205="","",DB_Artworks_Export!J205)</f>
        <v/>
      </c>
      <c r="N205" s="2" t="str">
        <f>IF(DB_Artworks_Export!K205="","",DB_Artworks_Export!K205)</f>
        <v/>
      </c>
      <c r="O205" s="2" t="str">
        <f>IF(DB_Artworks_Export!L205="","",DB_Artworks_Export!L205)</f>
        <v/>
      </c>
      <c r="P205" s="2" t="str">
        <f>IF(DB_Artworks_Export!M205="","",DB_Artworks_Export!M205)</f>
        <v/>
      </c>
      <c r="Q205" s="2" t="str">
        <f>IF(DB_Artworks_Export!N205="","",DB_Artworks_Export!N205)</f>
        <v/>
      </c>
      <c r="R205" s="2" t="str">
        <f>IF($D205="","",IF(COUNTIF(DB_Categories_Export!$A:$A,$F205)&gt;0,"OK","INVALID CATEGORY"))</f>
        <v/>
      </c>
      <c r="S205" s="2" t="str">
        <f>IF($D205="","",COUNTIF(DB_Artwork_Sizes_Export!$B:$B,$D205))</f>
        <v/>
      </c>
      <c r="T205" s="2" t="str">
        <f>IF($D205="","",IFERROR(INDEX(DB_Artwork_Sizes_Export!$D:$D,MATCH($D205,DB_Artwork_Sizes_Export!$B:$B,0)),""))</f>
        <v/>
      </c>
      <c r="U205" s="2" t="str">
        <f>IF($D205="","",IFERROR(INDEX(DB_Artwork_Sizes_Export!$E:$E,MATCH($D205,DB_Artwork_Sizes_Export!$B:$B,0)),""))</f>
        <v/>
      </c>
      <c r="V205" s="2" t="str">
        <f>IF($D205="","",IFERROR(INDEX(DB_Artwork_Sizes_Export!$F:$F,MATCH($D205,DB_Artwork_Sizes_Export!$B:$B,0)),""))</f>
        <v/>
      </c>
      <c r="W205" s="2" t="str">
        <f t="shared" si="32"/>
        <v/>
      </c>
      <c r="X205" s="2"/>
      <c r="Y205" s="2"/>
      <c r="Z205" s="2"/>
      <c r="AA205" s="2"/>
      <c r="AB205" s="2"/>
      <c r="AC205" s="2"/>
      <c r="AD205" s="2"/>
      <c r="AE205" s="2"/>
      <c r="AF205" s="2" t="str">
        <f t="shared" si="33"/>
        <v/>
      </c>
      <c r="AG205" s="2" t="str">
        <f t="shared" si="34"/>
        <v/>
      </c>
      <c r="AH205" s="2" t="str">
        <f>IF($AG205="","",IFERROR(VLOOKUP($AG205,DB_Categories_Export!$A:$B,2,FALSE()),"INVALID CATEGORY"))</f>
        <v/>
      </c>
      <c r="AI205" s="2" t="str">
        <f t="shared" si="35"/>
        <v/>
      </c>
      <c r="AJ205" s="2" t="str">
        <f t="shared" si="36"/>
        <v/>
      </c>
      <c r="AK205" s="2" t="str">
        <f t="shared" si="37"/>
        <v/>
      </c>
      <c r="AL205" s="2" t="str">
        <f t="shared" si="38"/>
        <v/>
      </c>
      <c r="AM205" s="2" t="str">
        <f t="shared" si="39"/>
        <v/>
      </c>
      <c r="AN205" s="2"/>
      <c r="AO205" s="2"/>
    </row>
    <row r="206" spans="1:41" ht="12" customHeight="1" x14ac:dyDescent="0.3">
      <c r="A206" s="2"/>
      <c r="B206" s="2" t="str">
        <f t="shared" si="30"/>
        <v/>
      </c>
      <c r="C206" s="2" t="str">
        <f t="shared" si="31"/>
        <v/>
      </c>
      <c r="D206" s="2" t="str">
        <f>IF(DB_Artworks_Export!A206="","",DB_Artworks_Export!A206)</f>
        <v/>
      </c>
      <c r="E206" s="2" t="str">
        <f>IF(DB_Artworks_Export!B206="","",DB_Artworks_Export!B206)</f>
        <v/>
      </c>
      <c r="F206" s="2" t="str">
        <f>IF(DB_Artworks_Export!C206="","",DB_Artworks_Export!C206)</f>
        <v/>
      </c>
      <c r="G206" s="2" t="str">
        <f>IF(DB_Artworks_Export!D206="","",DB_Artworks_Export!D206)</f>
        <v/>
      </c>
      <c r="H206" s="2" t="str">
        <f>IF(DB_Artworks_Export!E206="","",DB_Artworks_Export!E206)</f>
        <v/>
      </c>
      <c r="I206" s="2" t="str">
        <f>IF(DB_Artworks_Export!F206="","",DB_Artworks_Export!F206)</f>
        <v/>
      </c>
      <c r="J206" s="2" t="str">
        <f>IF(DB_Artworks_Export!G206="","",DB_Artworks_Export!G206)</f>
        <v/>
      </c>
      <c r="K206" s="2" t="str">
        <f>IF(DB_Artworks_Export!H206="","",DB_Artworks_Export!H206)</f>
        <v/>
      </c>
      <c r="L206" s="2" t="str">
        <f>IF(DB_Artworks_Export!I206="","",DB_Artworks_Export!I206)</f>
        <v/>
      </c>
      <c r="M206" s="2" t="str">
        <f>IF(DB_Artworks_Export!J206="","",DB_Artworks_Export!J206)</f>
        <v/>
      </c>
      <c r="N206" s="2" t="str">
        <f>IF(DB_Artworks_Export!K206="","",DB_Artworks_Export!K206)</f>
        <v/>
      </c>
      <c r="O206" s="2" t="str">
        <f>IF(DB_Artworks_Export!L206="","",DB_Artworks_Export!L206)</f>
        <v/>
      </c>
      <c r="P206" s="2" t="str">
        <f>IF(DB_Artworks_Export!M206="","",DB_Artworks_Export!M206)</f>
        <v/>
      </c>
      <c r="Q206" s="2" t="str">
        <f>IF(DB_Artworks_Export!N206="","",DB_Artworks_Export!N206)</f>
        <v/>
      </c>
      <c r="R206" s="2" t="str">
        <f>IF($D206="","",IF(COUNTIF(DB_Categories_Export!$A:$A,$F206)&gt;0,"OK","INVALID CATEGORY"))</f>
        <v/>
      </c>
      <c r="S206" s="2" t="str">
        <f>IF($D206="","",COUNTIF(DB_Artwork_Sizes_Export!$B:$B,$D206))</f>
        <v/>
      </c>
      <c r="T206" s="2" t="str">
        <f>IF($D206="","",IFERROR(INDEX(DB_Artwork_Sizes_Export!$D:$D,MATCH($D206,DB_Artwork_Sizes_Export!$B:$B,0)),""))</f>
        <v/>
      </c>
      <c r="U206" s="2" t="str">
        <f>IF($D206="","",IFERROR(INDEX(DB_Artwork_Sizes_Export!$E:$E,MATCH($D206,DB_Artwork_Sizes_Export!$B:$B,0)),""))</f>
        <v/>
      </c>
      <c r="V206" s="2" t="str">
        <f>IF($D206="","",IFERROR(INDEX(DB_Artwork_Sizes_Export!$F:$F,MATCH($D206,DB_Artwork_Sizes_Export!$B:$B,0)),""))</f>
        <v/>
      </c>
      <c r="W206" s="2" t="str">
        <f t="shared" si="32"/>
        <v/>
      </c>
      <c r="X206" s="2"/>
      <c r="Y206" s="2"/>
      <c r="Z206" s="2"/>
      <c r="AA206" s="2"/>
      <c r="AB206" s="2"/>
      <c r="AC206" s="2"/>
      <c r="AD206" s="2"/>
      <c r="AE206" s="2"/>
      <c r="AF206" s="2" t="str">
        <f t="shared" si="33"/>
        <v/>
      </c>
      <c r="AG206" s="2" t="str">
        <f t="shared" si="34"/>
        <v/>
      </c>
      <c r="AH206" s="2" t="str">
        <f>IF($AG206="","",IFERROR(VLOOKUP($AG206,DB_Categories_Export!$A:$B,2,FALSE()),"INVALID CATEGORY"))</f>
        <v/>
      </c>
      <c r="AI206" s="2" t="str">
        <f t="shared" si="35"/>
        <v/>
      </c>
      <c r="AJ206" s="2" t="str">
        <f t="shared" si="36"/>
        <v/>
      </c>
      <c r="AK206" s="2" t="str">
        <f t="shared" si="37"/>
        <v/>
      </c>
      <c r="AL206" s="2" t="str">
        <f t="shared" si="38"/>
        <v/>
      </c>
      <c r="AM206" s="2" t="str">
        <f t="shared" si="39"/>
        <v/>
      </c>
      <c r="AN206" s="2"/>
      <c r="AO206" s="2"/>
    </row>
    <row r="207" spans="1:41" ht="12" customHeight="1" x14ac:dyDescent="0.3">
      <c r="A207" s="2"/>
      <c r="B207" s="2" t="str">
        <f t="shared" si="30"/>
        <v/>
      </c>
      <c r="C207" s="2" t="str">
        <f t="shared" si="31"/>
        <v/>
      </c>
      <c r="D207" s="2" t="str">
        <f>IF(DB_Artworks_Export!A207="","",DB_Artworks_Export!A207)</f>
        <v/>
      </c>
      <c r="E207" s="2" t="str">
        <f>IF(DB_Artworks_Export!B207="","",DB_Artworks_Export!B207)</f>
        <v/>
      </c>
      <c r="F207" s="2" t="str">
        <f>IF(DB_Artworks_Export!C207="","",DB_Artworks_Export!C207)</f>
        <v/>
      </c>
      <c r="G207" s="2" t="str">
        <f>IF(DB_Artworks_Export!D207="","",DB_Artworks_Export!D207)</f>
        <v/>
      </c>
      <c r="H207" s="2" t="str">
        <f>IF(DB_Artworks_Export!E207="","",DB_Artworks_Export!E207)</f>
        <v/>
      </c>
      <c r="I207" s="2" t="str">
        <f>IF(DB_Artworks_Export!F207="","",DB_Artworks_Export!F207)</f>
        <v/>
      </c>
      <c r="J207" s="2" t="str">
        <f>IF(DB_Artworks_Export!G207="","",DB_Artworks_Export!G207)</f>
        <v/>
      </c>
      <c r="K207" s="2" t="str">
        <f>IF(DB_Artworks_Export!H207="","",DB_Artworks_Export!H207)</f>
        <v/>
      </c>
      <c r="L207" s="2" t="str">
        <f>IF(DB_Artworks_Export!I207="","",DB_Artworks_Export!I207)</f>
        <v/>
      </c>
      <c r="M207" s="2" t="str">
        <f>IF(DB_Artworks_Export!J207="","",DB_Artworks_Export!J207)</f>
        <v/>
      </c>
      <c r="N207" s="2" t="str">
        <f>IF(DB_Artworks_Export!K207="","",DB_Artworks_Export!K207)</f>
        <v/>
      </c>
      <c r="O207" s="2" t="str">
        <f>IF(DB_Artworks_Export!L207="","",DB_Artworks_Export!L207)</f>
        <v/>
      </c>
      <c r="P207" s="2" t="str">
        <f>IF(DB_Artworks_Export!M207="","",DB_Artworks_Export!M207)</f>
        <v/>
      </c>
      <c r="Q207" s="2" t="str">
        <f>IF(DB_Artworks_Export!N207="","",DB_Artworks_Export!N207)</f>
        <v/>
      </c>
      <c r="R207" s="2" t="str">
        <f>IF($D207="","",IF(COUNTIF(DB_Categories_Export!$A:$A,$F207)&gt;0,"OK","INVALID CATEGORY"))</f>
        <v/>
      </c>
      <c r="S207" s="2" t="str">
        <f>IF($D207="","",COUNTIF(DB_Artwork_Sizes_Export!$B:$B,$D207))</f>
        <v/>
      </c>
      <c r="T207" s="2" t="str">
        <f>IF($D207="","",IFERROR(INDEX(DB_Artwork_Sizes_Export!$D:$D,MATCH($D207,DB_Artwork_Sizes_Export!$B:$B,0)),""))</f>
        <v/>
      </c>
      <c r="U207" s="2" t="str">
        <f>IF($D207="","",IFERROR(INDEX(DB_Artwork_Sizes_Export!$E:$E,MATCH($D207,DB_Artwork_Sizes_Export!$B:$B,0)),""))</f>
        <v/>
      </c>
      <c r="V207" s="2" t="str">
        <f>IF($D207="","",IFERROR(INDEX(DB_Artwork_Sizes_Export!$F:$F,MATCH($D207,DB_Artwork_Sizes_Export!$B:$B,0)),""))</f>
        <v/>
      </c>
      <c r="W207" s="2" t="str">
        <f t="shared" si="32"/>
        <v/>
      </c>
      <c r="X207" s="2"/>
      <c r="Y207" s="2"/>
      <c r="Z207" s="2"/>
      <c r="AA207" s="2"/>
      <c r="AB207" s="2"/>
      <c r="AC207" s="2"/>
      <c r="AD207" s="2"/>
      <c r="AE207" s="2"/>
      <c r="AF207" s="2" t="str">
        <f t="shared" si="33"/>
        <v/>
      </c>
      <c r="AG207" s="2" t="str">
        <f t="shared" si="34"/>
        <v/>
      </c>
      <c r="AH207" s="2" t="str">
        <f>IF($AG207="","",IFERROR(VLOOKUP($AG207,DB_Categories_Export!$A:$B,2,FALSE()),"INVALID CATEGORY"))</f>
        <v/>
      </c>
      <c r="AI207" s="2" t="str">
        <f t="shared" si="35"/>
        <v/>
      </c>
      <c r="AJ207" s="2" t="str">
        <f t="shared" si="36"/>
        <v/>
      </c>
      <c r="AK207" s="2" t="str">
        <f t="shared" si="37"/>
        <v/>
      </c>
      <c r="AL207" s="2" t="str">
        <f t="shared" si="38"/>
        <v/>
      </c>
      <c r="AM207" s="2" t="str">
        <f t="shared" si="39"/>
        <v/>
      </c>
      <c r="AN207" s="2"/>
      <c r="AO207" s="2"/>
    </row>
    <row r="208" spans="1:41" ht="12" customHeight="1" x14ac:dyDescent="0.3">
      <c r="A208" s="2"/>
      <c r="B208" s="2" t="str">
        <f t="shared" si="30"/>
        <v/>
      </c>
      <c r="C208" s="2" t="str">
        <f t="shared" si="31"/>
        <v/>
      </c>
      <c r="D208" s="2" t="str">
        <f>IF(DB_Artworks_Export!A208="","",DB_Artworks_Export!A208)</f>
        <v/>
      </c>
      <c r="E208" s="2" t="str">
        <f>IF(DB_Artworks_Export!B208="","",DB_Artworks_Export!B208)</f>
        <v/>
      </c>
      <c r="F208" s="2" t="str">
        <f>IF(DB_Artworks_Export!C208="","",DB_Artworks_Export!C208)</f>
        <v/>
      </c>
      <c r="G208" s="2" t="str">
        <f>IF(DB_Artworks_Export!D208="","",DB_Artworks_Export!D208)</f>
        <v/>
      </c>
      <c r="H208" s="2" t="str">
        <f>IF(DB_Artworks_Export!E208="","",DB_Artworks_Export!E208)</f>
        <v/>
      </c>
      <c r="I208" s="2" t="str">
        <f>IF(DB_Artworks_Export!F208="","",DB_Artworks_Export!F208)</f>
        <v/>
      </c>
      <c r="J208" s="2" t="str">
        <f>IF(DB_Artworks_Export!G208="","",DB_Artworks_Export!G208)</f>
        <v/>
      </c>
      <c r="K208" s="2" t="str">
        <f>IF(DB_Artworks_Export!H208="","",DB_Artworks_Export!H208)</f>
        <v/>
      </c>
      <c r="L208" s="2" t="str">
        <f>IF(DB_Artworks_Export!I208="","",DB_Artworks_Export!I208)</f>
        <v/>
      </c>
      <c r="M208" s="2" t="str">
        <f>IF(DB_Artworks_Export!J208="","",DB_Artworks_Export!J208)</f>
        <v/>
      </c>
      <c r="N208" s="2" t="str">
        <f>IF(DB_Artworks_Export!K208="","",DB_Artworks_Export!K208)</f>
        <v/>
      </c>
      <c r="O208" s="2" t="str">
        <f>IF(DB_Artworks_Export!L208="","",DB_Artworks_Export!L208)</f>
        <v/>
      </c>
      <c r="P208" s="2" t="str">
        <f>IF(DB_Artworks_Export!M208="","",DB_Artworks_Export!M208)</f>
        <v/>
      </c>
      <c r="Q208" s="2" t="str">
        <f>IF(DB_Artworks_Export!N208="","",DB_Artworks_Export!N208)</f>
        <v/>
      </c>
      <c r="R208" s="2" t="str">
        <f>IF($D208="","",IF(COUNTIF(DB_Categories_Export!$A:$A,$F208)&gt;0,"OK","INVALID CATEGORY"))</f>
        <v/>
      </c>
      <c r="S208" s="2" t="str">
        <f>IF($D208="","",COUNTIF(DB_Artwork_Sizes_Export!$B:$B,$D208))</f>
        <v/>
      </c>
      <c r="T208" s="2" t="str">
        <f>IF($D208="","",IFERROR(INDEX(DB_Artwork_Sizes_Export!$D:$D,MATCH($D208,DB_Artwork_Sizes_Export!$B:$B,0)),""))</f>
        <v/>
      </c>
      <c r="U208" s="2" t="str">
        <f>IF($D208="","",IFERROR(INDEX(DB_Artwork_Sizes_Export!$E:$E,MATCH($D208,DB_Artwork_Sizes_Export!$B:$B,0)),""))</f>
        <v/>
      </c>
      <c r="V208" s="2" t="str">
        <f>IF($D208="","",IFERROR(INDEX(DB_Artwork_Sizes_Export!$F:$F,MATCH($D208,DB_Artwork_Sizes_Export!$B:$B,0)),""))</f>
        <v/>
      </c>
      <c r="W208" s="2" t="str">
        <f t="shared" si="32"/>
        <v/>
      </c>
      <c r="X208" s="2"/>
      <c r="Y208" s="2"/>
      <c r="Z208" s="2"/>
      <c r="AA208" s="2"/>
      <c r="AB208" s="2"/>
      <c r="AC208" s="2"/>
      <c r="AD208" s="2"/>
      <c r="AE208" s="2"/>
      <c r="AF208" s="2" t="str">
        <f t="shared" si="33"/>
        <v/>
      </c>
      <c r="AG208" s="2" t="str">
        <f t="shared" si="34"/>
        <v/>
      </c>
      <c r="AH208" s="2" t="str">
        <f>IF($AG208="","",IFERROR(VLOOKUP($AG208,DB_Categories_Export!$A:$B,2,FALSE()),"INVALID CATEGORY"))</f>
        <v/>
      </c>
      <c r="AI208" s="2" t="str">
        <f t="shared" si="35"/>
        <v/>
      </c>
      <c r="AJ208" s="2" t="str">
        <f t="shared" si="36"/>
        <v/>
      </c>
      <c r="AK208" s="2" t="str">
        <f t="shared" si="37"/>
        <v/>
      </c>
      <c r="AL208" s="2" t="str">
        <f t="shared" si="38"/>
        <v/>
      </c>
      <c r="AM208" s="2" t="str">
        <f t="shared" si="39"/>
        <v/>
      </c>
      <c r="AN208" s="2"/>
      <c r="AO208" s="2"/>
    </row>
    <row r="209" spans="1:41" ht="12" customHeight="1" x14ac:dyDescent="0.3">
      <c r="A209" s="2"/>
      <c r="B209" s="2" t="str">
        <f t="shared" si="30"/>
        <v/>
      </c>
      <c r="C209" s="2" t="str">
        <f t="shared" si="31"/>
        <v/>
      </c>
      <c r="D209" s="2" t="str">
        <f>IF(DB_Artworks_Export!A209="","",DB_Artworks_Export!A209)</f>
        <v/>
      </c>
      <c r="E209" s="2" t="str">
        <f>IF(DB_Artworks_Export!B209="","",DB_Artworks_Export!B209)</f>
        <v/>
      </c>
      <c r="F209" s="2" t="str">
        <f>IF(DB_Artworks_Export!C209="","",DB_Artworks_Export!C209)</f>
        <v/>
      </c>
      <c r="G209" s="2" t="str">
        <f>IF(DB_Artworks_Export!D209="","",DB_Artworks_Export!D209)</f>
        <v/>
      </c>
      <c r="H209" s="2" t="str">
        <f>IF(DB_Artworks_Export!E209="","",DB_Artworks_Export!E209)</f>
        <v/>
      </c>
      <c r="I209" s="2" t="str">
        <f>IF(DB_Artworks_Export!F209="","",DB_Artworks_Export!F209)</f>
        <v/>
      </c>
      <c r="J209" s="2" t="str">
        <f>IF(DB_Artworks_Export!G209="","",DB_Artworks_Export!G209)</f>
        <v/>
      </c>
      <c r="K209" s="2" t="str">
        <f>IF(DB_Artworks_Export!H209="","",DB_Artworks_Export!H209)</f>
        <v/>
      </c>
      <c r="L209" s="2" t="str">
        <f>IF(DB_Artworks_Export!I209="","",DB_Artworks_Export!I209)</f>
        <v/>
      </c>
      <c r="M209" s="2" t="str">
        <f>IF(DB_Artworks_Export!J209="","",DB_Artworks_Export!J209)</f>
        <v/>
      </c>
      <c r="N209" s="2" t="str">
        <f>IF(DB_Artworks_Export!K209="","",DB_Artworks_Export!K209)</f>
        <v/>
      </c>
      <c r="O209" s="2" t="str">
        <f>IF(DB_Artworks_Export!L209="","",DB_Artworks_Export!L209)</f>
        <v/>
      </c>
      <c r="P209" s="2" t="str">
        <f>IF(DB_Artworks_Export!M209="","",DB_Artworks_Export!M209)</f>
        <v/>
      </c>
      <c r="Q209" s="2" t="str">
        <f>IF(DB_Artworks_Export!N209="","",DB_Artworks_Export!N209)</f>
        <v/>
      </c>
      <c r="R209" s="2" t="str">
        <f>IF($D209="","",IF(COUNTIF(DB_Categories_Export!$A:$A,$F209)&gt;0,"OK","INVALID CATEGORY"))</f>
        <v/>
      </c>
      <c r="S209" s="2" t="str">
        <f>IF($D209="","",COUNTIF(DB_Artwork_Sizes_Export!$B:$B,$D209))</f>
        <v/>
      </c>
      <c r="T209" s="2" t="str">
        <f>IF($D209="","",IFERROR(INDEX(DB_Artwork_Sizes_Export!$D:$D,MATCH($D209,DB_Artwork_Sizes_Export!$B:$B,0)),""))</f>
        <v/>
      </c>
      <c r="U209" s="2" t="str">
        <f>IF($D209="","",IFERROR(INDEX(DB_Artwork_Sizes_Export!$E:$E,MATCH($D209,DB_Artwork_Sizes_Export!$B:$B,0)),""))</f>
        <v/>
      </c>
      <c r="V209" s="2" t="str">
        <f>IF($D209="","",IFERROR(INDEX(DB_Artwork_Sizes_Export!$F:$F,MATCH($D209,DB_Artwork_Sizes_Export!$B:$B,0)),""))</f>
        <v/>
      </c>
      <c r="W209" s="2" t="str">
        <f t="shared" si="32"/>
        <v/>
      </c>
      <c r="X209" s="2"/>
      <c r="Y209" s="2"/>
      <c r="Z209" s="2"/>
      <c r="AA209" s="2"/>
      <c r="AB209" s="2"/>
      <c r="AC209" s="2"/>
      <c r="AD209" s="2"/>
      <c r="AE209" s="2"/>
      <c r="AF209" s="2" t="str">
        <f t="shared" si="33"/>
        <v/>
      </c>
      <c r="AG209" s="2" t="str">
        <f t="shared" si="34"/>
        <v/>
      </c>
      <c r="AH209" s="2" t="str">
        <f>IF($AG209="","",IFERROR(VLOOKUP($AG209,DB_Categories_Export!$A:$B,2,FALSE()),"INVALID CATEGORY"))</f>
        <v/>
      </c>
      <c r="AI209" s="2" t="str">
        <f t="shared" si="35"/>
        <v/>
      </c>
      <c r="AJ209" s="2" t="str">
        <f t="shared" si="36"/>
        <v/>
      </c>
      <c r="AK209" s="2" t="str">
        <f t="shared" si="37"/>
        <v/>
      </c>
      <c r="AL209" s="2" t="str">
        <f t="shared" si="38"/>
        <v/>
      </c>
      <c r="AM209" s="2" t="str">
        <f t="shared" si="39"/>
        <v/>
      </c>
      <c r="AN209" s="2"/>
      <c r="AO209" s="2"/>
    </row>
    <row r="210" spans="1:41" ht="12" customHeight="1" x14ac:dyDescent="0.3">
      <c r="A210" s="2"/>
      <c r="B210" s="2" t="str">
        <f t="shared" si="30"/>
        <v/>
      </c>
      <c r="C210" s="2" t="str">
        <f t="shared" si="31"/>
        <v/>
      </c>
      <c r="D210" s="2" t="str">
        <f>IF(DB_Artworks_Export!A210="","",DB_Artworks_Export!A210)</f>
        <v/>
      </c>
      <c r="E210" s="2" t="str">
        <f>IF(DB_Artworks_Export!B210="","",DB_Artworks_Export!B210)</f>
        <v/>
      </c>
      <c r="F210" s="2" t="str">
        <f>IF(DB_Artworks_Export!C210="","",DB_Artworks_Export!C210)</f>
        <v/>
      </c>
      <c r="G210" s="2" t="str">
        <f>IF(DB_Artworks_Export!D210="","",DB_Artworks_Export!D210)</f>
        <v/>
      </c>
      <c r="H210" s="2" t="str">
        <f>IF(DB_Artworks_Export!E210="","",DB_Artworks_Export!E210)</f>
        <v/>
      </c>
      <c r="I210" s="2" t="str">
        <f>IF(DB_Artworks_Export!F210="","",DB_Artworks_Export!F210)</f>
        <v/>
      </c>
      <c r="J210" s="2" t="str">
        <f>IF(DB_Artworks_Export!G210="","",DB_Artworks_Export!G210)</f>
        <v/>
      </c>
      <c r="K210" s="2" t="str">
        <f>IF(DB_Artworks_Export!H210="","",DB_Artworks_Export!H210)</f>
        <v/>
      </c>
      <c r="L210" s="2" t="str">
        <f>IF(DB_Artworks_Export!I210="","",DB_Artworks_Export!I210)</f>
        <v/>
      </c>
      <c r="M210" s="2" t="str">
        <f>IF(DB_Artworks_Export!J210="","",DB_Artworks_Export!J210)</f>
        <v/>
      </c>
      <c r="N210" s="2" t="str">
        <f>IF(DB_Artworks_Export!K210="","",DB_Artworks_Export!K210)</f>
        <v/>
      </c>
      <c r="O210" s="2" t="str">
        <f>IF(DB_Artworks_Export!L210="","",DB_Artworks_Export!L210)</f>
        <v/>
      </c>
      <c r="P210" s="2" t="str">
        <f>IF(DB_Artworks_Export!M210="","",DB_Artworks_Export!M210)</f>
        <v/>
      </c>
      <c r="Q210" s="2" t="str">
        <f>IF(DB_Artworks_Export!N210="","",DB_Artworks_Export!N210)</f>
        <v/>
      </c>
      <c r="R210" s="2" t="str">
        <f>IF($D210="","",IF(COUNTIF(DB_Categories_Export!$A:$A,$F210)&gt;0,"OK","INVALID CATEGORY"))</f>
        <v/>
      </c>
      <c r="S210" s="2" t="str">
        <f>IF($D210="","",COUNTIF(DB_Artwork_Sizes_Export!$B:$B,$D210))</f>
        <v/>
      </c>
      <c r="T210" s="2" t="str">
        <f>IF($D210="","",IFERROR(INDEX(DB_Artwork_Sizes_Export!$D:$D,MATCH($D210,DB_Artwork_Sizes_Export!$B:$B,0)),""))</f>
        <v/>
      </c>
      <c r="U210" s="2" t="str">
        <f>IF($D210="","",IFERROR(INDEX(DB_Artwork_Sizes_Export!$E:$E,MATCH($D210,DB_Artwork_Sizes_Export!$B:$B,0)),""))</f>
        <v/>
      </c>
      <c r="V210" s="2" t="str">
        <f>IF($D210="","",IFERROR(INDEX(DB_Artwork_Sizes_Export!$F:$F,MATCH($D210,DB_Artwork_Sizes_Export!$B:$B,0)),""))</f>
        <v/>
      </c>
      <c r="W210" s="2" t="str">
        <f t="shared" si="32"/>
        <v/>
      </c>
      <c r="X210" s="2"/>
      <c r="Y210" s="2"/>
      <c r="Z210" s="2"/>
      <c r="AA210" s="2"/>
      <c r="AB210" s="2"/>
      <c r="AC210" s="2"/>
      <c r="AD210" s="2"/>
      <c r="AE210" s="2"/>
      <c r="AF210" s="2" t="str">
        <f t="shared" si="33"/>
        <v/>
      </c>
      <c r="AG210" s="2" t="str">
        <f t="shared" si="34"/>
        <v/>
      </c>
      <c r="AH210" s="2" t="str">
        <f>IF($AG210="","",IFERROR(VLOOKUP($AG210,DB_Categories_Export!$A:$B,2,FALSE()),"INVALID CATEGORY"))</f>
        <v/>
      </c>
      <c r="AI210" s="2" t="str">
        <f t="shared" si="35"/>
        <v/>
      </c>
      <c r="AJ210" s="2" t="str">
        <f t="shared" si="36"/>
        <v/>
      </c>
      <c r="AK210" s="2" t="str">
        <f t="shared" si="37"/>
        <v/>
      </c>
      <c r="AL210" s="2" t="str">
        <f t="shared" si="38"/>
        <v/>
      </c>
      <c r="AM210" s="2" t="str">
        <f t="shared" si="39"/>
        <v/>
      </c>
      <c r="AN210" s="2"/>
      <c r="AO210" s="2"/>
    </row>
    <row r="211" spans="1:41" ht="12" customHeight="1" x14ac:dyDescent="0.3">
      <c r="A211" s="2"/>
      <c r="B211" s="2" t="str">
        <f t="shared" si="30"/>
        <v/>
      </c>
      <c r="C211" s="2" t="str">
        <f t="shared" si="31"/>
        <v/>
      </c>
      <c r="D211" s="2" t="str">
        <f>IF(DB_Artworks_Export!A211="","",DB_Artworks_Export!A211)</f>
        <v/>
      </c>
      <c r="E211" s="2" t="str">
        <f>IF(DB_Artworks_Export!B211="","",DB_Artworks_Export!B211)</f>
        <v/>
      </c>
      <c r="F211" s="2" t="str">
        <f>IF(DB_Artworks_Export!C211="","",DB_Artworks_Export!C211)</f>
        <v/>
      </c>
      <c r="G211" s="2" t="str">
        <f>IF(DB_Artworks_Export!D211="","",DB_Artworks_Export!D211)</f>
        <v/>
      </c>
      <c r="H211" s="2" t="str">
        <f>IF(DB_Artworks_Export!E211="","",DB_Artworks_Export!E211)</f>
        <v/>
      </c>
      <c r="I211" s="2" t="str">
        <f>IF(DB_Artworks_Export!F211="","",DB_Artworks_Export!F211)</f>
        <v/>
      </c>
      <c r="J211" s="2" t="str">
        <f>IF(DB_Artworks_Export!G211="","",DB_Artworks_Export!G211)</f>
        <v/>
      </c>
      <c r="K211" s="2" t="str">
        <f>IF(DB_Artworks_Export!H211="","",DB_Artworks_Export!H211)</f>
        <v/>
      </c>
      <c r="L211" s="2" t="str">
        <f>IF(DB_Artworks_Export!I211="","",DB_Artworks_Export!I211)</f>
        <v/>
      </c>
      <c r="M211" s="2" t="str">
        <f>IF(DB_Artworks_Export!J211="","",DB_Artworks_Export!J211)</f>
        <v/>
      </c>
      <c r="N211" s="2" t="str">
        <f>IF(DB_Artworks_Export!K211="","",DB_Artworks_Export!K211)</f>
        <v/>
      </c>
      <c r="O211" s="2" t="str">
        <f>IF(DB_Artworks_Export!L211="","",DB_Artworks_Export!L211)</f>
        <v/>
      </c>
      <c r="P211" s="2" t="str">
        <f>IF(DB_Artworks_Export!M211="","",DB_Artworks_Export!M211)</f>
        <v/>
      </c>
      <c r="Q211" s="2" t="str">
        <f>IF(DB_Artworks_Export!N211="","",DB_Artworks_Export!N211)</f>
        <v/>
      </c>
      <c r="R211" s="2" t="str">
        <f>IF($D211="","",IF(COUNTIF(DB_Categories_Export!$A:$A,$F211)&gt;0,"OK","INVALID CATEGORY"))</f>
        <v/>
      </c>
      <c r="S211" s="2" t="str">
        <f>IF($D211="","",COUNTIF(DB_Artwork_Sizes_Export!$B:$B,$D211))</f>
        <v/>
      </c>
      <c r="T211" s="2" t="str">
        <f>IF($D211="","",IFERROR(INDEX(DB_Artwork_Sizes_Export!$D:$D,MATCH($D211,DB_Artwork_Sizes_Export!$B:$B,0)),""))</f>
        <v/>
      </c>
      <c r="U211" s="2" t="str">
        <f>IF($D211="","",IFERROR(INDEX(DB_Artwork_Sizes_Export!$E:$E,MATCH($D211,DB_Artwork_Sizes_Export!$B:$B,0)),""))</f>
        <v/>
      </c>
      <c r="V211" s="2" t="str">
        <f>IF($D211="","",IFERROR(INDEX(DB_Artwork_Sizes_Export!$F:$F,MATCH($D211,DB_Artwork_Sizes_Export!$B:$B,0)),""))</f>
        <v/>
      </c>
      <c r="W211" s="2" t="str">
        <f t="shared" si="32"/>
        <v/>
      </c>
      <c r="X211" s="2"/>
      <c r="Y211" s="2"/>
      <c r="Z211" s="2"/>
      <c r="AA211" s="2"/>
      <c r="AB211" s="2"/>
      <c r="AC211" s="2"/>
      <c r="AD211" s="2"/>
      <c r="AE211" s="2"/>
      <c r="AF211" s="2" t="str">
        <f t="shared" si="33"/>
        <v/>
      </c>
      <c r="AG211" s="2" t="str">
        <f t="shared" si="34"/>
        <v/>
      </c>
      <c r="AH211" s="2" t="str">
        <f>IF($AG211="","",IFERROR(VLOOKUP($AG211,DB_Categories_Export!$A:$B,2,FALSE()),"INVALID CATEGORY"))</f>
        <v/>
      </c>
      <c r="AI211" s="2" t="str">
        <f t="shared" si="35"/>
        <v/>
      </c>
      <c r="AJ211" s="2" t="str">
        <f t="shared" si="36"/>
        <v/>
      </c>
      <c r="AK211" s="2" t="str">
        <f t="shared" si="37"/>
        <v/>
      </c>
      <c r="AL211" s="2" t="str">
        <f t="shared" si="38"/>
        <v/>
      </c>
      <c r="AM211" s="2" t="str">
        <f t="shared" si="39"/>
        <v/>
      </c>
      <c r="AN211" s="2"/>
      <c r="AO211" s="2"/>
    </row>
    <row r="212" spans="1:41" ht="12" customHeight="1" x14ac:dyDescent="0.3">
      <c r="A212" s="2"/>
      <c r="B212" s="2" t="str">
        <f t="shared" si="30"/>
        <v/>
      </c>
      <c r="C212" s="2" t="str">
        <f t="shared" si="31"/>
        <v/>
      </c>
      <c r="D212" s="2" t="str">
        <f>IF(DB_Artworks_Export!A212="","",DB_Artworks_Export!A212)</f>
        <v/>
      </c>
      <c r="E212" s="2" t="str">
        <f>IF(DB_Artworks_Export!B212="","",DB_Artworks_Export!B212)</f>
        <v/>
      </c>
      <c r="F212" s="2" t="str">
        <f>IF(DB_Artworks_Export!C212="","",DB_Artworks_Export!C212)</f>
        <v/>
      </c>
      <c r="G212" s="2" t="str">
        <f>IF(DB_Artworks_Export!D212="","",DB_Artworks_Export!D212)</f>
        <v/>
      </c>
      <c r="H212" s="2" t="str">
        <f>IF(DB_Artworks_Export!E212="","",DB_Artworks_Export!E212)</f>
        <v/>
      </c>
      <c r="I212" s="2" t="str">
        <f>IF(DB_Artworks_Export!F212="","",DB_Artworks_Export!F212)</f>
        <v/>
      </c>
      <c r="J212" s="2" t="str">
        <f>IF(DB_Artworks_Export!G212="","",DB_Artworks_Export!G212)</f>
        <v/>
      </c>
      <c r="K212" s="2" t="str">
        <f>IF(DB_Artworks_Export!H212="","",DB_Artworks_Export!H212)</f>
        <v/>
      </c>
      <c r="L212" s="2" t="str">
        <f>IF(DB_Artworks_Export!I212="","",DB_Artworks_Export!I212)</f>
        <v/>
      </c>
      <c r="M212" s="2" t="str">
        <f>IF(DB_Artworks_Export!J212="","",DB_Artworks_Export!J212)</f>
        <v/>
      </c>
      <c r="N212" s="2" t="str">
        <f>IF(DB_Artworks_Export!K212="","",DB_Artworks_Export!K212)</f>
        <v/>
      </c>
      <c r="O212" s="2" t="str">
        <f>IF(DB_Artworks_Export!L212="","",DB_Artworks_Export!L212)</f>
        <v/>
      </c>
      <c r="P212" s="2" t="str">
        <f>IF(DB_Artworks_Export!M212="","",DB_Artworks_Export!M212)</f>
        <v/>
      </c>
      <c r="Q212" s="2" t="str">
        <f>IF(DB_Artworks_Export!N212="","",DB_Artworks_Export!N212)</f>
        <v/>
      </c>
      <c r="R212" s="2" t="str">
        <f>IF($D212="","",IF(COUNTIF(DB_Categories_Export!$A:$A,$F212)&gt;0,"OK","INVALID CATEGORY"))</f>
        <v/>
      </c>
      <c r="S212" s="2" t="str">
        <f>IF($D212="","",COUNTIF(DB_Artwork_Sizes_Export!$B:$B,$D212))</f>
        <v/>
      </c>
      <c r="T212" s="2" t="str">
        <f>IF($D212="","",IFERROR(INDEX(DB_Artwork_Sizes_Export!$D:$D,MATCH($D212,DB_Artwork_Sizes_Export!$B:$B,0)),""))</f>
        <v/>
      </c>
      <c r="U212" s="2" t="str">
        <f>IF($D212="","",IFERROR(INDEX(DB_Artwork_Sizes_Export!$E:$E,MATCH($D212,DB_Artwork_Sizes_Export!$B:$B,0)),""))</f>
        <v/>
      </c>
      <c r="V212" s="2" t="str">
        <f>IF($D212="","",IFERROR(INDEX(DB_Artwork_Sizes_Export!$F:$F,MATCH($D212,DB_Artwork_Sizes_Export!$B:$B,0)),""))</f>
        <v/>
      </c>
      <c r="W212" s="2" t="str">
        <f t="shared" si="32"/>
        <v/>
      </c>
      <c r="X212" s="2"/>
      <c r="Y212" s="2"/>
      <c r="Z212" s="2"/>
      <c r="AA212" s="2"/>
      <c r="AB212" s="2"/>
      <c r="AC212" s="2"/>
      <c r="AD212" s="2"/>
      <c r="AE212" s="2"/>
      <c r="AF212" s="2" t="str">
        <f t="shared" si="33"/>
        <v/>
      </c>
      <c r="AG212" s="2" t="str">
        <f t="shared" si="34"/>
        <v/>
      </c>
      <c r="AH212" s="2" t="str">
        <f>IF($AG212="","",IFERROR(VLOOKUP($AG212,DB_Categories_Export!$A:$B,2,FALSE()),"INVALID CATEGORY"))</f>
        <v/>
      </c>
      <c r="AI212" s="2" t="str">
        <f t="shared" si="35"/>
        <v/>
      </c>
      <c r="AJ212" s="2" t="str">
        <f t="shared" si="36"/>
        <v/>
      </c>
      <c r="AK212" s="2" t="str">
        <f t="shared" si="37"/>
        <v/>
      </c>
      <c r="AL212" s="2" t="str">
        <f t="shared" si="38"/>
        <v/>
      </c>
      <c r="AM212" s="2" t="str">
        <f t="shared" si="39"/>
        <v/>
      </c>
      <c r="AN212" s="2"/>
      <c r="AO212" s="2"/>
    </row>
    <row r="213" spans="1:41" ht="12" customHeight="1" x14ac:dyDescent="0.3">
      <c r="A213" s="2"/>
      <c r="B213" s="2" t="str">
        <f t="shared" si="30"/>
        <v/>
      </c>
      <c r="C213" s="2" t="str">
        <f t="shared" si="31"/>
        <v/>
      </c>
      <c r="D213" s="2" t="str">
        <f>IF(DB_Artworks_Export!A213="","",DB_Artworks_Export!A213)</f>
        <v/>
      </c>
      <c r="E213" s="2" t="str">
        <f>IF(DB_Artworks_Export!B213="","",DB_Artworks_Export!B213)</f>
        <v/>
      </c>
      <c r="F213" s="2" t="str">
        <f>IF(DB_Artworks_Export!C213="","",DB_Artworks_Export!C213)</f>
        <v/>
      </c>
      <c r="G213" s="2" t="str">
        <f>IF(DB_Artworks_Export!D213="","",DB_Artworks_Export!D213)</f>
        <v/>
      </c>
      <c r="H213" s="2" t="str">
        <f>IF(DB_Artworks_Export!E213="","",DB_Artworks_Export!E213)</f>
        <v/>
      </c>
      <c r="I213" s="2" t="str">
        <f>IF(DB_Artworks_Export!F213="","",DB_Artworks_Export!F213)</f>
        <v/>
      </c>
      <c r="J213" s="2" t="str">
        <f>IF(DB_Artworks_Export!G213="","",DB_Artworks_Export!G213)</f>
        <v/>
      </c>
      <c r="K213" s="2" t="str">
        <f>IF(DB_Artworks_Export!H213="","",DB_Artworks_Export!H213)</f>
        <v/>
      </c>
      <c r="L213" s="2" t="str">
        <f>IF(DB_Artworks_Export!I213="","",DB_Artworks_Export!I213)</f>
        <v/>
      </c>
      <c r="M213" s="2" t="str">
        <f>IF(DB_Artworks_Export!J213="","",DB_Artworks_Export!J213)</f>
        <v/>
      </c>
      <c r="N213" s="2" t="str">
        <f>IF(DB_Artworks_Export!K213="","",DB_Artworks_Export!K213)</f>
        <v/>
      </c>
      <c r="O213" s="2" t="str">
        <f>IF(DB_Artworks_Export!L213="","",DB_Artworks_Export!L213)</f>
        <v/>
      </c>
      <c r="P213" s="2" t="str">
        <f>IF(DB_Artworks_Export!M213="","",DB_Artworks_Export!M213)</f>
        <v/>
      </c>
      <c r="Q213" s="2" t="str">
        <f>IF(DB_Artworks_Export!N213="","",DB_Artworks_Export!N213)</f>
        <v/>
      </c>
      <c r="R213" s="2" t="str">
        <f>IF($D213="","",IF(COUNTIF(DB_Categories_Export!$A:$A,$F213)&gt;0,"OK","INVALID CATEGORY"))</f>
        <v/>
      </c>
      <c r="S213" s="2" t="str">
        <f>IF($D213="","",COUNTIF(DB_Artwork_Sizes_Export!$B:$B,$D213))</f>
        <v/>
      </c>
      <c r="T213" s="2" t="str">
        <f>IF($D213="","",IFERROR(INDEX(DB_Artwork_Sizes_Export!$D:$D,MATCH($D213,DB_Artwork_Sizes_Export!$B:$B,0)),""))</f>
        <v/>
      </c>
      <c r="U213" s="2" t="str">
        <f>IF($D213="","",IFERROR(INDEX(DB_Artwork_Sizes_Export!$E:$E,MATCH($D213,DB_Artwork_Sizes_Export!$B:$B,0)),""))</f>
        <v/>
      </c>
      <c r="V213" s="2" t="str">
        <f>IF($D213="","",IFERROR(INDEX(DB_Artwork_Sizes_Export!$F:$F,MATCH($D213,DB_Artwork_Sizes_Export!$B:$B,0)),""))</f>
        <v/>
      </c>
      <c r="W213" s="2" t="str">
        <f t="shared" si="32"/>
        <v/>
      </c>
      <c r="X213" s="2"/>
      <c r="Y213" s="2"/>
      <c r="Z213" s="2"/>
      <c r="AA213" s="2"/>
      <c r="AB213" s="2"/>
      <c r="AC213" s="2"/>
      <c r="AD213" s="2"/>
      <c r="AE213" s="2"/>
      <c r="AF213" s="2" t="str">
        <f t="shared" si="33"/>
        <v/>
      </c>
      <c r="AG213" s="2" t="str">
        <f t="shared" si="34"/>
        <v/>
      </c>
      <c r="AH213" s="2" t="str">
        <f>IF($AG213="","",IFERROR(VLOOKUP($AG213,DB_Categories_Export!$A:$B,2,FALSE()),"INVALID CATEGORY"))</f>
        <v/>
      </c>
      <c r="AI213" s="2" t="str">
        <f t="shared" si="35"/>
        <v/>
      </c>
      <c r="AJ213" s="2" t="str">
        <f t="shared" si="36"/>
        <v/>
      </c>
      <c r="AK213" s="2" t="str">
        <f t="shared" si="37"/>
        <v/>
      </c>
      <c r="AL213" s="2" t="str">
        <f t="shared" si="38"/>
        <v/>
      </c>
      <c r="AM213" s="2" t="str">
        <f t="shared" si="39"/>
        <v/>
      </c>
      <c r="AN213" s="2"/>
      <c r="AO213" s="2"/>
    </row>
    <row r="214" spans="1:41" ht="12" customHeight="1" x14ac:dyDescent="0.3">
      <c r="A214" s="2"/>
      <c r="B214" s="2" t="str">
        <f t="shared" si="30"/>
        <v/>
      </c>
      <c r="C214" s="2" t="str">
        <f t="shared" si="31"/>
        <v/>
      </c>
      <c r="D214" s="2" t="str">
        <f>IF(DB_Artworks_Export!A214="","",DB_Artworks_Export!A214)</f>
        <v/>
      </c>
      <c r="E214" s="2" t="str">
        <f>IF(DB_Artworks_Export!B214="","",DB_Artworks_Export!B214)</f>
        <v/>
      </c>
      <c r="F214" s="2" t="str">
        <f>IF(DB_Artworks_Export!C214="","",DB_Artworks_Export!C214)</f>
        <v/>
      </c>
      <c r="G214" s="2" t="str">
        <f>IF(DB_Artworks_Export!D214="","",DB_Artworks_Export!D214)</f>
        <v/>
      </c>
      <c r="H214" s="2" t="str">
        <f>IF(DB_Artworks_Export!E214="","",DB_Artworks_Export!E214)</f>
        <v/>
      </c>
      <c r="I214" s="2" t="str">
        <f>IF(DB_Artworks_Export!F214="","",DB_Artworks_Export!F214)</f>
        <v/>
      </c>
      <c r="J214" s="2" t="str">
        <f>IF(DB_Artworks_Export!G214="","",DB_Artworks_Export!G214)</f>
        <v/>
      </c>
      <c r="K214" s="2" t="str">
        <f>IF(DB_Artworks_Export!H214="","",DB_Artworks_Export!H214)</f>
        <v/>
      </c>
      <c r="L214" s="2" t="str">
        <f>IF(DB_Artworks_Export!I214="","",DB_Artworks_Export!I214)</f>
        <v/>
      </c>
      <c r="M214" s="2" t="str">
        <f>IF(DB_Artworks_Export!J214="","",DB_Artworks_Export!J214)</f>
        <v/>
      </c>
      <c r="N214" s="2" t="str">
        <f>IF(DB_Artworks_Export!K214="","",DB_Artworks_Export!K214)</f>
        <v/>
      </c>
      <c r="O214" s="2" t="str">
        <f>IF(DB_Artworks_Export!L214="","",DB_Artworks_Export!L214)</f>
        <v/>
      </c>
      <c r="P214" s="2" t="str">
        <f>IF(DB_Artworks_Export!M214="","",DB_Artworks_Export!M214)</f>
        <v/>
      </c>
      <c r="Q214" s="2" t="str">
        <f>IF(DB_Artworks_Export!N214="","",DB_Artworks_Export!N214)</f>
        <v/>
      </c>
      <c r="R214" s="2" t="str">
        <f>IF($D214="","",IF(COUNTIF(DB_Categories_Export!$A:$A,$F214)&gt;0,"OK","INVALID CATEGORY"))</f>
        <v/>
      </c>
      <c r="S214" s="2" t="str">
        <f>IF($D214="","",COUNTIF(DB_Artwork_Sizes_Export!$B:$B,$D214))</f>
        <v/>
      </c>
      <c r="T214" s="2" t="str">
        <f>IF($D214="","",IFERROR(INDEX(DB_Artwork_Sizes_Export!$D:$D,MATCH($D214,DB_Artwork_Sizes_Export!$B:$B,0)),""))</f>
        <v/>
      </c>
      <c r="U214" s="2" t="str">
        <f>IF($D214="","",IFERROR(INDEX(DB_Artwork_Sizes_Export!$E:$E,MATCH($D214,DB_Artwork_Sizes_Export!$B:$B,0)),""))</f>
        <v/>
      </c>
      <c r="V214" s="2" t="str">
        <f>IF($D214="","",IFERROR(INDEX(DB_Artwork_Sizes_Export!$F:$F,MATCH($D214,DB_Artwork_Sizes_Export!$B:$B,0)),""))</f>
        <v/>
      </c>
      <c r="W214" s="2" t="str">
        <f t="shared" si="32"/>
        <v/>
      </c>
      <c r="X214" s="2"/>
      <c r="Y214" s="2"/>
      <c r="Z214" s="2"/>
      <c r="AA214" s="2"/>
      <c r="AB214" s="2"/>
      <c r="AC214" s="2"/>
      <c r="AD214" s="2"/>
      <c r="AE214" s="2"/>
      <c r="AF214" s="2" t="str">
        <f t="shared" si="33"/>
        <v/>
      </c>
      <c r="AG214" s="2" t="str">
        <f t="shared" si="34"/>
        <v/>
      </c>
      <c r="AH214" s="2" t="str">
        <f>IF($AG214="","",IFERROR(VLOOKUP($AG214,DB_Categories_Export!$A:$B,2,FALSE()),"INVALID CATEGORY"))</f>
        <v/>
      </c>
      <c r="AI214" s="2" t="str">
        <f t="shared" si="35"/>
        <v/>
      </c>
      <c r="AJ214" s="2" t="str">
        <f t="shared" si="36"/>
        <v/>
      </c>
      <c r="AK214" s="2" t="str">
        <f t="shared" si="37"/>
        <v/>
      </c>
      <c r="AL214" s="2" t="str">
        <f t="shared" si="38"/>
        <v/>
      </c>
      <c r="AM214" s="2" t="str">
        <f t="shared" si="39"/>
        <v/>
      </c>
      <c r="AN214" s="2"/>
      <c r="AO214" s="2"/>
    </row>
    <row r="215" spans="1:41" ht="12" customHeight="1" x14ac:dyDescent="0.3">
      <c r="A215" s="2"/>
      <c r="B215" s="2" t="str">
        <f t="shared" si="30"/>
        <v/>
      </c>
      <c r="C215" s="2" t="str">
        <f t="shared" si="31"/>
        <v/>
      </c>
      <c r="D215" s="2" t="str">
        <f>IF(DB_Artworks_Export!A215="","",DB_Artworks_Export!A215)</f>
        <v/>
      </c>
      <c r="E215" s="2" t="str">
        <f>IF(DB_Artworks_Export!B215="","",DB_Artworks_Export!B215)</f>
        <v/>
      </c>
      <c r="F215" s="2" t="str">
        <f>IF(DB_Artworks_Export!C215="","",DB_Artworks_Export!C215)</f>
        <v/>
      </c>
      <c r="G215" s="2" t="str">
        <f>IF(DB_Artworks_Export!D215="","",DB_Artworks_Export!D215)</f>
        <v/>
      </c>
      <c r="H215" s="2" t="str">
        <f>IF(DB_Artworks_Export!E215="","",DB_Artworks_Export!E215)</f>
        <v/>
      </c>
      <c r="I215" s="2" t="str">
        <f>IF(DB_Artworks_Export!F215="","",DB_Artworks_Export!F215)</f>
        <v/>
      </c>
      <c r="J215" s="2" t="str">
        <f>IF(DB_Artworks_Export!G215="","",DB_Artworks_Export!G215)</f>
        <v/>
      </c>
      <c r="K215" s="2" t="str">
        <f>IF(DB_Artworks_Export!H215="","",DB_Artworks_Export!H215)</f>
        <v/>
      </c>
      <c r="L215" s="2" t="str">
        <f>IF(DB_Artworks_Export!I215="","",DB_Artworks_Export!I215)</f>
        <v/>
      </c>
      <c r="M215" s="2" t="str">
        <f>IF(DB_Artworks_Export!J215="","",DB_Artworks_Export!J215)</f>
        <v/>
      </c>
      <c r="N215" s="2" t="str">
        <f>IF(DB_Artworks_Export!K215="","",DB_Artworks_Export!K215)</f>
        <v/>
      </c>
      <c r="O215" s="2" t="str">
        <f>IF(DB_Artworks_Export!L215="","",DB_Artworks_Export!L215)</f>
        <v/>
      </c>
      <c r="P215" s="2" t="str">
        <f>IF(DB_Artworks_Export!M215="","",DB_Artworks_Export!M215)</f>
        <v/>
      </c>
      <c r="Q215" s="2" t="str">
        <f>IF(DB_Artworks_Export!N215="","",DB_Artworks_Export!N215)</f>
        <v/>
      </c>
      <c r="R215" s="2" t="str">
        <f>IF($D215="","",IF(COUNTIF(DB_Categories_Export!$A:$A,$F215)&gt;0,"OK","INVALID CATEGORY"))</f>
        <v/>
      </c>
      <c r="S215" s="2" t="str">
        <f>IF($D215="","",COUNTIF(DB_Artwork_Sizes_Export!$B:$B,$D215))</f>
        <v/>
      </c>
      <c r="T215" s="2" t="str">
        <f>IF($D215="","",IFERROR(INDEX(DB_Artwork_Sizes_Export!$D:$D,MATCH($D215,DB_Artwork_Sizes_Export!$B:$B,0)),""))</f>
        <v/>
      </c>
      <c r="U215" s="2" t="str">
        <f>IF($D215="","",IFERROR(INDEX(DB_Artwork_Sizes_Export!$E:$E,MATCH($D215,DB_Artwork_Sizes_Export!$B:$B,0)),""))</f>
        <v/>
      </c>
      <c r="V215" s="2" t="str">
        <f>IF($D215="","",IFERROR(INDEX(DB_Artwork_Sizes_Export!$F:$F,MATCH($D215,DB_Artwork_Sizes_Export!$B:$B,0)),""))</f>
        <v/>
      </c>
      <c r="W215" s="2" t="str">
        <f t="shared" si="32"/>
        <v/>
      </c>
      <c r="X215" s="2"/>
      <c r="Y215" s="2"/>
      <c r="Z215" s="2"/>
      <c r="AA215" s="2"/>
      <c r="AB215" s="2"/>
      <c r="AC215" s="2"/>
      <c r="AD215" s="2"/>
      <c r="AE215" s="2"/>
      <c r="AF215" s="2" t="str">
        <f t="shared" si="33"/>
        <v/>
      </c>
      <c r="AG215" s="2" t="str">
        <f t="shared" si="34"/>
        <v/>
      </c>
      <c r="AH215" s="2" t="str">
        <f>IF($AG215="","",IFERROR(VLOOKUP($AG215,DB_Categories_Export!$A:$B,2,FALSE()),"INVALID CATEGORY"))</f>
        <v/>
      </c>
      <c r="AI215" s="2" t="str">
        <f t="shared" si="35"/>
        <v/>
      </c>
      <c r="AJ215" s="2" t="str">
        <f t="shared" si="36"/>
        <v/>
      </c>
      <c r="AK215" s="2" t="str">
        <f t="shared" si="37"/>
        <v/>
      </c>
      <c r="AL215" s="2" t="str">
        <f t="shared" si="38"/>
        <v/>
      </c>
      <c r="AM215" s="2" t="str">
        <f t="shared" si="39"/>
        <v/>
      </c>
      <c r="AN215" s="2"/>
      <c r="AO215" s="2"/>
    </row>
    <row r="216" spans="1:41" ht="12" customHeight="1" x14ac:dyDescent="0.3">
      <c r="A216" s="2"/>
      <c r="B216" s="2" t="str">
        <f t="shared" si="30"/>
        <v/>
      </c>
      <c r="C216" s="2" t="str">
        <f t="shared" si="31"/>
        <v/>
      </c>
      <c r="D216" s="2" t="str">
        <f>IF(DB_Artworks_Export!A216="","",DB_Artworks_Export!A216)</f>
        <v/>
      </c>
      <c r="E216" s="2" t="str">
        <f>IF(DB_Artworks_Export!B216="","",DB_Artworks_Export!B216)</f>
        <v/>
      </c>
      <c r="F216" s="2" t="str">
        <f>IF(DB_Artworks_Export!C216="","",DB_Artworks_Export!C216)</f>
        <v/>
      </c>
      <c r="G216" s="2" t="str">
        <f>IF(DB_Artworks_Export!D216="","",DB_Artworks_Export!D216)</f>
        <v/>
      </c>
      <c r="H216" s="2" t="str">
        <f>IF(DB_Artworks_Export!E216="","",DB_Artworks_Export!E216)</f>
        <v/>
      </c>
      <c r="I216" s="2" t="str">
        <f>IF(DB_Artworks_Export!F216="","",DB_Artworks_Export!F216)</f>
        <v/>
      </c>
      <c r="J216" s="2" t="str">
        <f>IF(DB_Artworks_Export!G216="","",DB_Artworks_Export!G216)</f>
        <v/>
      </c>
      <c r="K216" s="2" t="str">
        <f>IF(DB_Artworks_Export!H216="","",DB_Artworks_Export!H216)</f>
        <v/>
      </c>
      <c r="L216" s="2" t="str">
        <f>IF(DB_Artworks_Export!I216="","",DB_Artworks_Export!I216)</f>
        <v/>
      </c>
      <c r="M216" s="2" t="str">
        <f>IF(DB_Artworks_Export!J216="","",DB_Artworks_Export!J216)</f>
        <v/>
      </c>
      <c r="N216" s="2" t="str">
        <f>IF(DB_Artworks_Export!K216="","",DB_Artworks_Export!K216)</f>
        <v/>
      </c>
      <c r="O216" s="2" t="str">
        <f>IF(DB_Artworks_Export!L216="","",DB_Artworks_Export!L216)</f>
        <v/>
      </c>
      <c r="P216" s="2" t="str">
        <f>IF(DB_Artworks_Export!M216="","",DB_Artworks_Export!M216)</f>
        <v/>
      </c>
      <c r="Q216" s="2" t="str">
        <f>IF(DB_Artworks_Export!N216="","",DB_Artworks_Export!N216)</f>
        <v/>
      </c>
      <c r="R216" s="2" t="str">
        <f>IF($D216="","",IF(COUNTIF(DB_Categories_Export!$A:$A,$F216)&gt;0,"OK","INVALID CATEGORY"))</f>
        <v/>
      </c>
      <c r="S216" s="2" t="str">
        <f>IF($D216="","",COUNTIF(DB_Artwork_Sizes_Export!$B:$B,$D216))</f>
        <v/>
      </c>
      <c r="T216" s="2" t="str">
        <f>IF($D216="","",IFERROR(INDEX(DB_Artwork_Sizes_Export!$D:$D,MATCH($D216,DB_Artwork_Sizes_Export!$B:$B,0)),""))</f>
        <v/>
      </c>
      <c r="U216" s="2" t="str">
        <f>IF($D216="","",IFERROR(INDEX(DB_Artwork_Sizes_Export!$E:$E,MATCH($D216,DB_Artwork_Sizes_Export!$B:$B,0)),""))</f>
        <v/>
      </c>
      <c r="V216" s="2" t="str">
        <f>IF($D216="","",IFERROR(INDEX(DB_Artwork_Sizes_Export!$F:$F,MATCH($D216,DB_Artwork_Sizes_Export!$B:$B,0)),""))</f>
        <v/>
      </c>
      <c r="W216" s="2" t="str">
        <f t="shared" si="32"/>
        <v/>
      </c>
      <c r="X216" s="2"/>
      <c r="Y216" s="2"/>
      <c r="Z216" s="2"/>
      <c r="AA216" s="2"/>
      <c r="AB216" s="2"/>
      <c r="AC216" s="2"/>
      <c r="AD216" s="2"/>
      <c r="AE216" s="2"/>
      <c r="AF216" s="2" t="str">
        <f t="shared" si="33"/>
        <v/>
      </c>
      <c r="AG216" s="2" t="str">
        <f t="shared" si="34"/>
        <v/>
      </c>
      <c r="AH216" s="2" t="str">
        <f>IF($AG216="","",IFERROR(VLOOKUP($AG216,DB_Categories_Export!$A:$B,2,FALSE()),"INVALID CATEGORY"))</f>
        <v/>
      </c>
      <c r="AI216" s="2" t="str">
        <f t="shared" si="35"/>
        <v/>
      </c>
      <c r="AJ216" s="2" t="str">
        <f t="shared" si="36"/>
        <v/>
      </c>
      <c r="AK216" s="2" t="str">
        <f t="shared" si="37"/>
        <v/>
      </c>
      <c r="AL216" s="2" t="str">
        <f t="shared" si="38"/>
        <v/>
      </c>
      <c r="AM216" s="2" t="str">
        <f t="shared" si="39"/>
        <v/>
      </c>
      <c r="AN216" s="2"/>
      <c r="AO216" s="2"/>
    </row>
    <row r="217" spans="1:41" ht="12" customHeight="1" x14ac:dyDescent="0.3">
      <c r="A217" s="2"/>
      <c r="B217" s="2" t="str">
        <f t="shared" si="30"/>
        <v/>
      </c>
      <c r="C217" s="2" t="str">
        <f t="shared" si="31"/>
        <v/>
      </c>
      <c r="D217" s="2" t="str">
        <f>IF(DB_Artworks_Export!A217="","",DB_Artworks_Export!A217)</f>
        <v/>
      </c>
      <c r="E217" s="2" t="str">
        <f>IF(DB_Artworks_Export!B217="","",DB_Artworks_Export!B217)</f>
        <v/>
      </c>
      <c r="F217" s="2" t="str">
        <f>IF(DB_Artworks_Export!C217="","",DB_Artworks_Export!C217)</f>
        <v/>
      </c>
      <c r="G217" s="2" t="str">
        <f>IF(DB_Artworks_Export!D217="","",DB_Artworks_Export!D217)</f>
        <v/>
      </c>
      <c r="H217" s="2" t="str">
        <f>IF(DB_Artworks_Export!E217="","",DB_Artworks_Export!E217)</f>
        <v/>
      </c>
      <c r="I217" s="2" t="str">
        <f>IF(DB_Artworks_Export!F217="","",DB_Artworks_Export!F217)</f>
        <v/>
      </c>
      <c r="J217" s="2" t="str">
        <f>IF(DB_Artworks_Export!G217="","",DB_Artworks_Export!G217)</f>
        <v/>
      </c>
      <c r="K217" s="2" t="str">
        <f>IF(DB_Artworks_Export!H217="","",DB_Artworks_Export!H217)</f>
        <v/>
      </c>
      <c r="L217" s="2" t="str">
        <f>IF(DB_Artworks_Export!I217="","",DB_Artworks_Export!I217)</f>
        <v/>
      </c>
      <c r="M217" s="2" t="str">
        <f>IF(DB_Artworks_Export!J217="","",DB_Artworks_Export!J217)</f>
        <v/>
      </c>
      <c r="N217" s="2" t="str">
        <f>IF(DB_Artworks_Export!K217="","",DB_Artworks_Export!K217)</f>
        <v/>
      </c>
      <c r="O217" s="2" t="str">
        <f>IF(DB_Artworks_Export!L217="","",DB_Artworks_Export!L217)</f>
        <v/>
      </c>
      <c r="P217" s="2" t="str">
        <f>IF(DB_Artworks_Export!M217="","",DB_Artworks_Export!M217)</f>
        <v/>
      </c>
      <c r="Q217" s="2" t="str">
        <f>IF(DB_Artworks_Export!N217="","",DB_Artworks_Export!N217)</f>
        <v/>
      </c>
      <c r="R217" s="2" t="str">
        <f>IF($D217="","",IF(COUNTIF(DB_Categories_Export!$A:$A,$F217)&gt;0,"OK","INVALID CATEGORY"))</f>
        <v/>
      </c>
      <c r="S217" s="2" t="str">
        <f>IF($D217="","",COUNTIF(DB_Artwork_Sizes_Export!$B:$B,$D217))</f>
        <v/>
      </c>
      <c r="T217" s="2" t="str">
        <f>IF($D217="","",IFERROR(INDEX(DB_Artwork_Sizes_Export!$D:$D,MATCH($D217,DB_Artwork_Sizes_Export!$B:$B,0)),""))</f>
        <v/>
      </c>
      <c r="U217" s="2" t="str">
        <f>IF($D217="","",IFERROR(INDEX(DB_Artwork_Sizes_Export!$E:$E,MATCH($D217,DB_Artwork_Sizes_Export!$B:$B,0)),""))</f>
        <v/>
      </c>
      <c r="V217" s="2" t="str">
        <f>IF($D217="","",IFERROR(INDEX(DB_Artwork_Sizes_Export!$F:$F,MATCH($D217,DB_Artwork_Sizes_Export!$B:$B,0)),""))</f>
        <v/>
      </c>
      <c r="W217" s="2" t="str">
        <f t="shared" si="32"/>
        <v/>
      </c>
      <c r="X217" s="2"/>
      <c r="Y217" s="2"/>
      <c r="Z217" s="2"/>
      <c r="AA217" s="2"/>
      <c r="AB217" s="2"/>
      <c r="AC217" s="2"/>
      <c r="AD217" s="2"/>
      <c r="AE217" s="2"/>
      <c r="AF217" s="2" t="str">
        <f t="shared" si="33"/>
        <v/>
      </c>
      <c r="AG217" s="2" t="str">
        <f t="shared" si="34"/>
        <v/>
      </c>
      <c r="AH217" s="2" t="str">
        <f>IF($AG217="","",IFERROR(VLOOKUP($AG217,DB_Categories_Export!$A:$B,2,FALSE()),"INVALID CATEGORY"))</f>
        <v/>
      </c>
      <c r="AI217" s="2" t="str">
        <f t="shared" si="35"/>
        <v/>
      </c>
      <c r="AJ217" s="2" t="str">
        <f t="shared" si="36"/>
        <v/>
      </c>
      <c r="AK217" s="2" t="str">
        <f t="shared" si="37"/>
        <v/>
      </c>
      <c r="AL217" s="2" t="str">
        <f t="shared" si="38"/>
        <v/>
      </c>
      <c r="AM217" s="2" t="str">
        <f t="shared" si="39"/>
        <v/>
      </c>
      <c r="AN217" s="2"/>
      <c r="AO217" s="2"/>
    </row>
    <row r="218" spans="1:41" ht="12" customHeight="1" x14ac:dyDescent="0.3">
      <c r="A218" s="2"/>
      <c r="B218" s="2" t="str">
        <f t="shared" si="30"/>
        <v/>
      </c>
      <c r="C218" s="2" t="str">
        <f t="shared" si="31"/>
        <v/>
      </c>
      <c r="D218" s="2" t="str">
        <f>IF(DB_Artworks_Export!A218="","",DB_Artworks_Export!A218)</f>
        <v/>
      </c>
      <c r="E218" s="2" t="str">
        <f>IF(DB_Artworks_Export!B218="","",DB_Artworks_Export!B218)</f>
        <v/>
      </c>
      <c r="F218" s="2" t="str">
        <f>IF(DB_Artworks_Export!C218="","",DB_Artworks_Export!C218)</f>
        <v/>
      </c>
      <c r="G218" s="2" t="str">
        <f>IF(DB_Artworks_Export!D218="","",DB_Artworks_Export!D218)</f>
        <v/>
      </c>
      <c r="H218" s="2" t="str">
        <f>IF(DB_Artworks_Export!E218="","",DB_Artworks_Export!E218)</f>
        <v/>
      </c>
      <c r="I218" s="2" t="str">
        <f>IF(DB_Artworks_Export!F218="","",DB_Artworks_Export!F218)</f>
        <v/>
      </c>
      <c r="J218" s="2" t="str">
        <f>IF(DB_Artworks_Export!G218="","",DB_Artworks_Export!G218)</f>
        <v/>
      </c>
      <c r="K218" s="2" t="str">
        <f>IF(DB_Artworks_Export!H218="","",DB_Artworks_Export!H218)</f>
        <v/>
      </c>
      <c r="L218" s="2" t="str">
        <f>IF(DB_Artworks_Export!I218="","",DB_Artworks_Export!I218)</f>
        <v/>
      </c>
      <c r="M218" s="2" t="str">
        <f>IF(DB_Artworks_Export!J218="","",DB_Artworks_Export!J218)</f>
        <v/>
      </c>
      <c r="N218" s="2" t="str">
        <f>IF(DB_Artworks_Export!K218="","",DB_Artworks_Export!K218)</f>
        <v/>
      </c>
      <c r="O218" s="2" t="str">
        <f>IF(DB_Artworks_Export!L218="","",DB_Artworks_Export!L218)</f>
        <v/>
      </c>
      <c r="P218" s="2" t="str">
        <f>IF(DB_Artworks_Export!M218="","",DB_Artworks_Export!M218)</f>
        <v/>
      </c>
      <c r="Q218" s="2" t="str">
        <f>IF(DB_Artworks_Export!N218="","",DB_Artworks_Export!N218)</f>
        <v/>
      </c>
      <c r="R218" s="2" t="str">
        <f>IF($D218="","",IF(COUNTIF(DB_Categories_Export!$A:$A,$F218)&gt;0,"OK","INVALID CATEGORY"))</f>
        <v/>
      </c>
      <c r="S218" s="2" t="str">
        <f>IF($D218="","",COUNTIF(DB_Artwork_Sizes_Export!$B:$B,$D218))</f>
        <v/>
      </c>
      <c r="T218" s="2" t="str">
        <f>IF($D218="","",IFERROR(INDEX(DB_Artwork_Sizes_Export!$D:$D,MATCH($D218,DB_Artwork_Sizes_Export!$B:$B,0)),""))</f>
        <v/>
      </c>
      <c r="U218" s="2" t="str">
        <f>IF($D218="","",IFERROR(INDEX(DB_Artwork_Sizes_Export!$E:$E,MATCH($D218,DB_Artwork_Sizes_Export!$B:$B,0)),""))</f>
        <v/>
      </c>
      <c r="V218" s="2" t="str">
        <f>IF($D218="","",IFERROR(INDEX(DB_Artwork_Sizes_Export!$F:$F,MATCH($D218,DB_Artwork_Sizes_Export!$B:$B,0)),""))</f>
        <v/>
      </c>
      <c r="W218" s="2" t="str">
        <f t="shared" si="32"/>
        <v/>
      </c>
      <c r="X218" s="2"/>
      <c r="Y218" s="2"/>
      <c r="Z218" s="2"/>
      <c r="AA218" s="2"/>
      <c r="AB218" s="2"/>
      <c r="AC218" s="2"/>
      <c r="AD218" s="2"/>
      <c r="AE218" s="2"/>
      <c r="AF218" s="2" t="str">
        <f t="shared" si="33"/>
        <v/>
      </c>
      <c r="AG218" s="2" t="str">
        <f t="shared" si="34"/>
        <v/>
      </c>
      <c r="AH218" s="2" t="str">
        <f>IF($AG218="","",IFERROR(VLOOKUP($AG218,DB_Categories_Export!$A:$B,2,FALSE()),"INVALID CATEGORY"))</f>
        <v/>
      </c>
      <c r="AI218" s="2" t="str">
        <f t="shared" si="35"/>
        <v/>
      </c>
      <c r="AJ218" s="2" t="str">
        <f t="shared" si="36"/>
        <v/>
      </c>
      <c r="AK218" s="2" t="str">
        <f t="shared" si="37"/>
        <v/>
      </c>
      <c r="AL218" s="2" t="str">
        <f t="shared" si="38"/>
        <v/>
      </c>
      <c r="AM218" s="2" t="str">
        <f t="shared" si="39"/>
        <v/>
      </c>
      <c r="AN218" s="2"/>
      <c r="AO218" s="2"/>
    </row>
    <row r="219" spans="1:41" ht="12" customHeight="1" x14ac:dyDescent="0.3">
      <c r="A219" s="2"/>
      <c r="B219" s="2" t="str">
        <f t="shared" si="30"/>
        <v/>
      </c>
      <c r="C219" s="2" t="str">
        <f t="shared" si="31"/>
        <v/>
      </c>
      <c r="D219" s="2" t="str">
        <f>IF(DB_Artworks_Export!A219="","",DB_Artworks_Export!A219)</f>
        <v/>
      </c>
      <c r="E219" s="2" t="str">
        <f>IF(DB_Artworks_Export!B219="","",DB_Artworks_Export!B219)</f>
        <v/>
      </c>
      <c r="F219" s="2" t="str">
        <f>IF(DB_Artworks_Export!C219="","",DB_Artworks_Export!C219)</f>
        <v/>
      </c>
      <c r="G219" s="2" t="str">
        <f>IF(DB_Artworks_Export!D219="","",DB_Artworks_Export!D219)</f>
        <v/>
      </c>
      <c r="H219" s="2" t="str">
        <f>IF(DB_Artworks_Export!E219="","",DB_Artworks_Export!E219)</f>
        <v/>
      </c>
      <c r="I219" s="2" t="str">
        <f>IF(DB_Artworks_Export!F219="","",DB_Artworks_Export!F219)</f>
        <v/>
      </c>
      <c r="J219" s="2" t="str">
        <f>IF(DB_Artworks_Export!G219="","",DB_Artworks_Export!G219)</f>
        <v/>
      </c>
      <c r="K219" s="2" t="str">
        <f>IF(DB_Artworks_Export!H219="","",DB_Artworks_Export!H219)</f>
        <v/>
      </c>
      <c r="L219" s="2" t="str">
        <f>IF(DB_Artworks_Export!I219="","",DB_Artworks_Export!I219)</f>
        <v/>
      </c>
      <c r="M219" s="2" t="str">
        <f>IF(DB_Artworks_Export!J219="","",DB_Artworks_Export!J219)</f>
        <v/>
      </c>
      <c r="N219" s="2" t="str">
        <f>IF(DB_Artworks_Export!K219="","",DB_Artworks_Export!K219)</f>
        <v/>
      </c>
      <c r="O219" s="2" t="str">
        <f>IF(DB_Artworks_Export!L219="","",DB_Artworks_Export!L219)</f>
        <v/>
      </c>
      <c r="P219" s="2" t="str">
        <f>IF(DB_Artworks_Export!M219="","",DB_Artworks_Export!M219)</f>
        <v/>
      </c>
      <c r="Q219" s="2" t="str">
        <f>IF(DB_Artworks_Export!N219="","",DB_Artworks_Export!N219)</f>
        <v/>
      </c>
      <c r="R219" s="2" t="str">
        <f>IF($D219="","",IF(COUNTIF(DB_Categories_Export!$A:$A,$F219)&gt;0,"OK","INVALID CATEGORY"))</f>
        <v/>
      </c>
      <c r="S219" s="2" t="str">
        <f>IF($D219="","",COUNTIF(DB_Artwork_Sizes_Export!$B:$B,$D219))</f>
        <v/>
      </c>
      <c r="T219" s="2" t="str">
        <f>IF($D219="","",IFERROR(INDEX(DB_Artwork_Sizes_Export!$D:$D,MATCH($D219,DB_Artwork_Sizes_Export!$B:$B,0)),""))</f>
        <v/>
      </c>
      <c r="U219" s="2" t="str">
        <f>IF($D219="","",IFERROR(INDEX(DB_Artwork_Sizes_Export!$E:$E,MATCH($D219,DB_Artwork_Sizes_Export!$B:$B,0)),""))</f>
        <v/>
      </c>
      <c r="V219" s="2" t="str">
        <f>IF($D219="","",IFERROR(INDEX(DB_Artwork_Sizes_Export!$F:$F,MATCH($D219,DB_Artwork_Sizes_Export!$B:$B,0)),""))</f>
        <v/>
      </c>
      <c r="W219" s="2" t="str">
        <f t="shared" si="32"/>
        <v/>
      </c>
      <c r="X219" s="2"/>
      <c r="Y219" s="2"/>
      <c r="Z219" s="2"/>
      <c r="AA219" s="2"/>
      <c r="AB219" s="2"/>
      <c r="AC219" s="2"/>
      <c r="AD219" s="2"/>
      <c r="AE219" s="2"/>
      <c r="AF219" s="2" t="str">
        <f t="shared" si="33"/>
        <v/>
      </c>
      <c r="AG219" s="2" t="str">
        <f t="shared" si="34"/>
        <v/>
      </c>
      <c r="AH219" s="2" t="str">
        <f>IF($AG219="","",IFERROR(VLOOKUP($AG219,DB_Categories_Export!$A:$B,2,FALSE()),"INVALID CATEGORY"))</f>
        <v/>
      </c>
      <c r="AI219" s="2" t="str">
        <f t="shared" si="35"/>
        <v/>
      </c>
      <c r="AJ219" s="2" t="str">
        <f t="shared" si="36"/>
        <v/>
      </c>
      <c r="AK219" s="2" t="str">
        <f t="shared" si="37"/>
        <v/>
      </c>
      <c r="AL219" s="2" t="str">
        <f t="shared" si="38"/>
        <v/>
      </c>
      <c r="AM219" s="2" t="str">
        <f t="shared" si="39"/>
        <v/>
      </c>
      <c r="AN219" s="2"/>
      <c r="AO219" s="2"/>
    </row>
    <row r="220" spans="1:41" ht="12" customHeight="1" x14ac:dyDescent="0.3">
      <c r="A220" s="2"/>
      <c r="B220" s="2" t="str">
        <f t="shared" si="30"/>
        <v/>
      </c>
      <c r="C220" s="2" t="str">
        <f t="shared" si="31"/>
        <v/>
      </c>
      <c r="D220" s="2" t="str">
        <f>IF(DB_Artworks_Export!A220="","",DB_Artworks_Export!A220)</f>
        <v/>
      </c>
      <c r="E220" s="2" t="str">
        <f>IF(DB_Artworks_Export!B220="","",DB_Artworks_Export!B220)</f>
        <v/>
      </c>
      <c r="F220" s="2" t="str">
        <f>IF(DB_Artworks_Export!C220="","",DB_Artworks_Export!C220)</f>
        <v/>
      </c>
      <c r="G220" s="2" t="str">
        <f>IF(DB_Artworks_Export!D220="","",DB_Artworks_Export!D220)</f>
        <v/>
      </c>
      <c r="H220" s="2" t="str">
        <f>IF(DB_Artworks_Export!E220="","",DB_Artworks_Export!E220)</f>
        <v/>
      </c>
      <c r="I220" s="2" t="str">
        <f>IF(DB_Artworks_Export!F220="","",DB_Artworks_Export!F220)</f>
        <v/>
      </c>
      <c r="J220" s="2" t="str">
        <f>IF(DB_Artworks_Export!G220="","",DB_Artworks_Export!G220)</f>
        <v/>
      </c>
      <c r="K220" s="2" t="str">
        <f>IF(DB_Artworks_Export!H220="","",DB_Artworks_Export!H220)</f>
        <v/>
      </c>
      <c r="L220" s="2" t="str">
        <f>IF(DB_Artworks_Export!I220="","",DB_Artworks_Export!I220)</f>
        <v/>
      </c>
      <c r="M220" s="2" t="str">
        <f>IF(DB_Artworks_Export!J220="","",DB_Artworks_Export!J220)</f>
        <v/>
      </c>
      <c r="N220" s="2" t="str">
        <f>IF(DB_Artworks_Export!K220="","",DB_Artworks_Export!K220)</f>
        <v/>
      </c>
      <c r="O220" s="2" t="str">
        <f>IF(DB_Artworks_Export!L220="","",DB_Artworks_Export!L220)</f>
        <v/>
      </c>
      <c r="P220" s="2" t="str">
        <f>IF(DB_Artworks_Export!M220="","",DB_Artworks_Export!M220)</f>
        <v/>
      </c>
      <c r="Q220" s="2" t="str">
        <f>IF(DB_Artworks_Export!N220="","",DB_Artworks_Export!N220)</f>
        <v/>
      </c>
      <c r="R220" s="2" t="str">
        <f>IF($D220="","",IF(COUNTIF(DB_Categories_Export!$A:$A,$F220)&gt;0,"OK","INVALID CATEGORY"))</f>
        <v/>
      </c>
      <c r="S220" s="2" t="str">
        <f>IF($D220="","",COUNTIF(DB_Artwork_Sizes_Export!$B:$B,$D220))</f>
        <v/>
      </c>
      <c r="T220" s="2" t="str">
        <f>IF($D220="","",IFERROR(INDEX(DB_Artwork_Sizes_Export!$D:$D,MATCH($D220,DB_Artwork_Sizes_Export!$B:$B,0)),""))</f>
        <v/>
      </c>
      <c r="U220" s="2" t="str">
        <f>IF($D220="","",IFERROR(INDEX(DB_Artwork_Sizes_Export!$E:$E,MATCH($D220,DB_Artwork_Sizes_Export!$B:$B,0)),""))</f>
        <v/>
      </c>
      <c r="V220" s="2" t="str">
        <f>IF($D220="","",IFERROR(INDEX(DB_Artwork_Sizes_Export!$F:$F,MATCH($D220,DB_Artwork_Sizes_Export!$B:$B,0)),""))</f>
        <v/>
      </c>
      <c r="W220" s="2" t="str">
        <f t="shared" si="32"/>
        <v/>
      </c>
      <c r="X220" s="2"/>
      <c r="Y220" s="2"/>
      <c r="Z220" s="2"/>
      <c r="AA220" s="2"/>
      <c r="AB220" s="2"/>
      <c r="AC220" s="2"/>
      <c r="AD220" s="2"/>
      <c r="AE220" s="2"/>
      <c r="AF220" s="2" t="str">
        <f t="shared" si="33"/>
        <v/>
      </c>
      <c r="AG220" s="2" t="str">
        <f t="shared" si="34"/>
        <v/>
      </c>
      <c r="AH220" s="2" t="str">
        <f>IF($AG220="","",IFERROR(VLOOKUP($AG220,DB_Categories_Export!$A:$B,2,FALSE()),"INVALID CATEGORY"))</f>
        <v/>
      </c>
      <c r="AI220" s="2" t="str">
        <f t="shared" si="35"/>
        <v/>
      </c>
      <c r="AJ220" s="2" t="str">
        <f t="shared" si="36"/>
        <v/>
      </c>
      <c r="AK220" s="2" t="str">
        <f t="shared" si="37"/>
        <v/>
      </c>
      <c r="AL220" s="2" t="str">
        <f t="shared" si="38"/>
        <v/>
      </c>
      <c r="AM220" s="2" t="str">
        <f t="shared" si="39"/>
        <v/>
      </c>
      <c r="AN220" s="2"/>
      <c r="AO220" s="2"/>
    </row>
    <row r="221" spans="1:41" ht="12" customHeight="1" x14ac:dyDescent="0.3">
      <c r="A221" s="2"/>
      <c r="B221" s="2" t="str">
        <f t="shared" si="30"/>
        <v/>
      </c>
      <c r="C221" s="2" t="str">
        <f t="shared" si="31"/>
        <v/>
      </c>
      <c r="D221" s="2" t="str">
        <f>IF(DB_Artworks_Export!A221="","",DB_Artworks_Export!A221)</f>
        <v/>
      </c>
      <c r="E221" s="2" t="str">
        <f>IF(DB_Artworks_Export!B221="","",DB_Artworks_Export!B221)</f>
        <v/>
      </c>
      <c r="F221" s="2" t="str">
        <f>IF(DB_Artworks_Export!C221="","",DB_Artworks_Export!C221)</f>
        <v/>
      </c>
      <c r="G221" s="2" t="str">
        <f>IF(DB_Artworks_Export!D221="","",DB_Artworks_Export!D221)</f>
        <v/>
      </c>
      <c r="H221" s="2" t="str">
        <f>IF(DB_Artworks_Export!E221="","",DB_Artworks_Export!E221)</f>
        <v/>
      </c>
      <c r="I221" s="2" t="str">
        <f>IF(DB_Artworks_Export!F221="","",DB_Artworks_Export!F221)</f>
        <v/>
      </c>
      <c r="J221" s="2" t="str">
        <f>IF(DB_Artworks_Export!G221="","",DB_Artworks_Export!G221)</f>
        <v/>
      </c>
      <c r="K221" s="2" t="str">
        <f>IF(DB_Artworks_Export!H221="","",DB_Artworks_Export!H221)</f>
        <v/>
      </c>
      <c r="L221" s="2" t="str">
        <f>IF(DB_Artworks_Export!I221="","",DB_Artworks_Export!I221)</f>
        <v/>
      </c>
      <c r="M221" s="2" t="str">
        <f>IF(DB_Artworks_Export!J221="","",DB_Artworks_Export!J221)</f>
        <v/>
      </c>
      <c r="N221" s="2" t="str">
        <f>IF(DB_Artworks_Export!K221="","",DB_Artworks_Export!K221)</f>
        <v/>
      </c>
      <c r="O221" s="2" t="str">
        <f>IF(DB_Artworks_Export!L221="","",DB_Artworks_Export!L221)</f>
        <v/>
      </c>
      <c r="P221" s="2" t="str">
        <f>IF(DB_Artworks_Export!M221="","",DB_Artworks_Export!M221)</f>
        <v/>
      </c>
      <c r="Q221" s="2" t="str">
        <f>IF(DB_Artworks_Export!N221="","",DB_Artworks_Export!N221)</f>
        <v/>
      </c>
      <c r="R221" s="2" t="str">
        <f>IF($D221="","",IF(COUNTIF(DB_Categories_Export!$A:$A,$F221)&gt;0,"OK","INVALID CATEGORY"))</f>
        <v/>
      </c>
      <c r="S221" s="2" t="str">
        <f>IF($D221="","",COUNTIF(DB_Artwork_Sizes_Export!$B:$B,$D221))</f>
        <v/>
      </c>
      <c r="T221" s="2" t="str">
        <f>IF($D221="","",IFERROR(INDEX(DB_Artwork_Sizes_Export!$D:$D,MATCH($D221,DB_Artwork_Sizes_Export!$B:$B,0)),""))</f>
        <v/>
      </c>
      <c r="U221" s="2" t="str">
        <f>IF($D221="","",IFERROR(INDEX(DB_Artwork_Sizes_Export!$E:$E,MATCH($D221,DB_Artwork_Sizes_Export!$B:$B,0)),""))</f>
        <v/>
      </c>
      <c r="V221" s="2" t="str">
        <f>IF($D221="","",IFERROR(INDEX(DB_Artwork_Sizes_Export!$F:$F,MATCH($D221,DB_Artwork_Sizes_Export!$B:$B,0)),""))</f>
        <v/>
      </c>
      <c r="W221" s="2" t="str">
        <f t="shared" si="32"/>
        <v/>
      </c>
      <c r="X221" s="2"/>
      <c r="Y221" s="2"/>
      <c r="Z221" s="2"/>
      <c r="AA221" s="2"/>
      <c r="AB221" s="2"/>
      <c r="AC221" s="2"/>
      <c r="AD221" s="2"/>
      <c r="AE221" s="2"/>
      <c r="AF221" s="2" t="str">
        <f t="shared" si="33"/>
        <v/>
      </c>
      <c r="AG221" s="2" t="str">
        <f t="shared" si="34"/>
        <v/>
      </c>
      <c r="AH221" s="2" t="str">
        <f>IF($AG221="","",IFERROR(VLOOKUP($AG221,DB_Categories_Export!$A:$B,2,FALSE()),"INVALID CATEGORY"))</f>
        <v/>
      </c>
      <c r="AI221" s="2" t="str">
        <f t="shared" si="35"/>
        <v/>
      </c>
      <c r="AJ221" s="2" t="str">
        <f t="shared" si="36"/>
        <v/>
      </c>
      <c r="AK221" s="2" t="str">
        <f t="shared" si="37"/>
        <v/>
      </c>
      <c r="AL221" s="2" t="str">
        <f t="shared" si="38"/>
        <v/>
      </c>
      <c r="AM221" s="2" t="str">
        <f t="shared" si="39"/>
        <v/>
      </c>
      <c r="AN221" s="2"/>
      <c r="AO221" s="2"/>
    </row>
    <row r="222" spans="1:41" ht="12" customHeight="1" x14ac:dyDescent="0.3">
      <c r="A222" s="2"/>
      <c r="B222" s="2" t="str">
        <f t="shared" si="30"/>
        <v/>
      </c>
      <c r="C222" s="2" t="str">
        <f t="shared" si="31"/>
        <v/>
      </c>
      <c r="D222" s="2" t="str">
        <f>IF(DB_Artworks_Export!A222="","",DB_Artworks_Export!A222)</f>
        <v/>
      </c>
      <c r="E222" s="2" t="str">
        <f>IF(DB_Artworks_Export!B222="","",DB_Artworks_Export!B222)</f>
        <v/>
      </c>
      <c r="F222" s="2" t="str">
        <f>IF(DB_Artworks_Export!C222="","",DB_Artworks_Export!C222)</f>
        <v/>
      </c>
      <c r="G222" s="2" t="str">
        <f>IF(DB_Artworks_Export!D222="","",DB_Artworks_Export!D222)</f>
        <v/>
      </c>
      <c r="H222" s="2" t="str">
        <f>IF(DB_Artworks_Export!E222="","",DB_Artworks_Export!E222)</f>
        <v/>
      </c>
      <c r="I222" s="2" t="str">
        <f>IF(DB_Artworks_Export!F222="","",DB_Artworks_Export!F222)</f>
        <v/>
      </c>
      <c r="J222" s="2" t="str">
        <f>IF(DB_Artworks_Export!G222="","",DB_Artworks_Export!G222)</f>
        <v/>
      </c>
      <c r="K222" s="2" t="str">
        <f>IF(DB_Artworks_Export!H222="","",DB_Artworks_Export!H222)</f>
        <v/>
      </c>
      <c r="L222" s="2" t="str">
        <f>IF(DB_Artworks_Export!I222="","",DB_Artworks_Export!I222)</f>
        <v/>
      </c>
      <c r="M222" s="2" t="str">
        <f>IF(DB_Artworks_Export!J222="","",DB_Artworks_Export!J222)</f>
        <v/>
      </c>
      <c r="N222" s="2" t="str">
        <f>IF(DB_Artworks_Export!K222="","",DB_Artworks_Export!K222)</f>
        <v/>
      </c>
      <c r="O222" s="2" t="str">
        <f>IF(DB_Artworks_Export!L222="","",DB_Artworks_Export!L222)</f>
        <v/>
      </c>
      <c r="P222" s="2" t="str">
        <f>IF(DB_Artworks_Export!M222="","",DB_Artworks_Export!M222)</f>
        <v/>
      </c>
      <c r="Q222" s="2" t="str">
        <f>IF(DB_Artworks_Export!N222="","",DB_Artworks_Export!N222)</f>
        <v/>
      </c>
      <c r="R222" s="2" t="str">
        <f>IF($D222="","",IF(COUNTIF(DB_Categories_Export!$A:$A,$F222)&gt;0,"OK","INVALID CATEGORY"))</f>
        <v/>
      </c>
      <c r="S222" s="2" t="str">
        <f>IF($D222="","",COUNTIF(DB_Artwork_Sizes_Export!$B:$B,$D222))</f>
        <v/>
      </c>
      <c r="T222" s="2" t="str">
        <f>IF($D222="","",IFERROR(INDEX(DB_Artwork_Sizes_Export!$D:$D,MATCH($D222,DB_Artwork_Sizes_Export!$B:$B,0)),""))</f>
        <v/>
      </c>
      <c r="U222" s="2" t="str">
        <f>IF($D222="","",IFERROR(INDEX(DB_Artwork_Sizes_Export!$E:$E,MATCH($D222,DB_Artwork_Sizes_Export!$B:$B,0)),""))</f>
        <v/>
      </c>
      <c r="V222" s="2" t="str">
        <f>IF($D222="","",IFERROR(INDEX(DB_Artwork_Sizes_Export!$F:$F,MATCH($D222,DB_Artwork_Sizes_Export!$B:$B,0)),""))</f>
        <v/>
      </c>
      <c r="W222" s="2" t="str">
        <f t="shared" si="32"/>
        <v/>
      </c>
      <c r="X222" s="2"/>
      <c r="Y222" s="2"/>
      <c r="Z222" s="2"/>
      <c r="AA222" s="2"/>
      <c r="AB222" s="2"/>
      <c r="AC222" s="2"/>
      <c r="AD222" s="2"/>
      <c r="AE222" s="2"/>
      <c r="AF222" s="2" t="str">
        <f t="shared" si="33"/>
        <v/>
      </c>
      <c r="AG222" s="2" t="str">
        <f t="shared" si="34"/>
        <v/>
      </c>
      <c r="AH222" s="2" t="str">
        <f>IF($AG222="","",IFERROR(VLOOKUP($AG222,DB_Categories_Export!$A:$B,2,FALSE()),"INVALID CATEGORY"))</f>
        <v/>
      </c>
      <c r="AI222" s="2" t="str">
        <f t="shared" si="35"/>
        <v/>
      </c>
      <c r="AJ222" s="2" t="str">
        <f t="shared" si="36"/>
        <v/>
      </c>
      <c r="AK222" s="2" t="str">
        <f t="shared" si="37"/>
        <v/>
      </c>
      <c r="AL222" s="2" t="str">
        <f t="shared" si="38"/>
        <v/>
      </c>
      <c r="AM222" s="2" t="str">
        <f t="shared" si="39"/>
        <v/>
      </c>
      <c r="AN222" s="2"/>
      <c r="AO222" s="2"/>
    </row>
    <row r="223" spans="1:41" ht="12" customHeight="1" x14ac:dyDescent="0.3">
      <c r="A223" s="2"/>
      <c r="B223" s="2" t="str">
        <f t="shared" si="30"/>
        <v/>
      </c>
      <c r="C223" s="2" t="str">
        <f t="shared" si="31"/>
        <v/>
      </c>
      <c r="D223" s="2" t="str">
        <f>IF(DB_Artworks_Export!A223="","",DB_Artworks_Export!A223)</f>
        <v/>
      </c>
      <c r="E223" s="2" t="str">
        <f>IF(DB_Artworks_Export!B223="","",DB_Artworks_Export!B223)</f>
        <v/>
      </c>
      <c r="F223" s="2" t="str">
        <f>IF(DB_Artworks_Export!C223="","",DB_Artworks_Export!C223)</f>
        <v/>
      </c>
      <c r="G223" s="2" t="str">
        <f>IF(DB_Artworks_Export!D223="","",DB_Artworks_Export!D223)</f>
        <v/>
      </c>
      <c r="H223" s="2" t="str">
        <f>IF(DB_Artworks_Export!E223="","",DB_Artworks_Export!E223)</f>
        <v/>
      </c>
      <c r="I223" s="2" t="str">
        <f>IF(DB_Artworks_Export!F223="","",DB_Artworks_Export!F223)</f>
        <v/>
      </c>
      <c r="J223" s="2" t="str">
        <f>IF(DB_Artworks_Export!G223="","",DB_Artworks_Export!G223)</f>
        <v/>
      </c>
      <c r="K223" s="2" t="str">
        <f>IF(DB_Artworks_Export!H223="","",DB_Artworks_Export!H223)</f>
        <v/>
      </c>
      <c r="L223" s="2" t="str">
        <f>IF(DB_Artworks_Export!I223="","",DB_Artworks_Export!I223)</f>
        <v/>
      </c>
      <c r="M223" s="2" t="str">
        <f>IF(DB_Artworks_Export!J223="","",DB_Artworks_Export!J223)</f>
        <v/>
      </c>
      <c r="N223" s="2" t="str">
        <f>IF(DB_Artworks_Export!K223="","",DB_Artworks_Export!K223)</f>
        <v/>
      </c>
      <c r="O223" s="2" t="str">
        <f>IF(DB_Artworks_Export!L223="","",DB_Artworks_Export!L223)</f>
        <v/>
      </c>
      <c r="P223" s="2" t="str">
        <f>IF(DB_Artworks_Export!M223="","",DB_Artworks_Export!M223)</f>
        <v/>
      </c>
      <c r="Q223" s="2" t="str">
        <f>IF(DB_Artworks_Export!N223="","",DB_Artworks_Export!N223)</f>
        <v/>
      </c>
      <c r="R223" s="2" t="str">
        <f>IF($D223="","",IF(COUNTIF(DB_Categories_Export!$A:$A,$F223)&gt;0,"OK","INVALID CATEGORY"))</f>
        <v/>
      </c>
      <c r="S223" s="2" t="str">
        <f>IF($D223="","",COUNTIF(DB_Artwork_Sizes_Export!$B:$B,$D223))</f>
        <v/>
      </c>
      <c r="T223" s="2" t="str">
        <f>IF($D223="","",IFERROR(INDEX(DB_Artwork_Sizes_Export!$D:$D,MATCH($D223,DB_Artwork_Sizes_Export!$B:$B,0)),""))</f>
        <v/>
      </c>
      <c r="U223" s="2" t="str">
        <f>IF($D223="","",IFERROR(INDEX(DB_Artwork_Sizes_Export!$E:$E,MATCH($D223,DB_Artwork_Sizes_Export!$B:$B,0)),""))</f>
        <v/>
      </c>
      <c r="V223" s="2" t="str">
        <f>IF($D223="","",IFERROR(INDEX(DB_Artwork_Sizes_Export!$F:$F,MATCH($D223,DB_Artwork_Sizes_Export!$B:$B,0)),""))</f>
        <v/>
      </c>
      <c r="W223" s="2" t="str">
        <f t="shared" si="32"/>
        <v/>
      </c>
      <c r="X223" s="2"/>
      <c r="Y223" s="2"/>
      <c r="Z223" s="2"/>
      <c r="AA223" s="2"/>
      <c r="AB223" s="2"/>
      <c r="AC223" s="2"/>
      <c r="AD223" s="2"/>
      <c r="AE223" s="2"/>
      <c r="AF223" s="2" t="str">
        <f t="shared" si="33"/>
        <v/>
      </c>
      <c r="AG223" s="2" t="str">
        <f t="shared" si="34"/>
        <v/>
      </c>
      <c r="AH223" s="2" t="str">
        <f>IF($AG223="","",IFERROR(VLOOKUP($AG223,DB_Categories_Export!$A:$B,2,FALSE()),"INVALID CATEGORY"))</f>
        <v/>
      </c>
      <c r="AI223" s="2" t="str">
        <f t="shared" si="35"/>
        <v/>
      </c>
      <c r="AJ223" s="2" t="str">
        <f t="shared" si="36"/>
        <v/>
      </c>
      <c r="AK223" s="2" t="str">
        <f t="shared" si="37"/>
        <v/>
      </c>
      <c r="AL223" s="2" t="str">
        <f t="shared" si="38"/>
        <v/>
      </c>
      <c r="AM223" s="2" t="str">
        <f t="shared" si="39"/>
        <v/>
      </c>
      <c r="AN223" s="2"/>
      <c r="AO223" s="2"/>
    </row>
    <row r="224" spans="1:41" ht="12" customHeight="1" x14ac:dyDescent="0.3">
      <c r="A224" s="2"/>
      <c r="B224" s="2" t="str">
        <f t="shared" si="30"/>
        <v/>
      </c>
      <c r="C224" s="2" t="str">
        <f t="shared" si="31"/>
        <v/>
      </c>
      <c r="D224" s="2" t="str">
        <f>IF(DB_Artworks_Export!A224="","",DB_Artworks_Export!A224)</f>
        <v/>
      </c>
      <c r="E224" s="2" t="str">
        <f>IF(DB_Artworks_Export!B224="","",DB_Artworks_Export!B224)</f>
        <v/>
      </c>
      <c r="F224" s="2" t="str">
        <f>IF(DB_Artworks_Export!C224="","",DB_Artworks_Export!C224)</f>
        <v/>
      </c>
      <c r="G224" s="2" t="str">
        <f>IF(DB_Artworks_Export!D224="","",DB_Artworks_Export!D224)</f>
        <v/>
      </c>
      <c r="H224" s="2" t="str">
        <f>IF(DB_Artworks_Export!E224="","",DB_Artworks_Export!E224)</f>
        <v/>
      </c>
      <c r="I224" s="2" t="str">
        <f>IF(DB_Artworks_Export!F224="","",DB_Artworks_Export!F224)</f>
        <v/>
      </c>
      <c r="J224" s="2" t="str">
        <f>IF(DB_Artworks_Export!G224="","",DB_Artworks_Export!G224)</f>
        <v/>
      </c>
      <c r="K224" s="2" t="str">
        <f>IF(DB_Artworks_Export!H224="","",DB_Artworks_Export!H224)</f>
        <v/>
      </c>
      <c r="L224" s="2" t="str">
        <f>IF(DB_Artworks_Export!I224="","",DB_Artworks_Export!I224)</f>
        <v/>
      </c>
      <c r="M224" s="2" t="str">
        <f>IF(DB_Artworks_Export!J224="","",DB_Artworks_Export!J224)</f>
        <v/>
      </c>
      <c r="N224" s="2" t="str">
        <f>IF(DB_Artworks_Export!K224="","",DB_Artworks_Export!K224)</f>
        <v/>
      </c>
      <c r="O224" s="2" t="str">
        <f>IF(DB_Artworks_Export!L224="","",DB_Artworks_Export!L224)</f>
        <v/>
      </c>
      <c r="P224" s="2" t="str">
        <f>IF(DB_Artworks_Export!M224="","",DB_Artworks_Export!M224)</f>
        <v/>
      </c>
      <c r="Q224" s="2" t="str">
        <f>IF(DB_Artworks_Export!N224="","",DB_Artworks_Export!N224)</f>
        <v/>
      </c>
      <c r="R224" s="2" t="str">
        <f>IF($D224="","",IF(COUNTIF(DB_Categories_Export!$A:$A,$F224)&gt;0,"OK","INVALID CATEGORY"))</f>
        <v/>
      </c>
      <c r="S224" s="2" t="str">
        <f>IF($D224="","",COUNTIF(DB_Artwork_Sizes_Export!$B:$B,$D224))</f>
        <v/>
      </c>
      <c r="T224" s="2" t="str">
        <f>IF($D224="","",IFERROR(INDEX(DB_Artwork_Sizes_Export!$D:$D,MATCH($D224,DB_Artwork_Sizes_Export!$B:$B,0)),""))</f>
        <v/>
      </c>
      <c r="U224" s="2" t="str">
        <f>IF($D224="","",IFERROR(INDEX(DB_Artwork_Sizes_Export!$E:$E,MATCH($D224,DB_Artwork_Sizes_Export!$B:$B,0)),""))</f>
        <v/>
      </c>
      <c r="V224" s="2" t="str">
        <f>IF($D224="","",IFERROR(INDEX(DB_Artwork_Sizes_Export!$F:$F,MATCH($D224,DB_Artwork_Sizes_Export!$B:$B,0)),""))</f>
        <v/>
      </c>
      <c r="W224" s="2" t="str">
        <f t="shared" si="32"/>
        <v/>
      </c>
      <c r="X224" s="2"/>
      <c r="Y224" s="2"/>
      <c r="Z224" s="2"/>
      <c r="AA224" s="2"/>
      <c r="AB224" s="2"/>
      <c r="AC224" s="2"/>
      <c r="AD224" s="2"/>
      <c r="AE224" s="2"/>
      <c r="AF224" s="2" t="str">
        <f t="shared" si="33"/>
        <v/>
      </c>
      <c r="AG224" s="2" t="str">
        <f t="shared" si="34"/>
        <v/>
      </c>
      <c r="AH224" s="2" t="str">
        <f>IF($AG224="","",IFERROR(VLOOKUP($AG224,DB_Categories_Export!$A:$B,2,FALSE()),"INVALID CATEGORY"))</f>
        <v/>
      </c>
      <c r="AI224" s="2" t="str">
        <f t="shared" si="35"/>
        <v/>
      </c>
      <c r="AJ224" s="2" t="str">
        <f t="shared" si="36"/>
        <v/>
      </c>
      <c r="AK224" s="2" t="str">
        <f t="shared" si="37"/>
        <v/>
      </c>
      <c r="AL224" s="2" t="str">
        <f t="shared" si="38"/>
        <v/>
      </c>
      <c r="AM224" s="2" t="str">
        <f t="shared" si="39"/>
        <v/>
      </c>
      <c r="AN224" s="2"/>
      <c r="AO224" s="2"/>
    </row>
    <row r="225" spans="1:41" ht="12" customHeight="1" x14ac:dyDescent="0.3">
      <c r="A225" s="2"/>
      <c r="B225" s="2" t="str">
        <f t="shared" si="30"/>
        <v/>
      </c>
      <c r="C225" s="2" t="str">
        <f t="shared" si="31"/>
        <v/>
      </c>
      <c r="D225" s="2" t="str">
        <f>IF(DB_Artworks_Export!A225="","",DB_Artworks_Export!A225)</f>
        <v/>
      </c>
      <c r="E225" s="2" t="str">
        <f>IF(DB_Artworks_Export!B225="","",DB_Artworks_Export!B225)</f>
        <v/>
      </c>
      <c r="F225" s="2" t="str">
        <f>IF(DB_Artworks_Export!C225="","",DB_Artworks_Export!C225)</f>
        <v/>
      </c>
      <c r="G225" s="2" t="str">
        <f>IF(DB_Artworks_Export!D225="","",DB_Artworks_Export!D225)</f>
        <v/>
      </c>
      <c r="H225" s="2" t="str">
        <f>IF(DB_Artworks_Export!E225="","",DB_Artworks_Export!E225)</f>
        <v/>
      </c>
      <c r="I225" s="2" t="str">
        <f>IF(DB_Artworks_Export!F225="","",DB_Artworks_Export!F225)</f>
        <v/>
      </c>
      <c r="J225" s="2" t="str">
        <f>IF(DB_Artworks_Export!G225="","",DB_Artworks_Export!G225)</f>
        <v/>
      </c>
      <c r="K225" s="2" t="str">
        <f>IF(DB_Artworks_Export!H225="","",DB_Artworks_Export!H225)</f>
        <v/>
      </c>
      <c r="L225" s="2" t="str">
        <f>IF(DB_Artworks_Export!I225="","",DB_Artworks_Export!I225)</f>
        <v/>
      </c>
      <c r="M225" s="2" t="str">
        <f>IF(DB_Artworks_Export!J225="","",DB_Artworks_Export!J225)</f>
        <v/>
      </c>
      <c r="N225" s="2" t="str">
        <f>IF(DB_Artworks_Export!K225="","",DB_Artworks_Export!K225)</f>
        <v/>
      </c>
      <c r="O225" s="2" t="str">
        <f>IF(DB_Artworks_Export!L225="","",DB_Artworks_Export!L225)</f>
        <v/>
      </c>
      <c r="P225" s="2" t="str">
        <f>IF(DB_Artworks_Export!M225="","",DB_Artworks_Export!M225)</f>
        <v/>
      </c>
      <c r="Q225" s="2" t="str">
        <f>IF(DB_Artworks_Export!N225="","",DB_Artworks_Export!N225)</f>
        <v/>
      </c>
      <c r="R225" s="2" t="str">
        <f>IF($D225="","",IF(COUNTIF(DB_Categories_Export!$A:$A,$F225)&gt;0,"OK","INVALID CATEGORY"))</f>
        <v/>
      </c>
      <c r="S225" s="2" t="str">
        <f>IF($D225="","",COUNTIF(DB_Artwork_Sizes_Export!$B:$B,$D225))</f>
        <v/>
      </c>
      <c r="T225" s="2" t="str">
        <f>IF($D225="","",IFERROR(INDEX(DB_Artwork_Sizes_Export!$D:$D,MATCH($D225,DB_Artwork_Sizes_Export!$B:$B,0)),""))</f>
        <v/>
      </c>
      <c r="U225" s="2" t="str">
        <f>IF($D225="","",IFERROR(INDEX(DB_Artwork_Sizes_Export!$E:$E,MATCH($D225,DB_Artwork_Sizes_Export!$B:$B,0)),""))</f>
        <v/>
      </c>
      <c r="V225" s="2" t="str">
        <f>IF($D225="","",IFERROR(INDEX(DB_Artwork_Sizes_Export!$F:$F,MATCH($D225,DB_Artwork_Sizes_Export!$B:$B,0)),""))</f>
        <v/>
      </c>
      <c r="W225" s="2" t="str">
        <f t="shared" si="32"/>
        <v/>
      </c>
      <c r="X225" s="2"/>
      <c r="Y225" s="2"/>
      <c r="Z225" s="2"/>
      <c r="AA225" s="2"/>
      <c r="AB225" s="2"/>
      <c r="AC225" s="2"/>
      <c r="AD225" s="2"/>
      <c r="AE225" s="2"/>
      <c r="AF225" s="2" t="str">
        <f t="shared" si="33"/>
        <v/>
      </c>
      <c r="AG225" s="2" t="str">
        <f t="shared" si="34"/>
        <v/>
      </c>
      <c r="AH225" s="2" t="str">
        <f>IF($AG225="","",IFERROR(VLOOKUP($AG225,DB_Categories_Export!$A:$B,2,FALSE()),"INVALID CATEGORY"))</f>
        <v/>
      </c>
      <c r="AI225" s="2" t="str">
        <f t="shared" si="35"/>
        <v/>
      </c>
      <c r="AJ225" s="2" t="str">
        <f t="shared" si="36"/>
        <v/>
      </c>
      <c r="AK225" s="2" t="str">
        <f t="shared" si="37"/>
        <v/>
      </c>
      <c r="AL225" s="2" t="str">
        <f t="shared" si="38"/>
        <v/>
      </c>
      <c r="AM225" s="2" t="str">
        <f t="shared" si="39"/>
        <v/>
      </c>
      <c r="AN225" s="2"/>
      <c r="AO225" s="2"/>
    </row>
    <row r="226" spans="1:41" ht="12" customHeight="1" x14ac:dyDescent="0.3">
      <c r="A226" s="2"/>
      <c r="B226" s="2" t="str">
        <f t="shared" si="30"/>
        <v/>
      </c>
      <c r="C226" s="2" t="str">
        <f t="shared" si="31"/>
        <v/>
      </c>
      <c r="D226" s="2" t="str">
        <f>IF(DB_Artworks_Export!A226="","",DB_Artworks_Export!A226)</f>
        <v/>
      </c>
      <c r="E226" s="2" t="str">
        <f>IF(DB_Artworks_Export!B226="","",DB_Artworks_Export!B226)</f>
        <v/>
      </c>
      <c r="F226" s="2" t="str">
        <f>IF(DB_Artworks_Export!C226="","",DB_Artworks_Export!C226)</f>
        <v/>
      </c>
      <c r="G226" s="2" t="str">
        <f>IF(DB_Artworks_Export!D226="","",DB_Artworks_Export!D226)</f>
        <v/>
      </c>
      <c r="H226" s="2" t="str">
        <f>IF(DB_Artworks_Export!E226="","",DB_Artworks_Export!E226)</f>
        <v/>
      </c>
      <c r="I226" s="2" t="str">
        <f>IF(DB_Artworks_Export!F226="","",DB_Artworks_Export!F226)</f>
        <v/>
      </c>
      <c r="J226" s="2" t="str">
        <f>IF(DB_Artworks_Export!G226="","",DB_Artworks_Export!G226)</f>
        <v/>
      </c>
      <c r="K226" s="2" t="str">
        <f>IF(DB_Artworks_Export!H226="","",DB_Artworks_Export!H226)</f>
        <v/>
      </c>
      <c r="L226" s="2" t="str">
        <f>IF(DB_Artworks_Export!I226="","",DB_Artworks_Export!I226)</f>
        <v/>
      </c>
      <c r="M226" s="2" t="str">
        <f>IF(DB_Artworks_Export!J226="","",DB_Artworks_Export!J226)</f>
        <v/>
      </c>
      <c r="N226" s="2" t="str">
        <f>IF(DB_Artworks_Export!K226="","",DB_Artworks_Export!K226)</f>
        <v/>
      </c>
      <c r="O226" s="2" t="str">
        <f>IF(DB_Artworks_Export!L226="","",DB_Artworks_Export!L226)</f>
        <v/>
      </c>
      <c r="P226" s="2" t="str">
        <f>IF(DB_Artworks_Export!M226="","",DB_Artworks_Export!M226)</f>
        <v/>
      </c>
      <c r="Q226" s="2" t="str">
        <f>IF(DB_Artworks_Export!N226="","",DB_Artworks_Export!N226)</f>
        <v/>
      </c>
      <c r="R226" s="2" t="str">
        <f>IF($D226="","",IF(COUNTIF(DB_Categories_Export!$A:$A,$F226)&gt;0,"OK","INVALID CATEGORY"))</f>
        <v/>
      </c>
      <c r="S226" s="2" t="str">
        <f>IF($D226="","",COUNTIF(DB_Artwork_Sizes_Export!$B:$B,$D226))</f>
        <v/>
      </c>
      <c r="T226" s="2" t="str">
        <f>IF($D226="","",IFERROR(INDEX(DB_Artwork_Sizes_Export!$D:$D,MATCH($D226,DB_Artwork_Sizes_Export!$B:$B,0)),""))</f>
        <v/>
      </c>
      <c r="U226" s="2" t="str">
        <f>IF($D226="","",IFERROR(INDEX(DB_Artwork_Sizes_Export!$E:$E,MATCH($D226,DB_Artwork_Sizes_Export!$B:$B,0)),""))</f>
        <v/>
      </c>
      <c r="V226" s="2" t="str">
        <f>IF($D226="","",IFERROR(INDEX(DB_Artwork_Sizes_Export!$F:$F,MATCH($D226,DB_Artwork_Sizes_Export!$B:$B,0)),""))</f>
        <v/>
      </c>
      <c r="W226" s="2" t="str">
        <f t="shared" si="32"/>
        <v/>
      </c>
      <c r="X226" s="2"/>
      <c r="Y226" s="2"/>
      <c r="Z226" s="2"/>
      <c r="AA226" s="2"/>
      <c r="AB226" s="2"/>
      <c r="AC226" s="2"/>
      <c r="AD226" s="2"/>
      <c r="AE226" s="2"/>
      <c r="AF226" s="2" t="str">
        <f t="shared" si="33"/>
        <v/>
      </c>
      <c r="AG226" s="2" t="str">
        <f t="shared" si="34"/>
        <v/>
      </c>
      <c r="AH226" s="2" t="str">
        <f>IF($AG226="","",IFERROR(VLOOKUP($AG226,DB_Categories_Export!$A:$B,2,FALSE()),"INVALID CATEGORY"))</f>
        <v/>
      </c>
      <c r="AI226" s="2" t="str">
        <f t="shared" si="35"/>
        <v/>
      </c>
      <c r="AJ226" s="2" t="str">
        <f t="shared" si="36"/>
        <v/>
      </c>
      <c r="AK226" s="2" t="str">
        <f t="shared" si="37"/>
        <v/>
      </c>
      <c r="AL226" s="2" t="str">
        <f t="shared" si="38"/>
        <v/>
      </c>
      <c r="AM226" s="2" t="str">
        <f t="shared" si="39"/>
        <v/>
      </c>
      <c r="AN226" s="2"/>
      <c r="AO226" s="2"/>
    </row>
    <row r="227" spans="1:41" ht="12" customHeight="1" x14ac:dyDescent="0.3">
      <c r="A227" s="2"/>
      <c r="B227" s="2" t="str">
        <f t="shared" si="30"/>
        <v/>
      </c>
      <c r="C227" s="2" t="str">
        <f t="shared" si="31"/>
        <v/>
      </c>
      <c r="D227" s="2" t="str">
        <f>IF(DB_Artworks_Export!A227="","",DB_Artworks_Export!A227)</f>
        <v/>
      </c>
      <c r="E227" s="2" t="str">
        <f>IF(DB_Artworks_Export!B227="","",DB_Artworks_Export!B227)</f>
        <v/>
      </c>
      <c r="F227" s="2" t="str">
        <f>IF(DB_Artworks_Export!C227="","",DB_Artworks_Export!C227)</f>
        <v/>
      </c>
      <c r="G227" s="2" t="str">
        <f>IF(DB_Artworks_Export!D227="","",DB_Artworks_Export!D227)</f>
        <v/>
      </c>
      <c r="H227" s="2" t="str">
        <f>IF(DB_Artworks_Export!E227="","",DB_Artworks_Export!E227)</f>
        <v/>
      </c>
      <c r="I227" s="2" t="str">
        <f>IF(DB_Artworks_Export!F227="","",DB_Artworks_Export!F227)</f>
        <v/>
      </c>
      <c r="J227" s="2" t="str">
        <f>IF(DB_Artworks_Export!G227="","",DB_Artworks_Export!G227)</f>
        <v/>
      </c>
      <c r="K227" s="2" t="str">
        <f>IF(DB_Artworks_Export!H227="","",DB_Artworks_Export!H227)</f>
        <v/>
      </c>
      <c r="L227" s="2" t="str">
        <f>IF(DB_Artworks_Export!I227="","",DB_Artworks_Export!I227)</f>
        <v/>
      </c>
      <c r="M227" s="2" t="str">
        <f>IF(DB_Artworks_Export!J227="","",DB_Artworks_Export!J227)</f>
        <v/>
      </c>
      <c r="N227" s="2" t="str">
        <f>IF(DB_Artworks_Export!K227="","",DB_Artworks_Export!K227)</f>
        <v/>
      </c>
      <c r="O227" s="2" t="str">
        <f>IF(DB_Artworks_Export!L227="","",DB_Artworks_Export!L227)</f>
        <v/>
      </c>
      <c r="P227" s="2" t="str">
        <f>IF(DB_Artworks_Export!M227="","",DB_Artworks_Export!M227)</f>
        <v/>
      </c>
      <c r="Q227" s="2" t="str">
        <f>IF(DB_Artworks_Export!N227="","",DB_Artworks_Export!N227)</f>
        <v/>
      </c>
      <c r="R227" s="2" t="str">
        <f>IF($D227="","",IF(COUNTIF(DB_Categories_Export!$A:$A,$F227)&gt;0,"OK","INVALID CATEGORY"))</f>
        <v/>
      </c>
      <c r="S227" s="2" t="str">
        <f>IF($D227="","",COUNTIF(DB_Artwork_Sizes_Export!$B:$B,$D227))</f>
        <v/>
      </c>
      <c r="T227" s="2" t="str">
        <f>IF($D227="","",IFERROR(INDEX(DB_Artwork_Sizes_Export!$D:$D,MATCH($D227,DB_Artwork_Sizes_Export!$B:$B,0)),""))</f>
        <v/>
      </c>
      <c r="U227" s="2" t="str">
        <f>IF($D227="","",IFERROR(INDEX(DB_Artwork_Sizes_Export!$E:$E,MATCH($D227,DB_Artwork_Sizes_Export!$B:$B,0)),""))</f>
        <v/>
      </c>
      <c r="V227" s="2" t="str">
        <f>IF($D227="","",IFERROR(INDEX(DB_Artwork_Sizes_Export!$F:$F,MATCH($D227,DB_Artwork_Sizes_Export!$B:$B,0)),""))</f>
        <v/>
      </c>
      <c r="W227" s="2" t="str">
        <f t="shared" si="32"/>
        <v/>
      </c>
      <c r="X227" s="2"/>
      <c r="Y227" s="2"/>
      <c r="Z227" s="2"/>
      <c r="AA227" s="2"/>
      <c r="AB227" s="2"/>
      <c r="AC227" s="2"/>
      <c r="AD227" s="2"/>
      <c r="AE227" s="2"/>
      <c r="AF227" s="2" t="str">
        <f t="shared" si="33"/>
        <v/>
      </c>
      <c r="AG227" s="2" t="str">
        <f t="shared" si="34"/>
        <v/>
      </c>
      <c r="AH227" s="2" t="str">
        <f>IF($AG227="","",IFERROR(VLOOKUP($AG227,DB_Categories_Export!$A:$B,2,FALSE()),"INVALID CATEGORY"))</f>
        <v/>
      </c>
      <c r="AI227" s="2" t="str">
        <f t="shared" si="35"/>
        <v/>
      </c>
      <c r="AJ227" s="2" t="str">
        <f t="shared" si="36"/>
        <v/>
      </c>
      <c r="AK227" s="2" t="str">
        <f t="shared" si="37"/>
        <v/>
      </c>
      <c r="AL227" s="2" t="str">
        <f t="shared" si="38"/>
        <v/>
      </c>
      <c r="AM227" s="2" t="str">
        <f t="shared" si="39"/>
        <v/>
      </c>
      <c r="AN227" s="2"/>
      <c r="AO227" s="2"/>
    </row>
    <row r="228" spans="1:41" ht="12" customHeight="1" x14ac:dyDescent="0.3">
      <c r="A228" s="2"/>
      <c r="B228" s="2" t="str">
        <f t="shared" si="30"/>
        <v/>
      </c>
      <c r="C228" s="2" t="str">
        <f t="shared" si="31"/>
        <v/>
      </c>
      <c r="D228" s="2" t="str">
        <f>IF(DB_Artworks_Export!A228="","",DB_Artworks_Export!A228)</f>
        <v/>
      </c>
      <c r="E228" s="2" t="str">
        <f>IF(DB_Artworks_Export!B228="","",DB_Artworks_Export!B228)</f>
        <v/>
      </c>
      <c r="F228" s="2" t="str">
        <f>IF(DB_Artworks_Export!C228="","",DB_Artworks_Export!C228)</f>
        <v/>
      </c>
      <c r="G228" s="2" t="str">
        <f>IF(DB_Artworks_Export!D228="","",DB_Artworks_Export!D228)</f>
        <v/>
      </c>
      <c r="H228" s="2" t="str">
        <f>IF(DB_Artworks_Export!E228="","",DB_Artworks_Export!E228)</f>
        <v/>
      </c>
      <c r="I228" s="2" t="str">
        <f>IF(DB_Artworks_Export!F228="","",DB_Artworks_Export!F228)</f>
        <v/>
      </c>
      <c r="J228" s="2" t="str">
        <f>IF(DB_Artworks_Export!G228="","",DB_Artworks_Export!G228)</f>
        <v/>
      </c>
      <c r="K228" s="2" t="str">
        <f>IF(DB_Artworks_Export!H228="","",DB_Artworks_Export!H228)</f>
        <v/>
      </c>
      <c r="L228" s="2" t="str">
        <f>IF(DB_Artworks_Export!I228="","",DB_Artworks_Export!I228)</f>
        <v/>
      </c>
      <c r="M228" s="2" t="str">
        <f>IF(DB_Artworks_Export!J228="","",DB_Artworks_Export!J228)</f>
        <v/>
      </c>
      <c r="N228" s="2" t="str">
        <f>IF(DB_Artworks_Export!K228="","",DB_Artworks_Export!K228)</f>
        <v/>
      </c>
      <c r="O228" s="2" t="str">
        <f>IF(DB_Artworks_Export!L228="","",DB_Artworks_Export!L228)</f>
        <v/>
      </c>
      <c r="P228" s="2" t="str">
        <f>IF(DB_Artworks_Export!M228="","",DB_Artworks_Export!M228)</f>
        <v/>
      </c>
      <c r="Q228" s="2" t="str">
        <f>IF(DB_Artworks_Export!N228="","",DB_Artworks_Export!N228)</f>
        <v/>
      </c>
      <c r="R228" s="2" t="str">
        <f>IF($D228="","",IF(COUNTIF(DB_Categories_Export!$A:$A,$F228)&gt;0,"OK","INVALID CATEGORY"))</f>
        <v/>
      </c>
      <c r="S228" s="2" t="str">
        <f>IF($D228="","",COUNTIF(DB_Artwork_Sizes_Export!$B:$B,$D228))</f>
        <v/>
      </c>
      <c r="T228" s="2" t="str">
        <f>IF($D228="","",IFERROR(INDEX(DB_Artwork_Sizes_Export!$D:$D,MATCH($D228,DB_Artwork_Sizes_Export!$B:$B,0)),""))</f>
        <v/>
      </c>
      <c r="U228" s="2" t="str">
        <f>IF($D228="","",IFERROR(INDEX(DB_Artwork_Sizes_Export!$E:$E,MATCH($D228,DB_Artwork_Sizes_Export!$B:$B,0)),""))</f>
        <v/>
      </c>
      <c r="V228" s="2" t="str">
        <f>IF($D228="","",IFERROR(INDEX(DB_Artwork_Sizes_Export!$F:$F,MATCH($D228,DB_Artwork_Sizes_Export!$B:$B,0)),""))</f>
        <v/>
      </c>
      <c r="W228" s="2" t="str">
        <f t="shared" si="32"/>
        <v/>
      </c>
      <c r="X228" s="2"/>
      <c r="Y228" s="2"/>
      <c r="Z228" s="2"/>
      <c r="AA228" s="2"/>
      <c r="AB228" s="2"/>
      <c r="AC228" s="2"/>
      <c r="AD228" s="2"/>
      <c r="AE228" s="2"/>
      <c r="AF228" s="2" t="str">
        <f t="shared" si="33"/>
        <v/>
      </c>
      <c r="AG228" s="2" t="str">
        <f t="shared" si="34"/>
        <v/>
      </c>
      <c r="AH228" s="2" t="str">
        <f>IF($AG228="","",IFERROR(VLOOKUP($AG228,DB_Categories_Export!$A:$B,2,FALSE()),"INVALID CATEGORY"))</f>
        <v/>
      </c>
      <c r="AI228" s="2" t="str">
        <f t="shared" si="35"/>
        <v/>
      </c>
      <c r="AJ228" s="2" t="str">
        <f t="shared" si="36"/>
        <v/>
      </c>
      <c r="AK228" s="2" t="str">
        <f t="shared" si="37"/>
        <v/>
      </c>
      <c r="AL228" s="2" t="str">
        <f t="shared" si="38"/>
        <v/>
      </c>
      <c r="AM228" s="2" t="str">
        <f t="shared" si="39"/>
        <v/>
      </c>
      <c r="AN228" s="2"/>
      <c r="AO228" s="2"/>
    </row>
    <row r="229" spans="1:41" ht="12" customHeight="1" x14ac:dyDescent="0.3">
      <c r="A229" s="2"/>
      <c r="B229" s="2" t="str">
        <f t="shared" si="30"/>
        <v/>
      </c>
      <c r="C229" s="2" t="str">
        <f t="shared" si="31"/>
        <v/>
      </c>
      <c r="D229" s="2" t="str">
        <f>IF(DB_Artworks_Export!A229="","",DB_Artworks_Export!A229)</f>
        <v/>
      </c>
      <c r="E229" s="2" t="str">
        <f>IF(DB_Artworks_Export!B229="","",DB_Artworks_Export!B229)</f>
        <v/>
      </c>
      <c r="F229" s="2" t="str">
        <f>IF(DB_Artworks_Export!C229="","",DB_Artworks_Export!C229)</f>
        <v/>
      </c>
      <c r="G229" s="2" t="str">
        <f>IF(DB_Artworks_Export!D229="","",DB_Artworks_Export!D229)</f>
        <v/>
      </c>
      <c r="H229" s="2" t="str">
        <f>IF(DB_Artworks_Export!E229="","",DB_Artworks_Export!E229)</f>
        <v/>
      </c>
      <c r="I229" s="2" t="str">
        <f>IF(DB_Artworks_Export!F229="","",DB_Artworks_Export!F229)</f>
        <v/>
      </c>
      <c r="J229" s="2" t="str">
        <f>IF(DB_Artworks_Export!G229="","",DB_Artworks_Export!G229)</f>
        <v/>
      </c>
      <c r="K229" s="2" t="str">
        <f>IF(DB_Artworks_Export!H229="","",DB_Artworks_Export!H229)</f>
        <v/>
      </c>
      <c r="L229" s="2" t="str">
        <f>IF(DB_Artworks_Export!I229="","",DB_Artworks_Export!I229)</f>
        <v/>
      </c>
      <c r="M229" s="2" t="str">
        <f>IF(DB_Artworks_Export!J229="","",DB_Artworks_Export!J229)</f>
        <v/>
      </c>
      <c r="N229" s="2" t="str">
        <f>IF(DB_Artworks_Export!K229="","",DB_Artworks_Export!K229)</f>
        <v/>
      </c>
      <c r="O229" s="2" t="str">
        <f>IF(DB_Artworks_Export!L229="","",DB_Artworks_Export!L229)</f>
        <v/>
      </c>
      <c r="P229" s="2" t="str">
        <f>IF(DB_Artworks_Export!M229="","",DB_Artworks_Export!M229)</f>
        <v/>
      </c>
      <c r="Q229" s="2" t="str">
        <f>IF(DB_Artworks_Export!N229="","",DB_Artworks_Export!N229)</f>
        <v/>
      </c>
      <c r="R229" s="2" t="str">
        <f>IF($D229="","",IF(COUNTIF(DB_Categories_Export!$A:$A,$F229)&gt;0,"OK","INVALID CATEGORY"))</f>
        <v/>
      </c>
      <c r="S229" s="2" t="str">
        <f>IF($D229="","",COUNTIF(DB_Artwork_Sizes_Export!$B:$B,$D229))</f>
        <v/>
      </c>
      <c r="T229" s="2" t="str">
        <f>IF($D229="","",IFERROR(INDEX(DB_Artwork_Sizes_Export!$D:$D,MATCH($D229,DB_Artwork_Sizes_Export!$B:$B,0)),""))</f>
        <v/>
      </c>
      <c r="U229" s="2" t="str">
        <f>IF($D229="","",IFERROR(INDEX(DB_Artwork_Sizes_Export!$E:$E,MATCH($D229,DB_Artwork_Sizes_Export!$B:$B,0)),""))</f>
        <v/>
      </c>
      <c r="V229" s="2" t="str">
        <f>IF($D229="","",IFERROR(INDEX(DB_Artwork_Sizes_Export!$F:$F,MATCH($D229,DB_Artwork_Sizes_Export!$B:$B,0)),""))</f>
        <v/>
      </c>
      <c r="W229" s="2" t="str">
        <f t="shared" si="32"/>
        <v/>
      </c>
      <c r="X229" s="2"/>
      <c r="Y229" s="2"/>
      <c r="Z229" s="2"/>
      <c r="AA229" s="2"/>
      <c r="AB229" s="2"/>
      <c r="AC229" s="2"/>
      <c r="AD229" s="2"/>
      <c r="AE229" s="2"/>
      <c r="AF229" s="2" t="str">
        <f t="shared" si="33"/>
        <v/>
      </c>
      <c r="AG229" s="2" t="str">
        <f t="shared" si="34"/>
        <v/>
      </c>
      <c r="AH229" s="2" t="str">
        <f>IF($AG229="","",IFERROR(VLOOKUP($AG229,DB_Categories_Export!$A:$B,2,FALSE()),"INVALID CATEGORY"))</f>
        <v/>
      </c>
      <c r="AI229" s="2" t="str">
        <f t="shared" si="35"/>
        <v/>
      </c>
      <c r="AJ229" s="2" t="str">
        <f t="shared" si="36"/>
        <v/>
      </c>
      <c r="AK229" s="2" t="str">
        <f t="shared" si="37"/>
        <v/>
      </c>
      <c r="AL229" s="2" t="str">
        <f t="shared" si="38"/>
        <v/>
      </c>
      <c r="AM229" s="2" t="str">
        <f t="shared" si="39"/>
        <v/>
      </c>
      <c r="AN229" s="2"/>
      <c r="AO229" s="2"/>
    </row>
    <row r="230" spans="1:41" ht="12" customHeight="1" x14ac:dyDescent="0.3">
      <c r="A230" s="2"/>
      <c r="B230" s="2" t="str">
        <f t="shared" si="30"/>
        <v/>
      </c>
      <c r="C230" s="2" t="str">
        <f t="shared" si="31"/>
        <v/>
      </c>
      <c r="D230" s="2" t="str">
        <f>IF(DB_Artworks_Export!A230="","",DB_Artworks_Export!A230)</f>
        <v/>
      </c>
      <c r="E230" s="2" t="str">
        <f>IF(DB_Artworks_Export!B230="","",DB_Artworks_Export!B230)</f>
        <v/>
      </c>
      <c r="F230" s="2" t="str">
        <f>IF(DB_Artworks_Export!C230="","",DB_Artworks_Export!C230)</f>
        <v/>
      </c>
      <c r="G230" s="2" t="str">
        <f>IF(DB_Artworks_Export!D230="","",DB_Artworks_Export!D230)</f>
        <v/>
      </c>
      <c r="H230" s="2" t="str">
        <f>IF(DB_Artworks_Export!E230="","",DB_Artworks_Export!E230)</f>
        <v/>
      </c>
      <c r="I230" s="2" t="str">
        <f>IF(DB_Artworks_Export!F230="","",DB_Artworks_Export!F230)</f>
        <v/>
      </c>
      <c r="J230" s="2" t="str">
        <f>IF(DB_Artworks_Export!G230="","",DB_Artworks_Export!G230)</f>
        <v/>
      </c>
      <c r="K230" s="2" t="str">
        <f>IF(DB_Artworks_Export!H230="","",DB_Artworks_Export!H230)</f>
        <v/>
      </c>
      <c r="L230" s="2" t="str">
        <f>IF(DB_Artworks_Export!I230="","",DB_Artworks_Export!I230)</f>
        <v/>
      </c>
      <c r="M230" s="2" t="str">
        <f>IF(DB_Artworks_Export!J230="","",DB_Artworks_Export!J230)</f>
        <v/>
      </c>
      <c r="N230" s="2" t="str">
        <f>IF(DB_Artworks_Export!K230="","",DB_Artworks_Export!K230)</f>
        <v/>
      </c>
      <c r="O230" s="2" t="str">
        <f>IF(DB_Artworks_Export!L230="","",DB_Artworks_Export!L230)</f>
        <v/>
      </c>
      <c r="P230" s="2" t="str">
        <f>IF(DB_Artworks_Export!M230="","",DB_Artworks_Export!M230)</f>
        <v/>
      </c>
      <c r="Q230" s="2" t="str">
        <f>IF(DB_Artworks_Export!N230="","",DB_Artworks_Export!N230)</f>
        <v/>
      </c>
      <c r="R230" s="2" t="str">
        <f>IF($D230="","",IF(COUNTIF(DB_Categories_Export!$A:$A,$F230)&gt;0,"OK","INVALID CATEGORY"))</f>
        <v/>
      </c>
      <c r="S230" s="2" t="str">
        <f>IF($D230="","",COUNTIF(DB_Artwork_Sizes_Export!$B:$B,$D230))</f>
        <v/>
      </c>
      <c r="T230" s="2" t="str">
        <f>IF($D230="","",IFERROR(INDEX(DB_Artwork_Sizes_Export!$D:$D,MATCH($D230,DB_Artwork_Sizes_Export!$B:$B,0)),""))</f>
        <v/>
      </c>
      <c r="U230" s="2" t="str">
        <f>IF($D230="","",IFERROR(INDEX(DB_Artwork_Sizes_Export!$E:$E,MATCH($D230,DB_Artwork_Sizes_Export!$B:$B,0)),""))</f>
        <v/>
      </c>
      <c r="V230" s="2" t="str">
        <f>IF($D230="","",IFERROR(INDEX(DB_Artwork_Sizes_Export!$F:$F,MATCH($D230,DB_Artwork_Sizes_Export!$B:$B,0)),""))</f>
        <v/>
      </c>
      <c r="W230" s="2" t="str">
        <f t="shared" si="32"/>
        <v/>
      </c>
      <c r="X230" s="2"/>
      <c r="Y230" s="2"/>
      <c r="Z230" s="2"/>
      <c r="AA230" s="2"/>
      <c r="AB230" s="2"/>
      <c r="AC230" s="2"/>
      <c r="AD230" s="2"/>
      <c r="AE230" s="2"/>
      <c r="AF230" s="2" t="str">
        <f t="shared" si="33"/>
        <v/>
      </c>
      <c r="AG230" s="2" t="str">
        <f t="shared" si="34"/>
        <v/>
      </c>
      <c r="AH230" s="2" t="str">
        <f>IF($AG230="","",IFERROR(VLOOKUP($AG230,DB_Categories_Export!$A:$B,2,FALSE()),"INVALID CATEGORY"))</f>
        <v/>
      </c>
      <c r="AI230" s="2" t="str">
        <f t="shared" si="35"/>
        <v/>
      </c>
      <c r="AJ230" s="2" t="str">
        <f t="shared" si="36"/>
        <v/>
      </c>
      <c r="AK230" s="2" t="str">
        <f t="shared" si="37"/>
        <v/>
      </c>
      <c r="AL230" s="2" t="str">
        <f t="shared" si="38"/>
        <v/>
      </c>
      <c r="AM230" s="2" t="str">
        <f t="shared" si="39"/>
        <v/>
      </c>
      <c r="AN230" s="2"/>
      <c r="AO230" s="2"/>
    </row>
    <row r="231" spans="1:41" ht="12" customHeight="1" x14ac:dyDescent="0.3">
      <c r="A231" s="2"/>
      <c r="B231" s="2" t="str">
        <f t="shared" si="30"/>
        <v/>
      </c>
      <c r="C231" s="2" t="str">
        <f t="shared" si="31"/>
        <v/>
      </c>
      <c r="D231" s="2" t="str">
        <f>IF(DB_Artworks_Export!A231="","",DB_Artworks_Export!A231)</f>
        <v/>
      </c>
      <c r="E231" s="2" t="str">
        <f>IF(DB_Artworks_Export!B231="","",DB_Artworks_Export!B231)</f>
        <v/>
      </c>
      <c r="F231" s="2" t="str">
        <f>IF(DB_Artworks_Export!C231="","",DB_Artworks_Export!C231)</f>
        <v/>
      </c>
      <c r="G231" s="2" t="str">
        <f>IF(DB_Artworks_Export!D231="","",DB_Artworks_Export!D231)</f>
        <v/>
      </c>
      <c r="H231" s="2" t="str">
        <f>IF(DB_Artworks_Export!E231="","",DB_Artworks_Export!E231)</f>
        <v/>
      </c>
      <c r="I231" s="2" t="str">
        <f>IF(DB_Artworks_Export!F231="","",DB_Artworks_Export!F231)</f>
        <v/>
      </c>
      <c r="J231" s="2" t="str">
        <f>IF(DB_Artworks_Export!G231="","",DB_Artworks_Export!G231)</f>
        <v/>
      </c>
      <c r="K231" s="2" t="str">
        <f>IF(DB_Artworks_Export!H231="","",DB_Artworks_Export!H231)</f>
        <v/>
      </c>
      <c r="L231" s="2" t="str">
        <f>IF(DB_Artworks_Export!I231="","",DB_Artworks_Export!I231)</f>
        <v/>
      </c>
      <c r="M231" s="2" t="str">
        <f>IF(DB_Artworks_Export!J231="","",DB_Artworks_Export!J231)</f>
        <v/>
      </c>
      <c r="N231" s="2" t="str">
        <f>IF(DB_Artworks_Export!K231="","",DB_Artworks_Export!K231)</f>
        <v/>
      </c>
      <c r="O231" s="2" t="str">
        <f>IF(DB_Artworks_Export!L231="","",DB_Artworks_Export!L231)</f>
        <v/>
      </c>
      <c r="P231" s="2" t="str">
        <f>IF(DB_Artworks_Export!M231="","",DB_Artworks_Export!M231)</f>
        <v/>
      </c>
      <c r="Q231" s="2" t="str">
        <f>IF(DB_Artworks_Export!N231="","",DB_Artworks_Export!N231)</f>
        <v/>
      </c>
      <c r="R231" s="2" t="str">
        <f>IF($D231="","",IF(COUNTIF(DB_Categories_Export!$A:$A,$F231)&gt;0,"OK","INVALID CATEGORY"))</f>
        <v/>
      </c>
      <c r="S231" s="2" t="str">
        <f>IF($D231="","",COUNTIF(DB_Artwork_Sizes_Export!$B:$B,$D231))</f>
        <v/>
      </c>
      <c r="T231" s="2" t="str">
        <f>IF($D231="","",IFERROR(INDEX(DB_Artwork_Sizes_Export!$D:$D,MATCH($D231,DB_Artwork_Sizes_Export!$B:$B,0)),""))</f>
        <v/>
      </c>
      <c r="U231" s="2" t="str">
        <f>IF($D231="","",IFERROR(INDEX(DB_Artwork_Sizes_Export!$E:$E,MATCH($D231,DB_Artwork_Sizes_Export!$B:$B,0)),""))</f>
        <v/>
      </c>
      <c r="V231" s="2" t="str">
        <f>IF($D231="","",IFERROR(INDEX(DB_Artwork_Sizes_Export!$F:$F,MATCH($D231,DB_Artwork_Sizes_Export!$B:$B,0)),""))</f>
        <v/>
      </c>
      <c r="W231" s="2" t="str">
        <f t="shared" si="32"/>
        <v/>
      </c>
      <c r="X231" s="2"/>
      <c r="Y231" s="2"/>
      <c r="Z231" s="2"/>
      <c r="AA231" s="2"/>
      <c r="AB231" s="2"/>
      <c r="AC231" s="2"/>
      <c r="AD231" s="2"/>
      <c r="AE231" s="2"/>
      <c r="AF231" s="2" t="str">
        <f t="shared" si="33"/>
        <v/>
      </c>
      <c r="AG231" s="2" t="str">
        <f t="shared" si="34"/>
        <v/>
      </c>
      <c r="AH231" s="2" t="str">
        <f>IF($AG231="","",IFERROR(VLOOKUP($AG231,DB_Categories_Export!$A:$B,2,FALSE()),"INVALID CATEGORY"))</f>
        <v/>
      </c>
      <c r="AI231" s="2" t="str">
        <f t="shared" si="35"/>
        <v/>
      </c>
      <c r="AJ231" s="2" t="str">
        <f t="shared" si="36"/>
        <v/>
      </c>
      <c r="AK231" s="2" t="str">
        <f t="shared" si="37"/>
        <v/>
      </c>
      <c r="AL231" s="2" t="str">
        <f t="shared" si="38"/>
        <v/>
      </c>
      <c r="AM231" s="2" t="str">
        <f t="shared" si="39"/>
        <v/>
      </c>
      <c r="AN231" s="2"/>
      <c r="AO231" s="2"/>
    </row>
    <row r="232" spans="1:41" ht="12" customHeight="1" x14ac:dyDescent="0.3">
      <c r="A232" s="2"/>
      <c r="B232" s="2" t="str">
        <f t="shared" si="30"/>
        <v/>
      </c>
      <c r="C232" s="2" t="str">
        <f t="shared" si="31"/>
        <v/>
      </c>
      <c r="D232" s="2" t="str">
        <f>IF(DB_Artworks_Export!A232="","",DB_Artworks_Export!A232)</f>
        <v/>
      </c>
      <c r="E232" s="2" t="str">
        <f>IF(DB_Artworks_Export!B232="","",DB_Artworks_Export!B232)</f>
        <v/>
      </c>
      <c r="F232" s="2" t="str">
        <f>IF(DB_Artworks_Export!C232="","",DB_Artworks_Export!C232)</f>
        <v/>
      </c>
      <c r="G232" s="2" t="str">
        <f>IF(DB_Artworks_Export!D232="","",DB_Artworks_Export!D232)</f>
        <v/>
      </c>
      <c r="H232" s="2" t="str">
        <f>IF(DB_Artworks_Export!E232="","",DB_Artworks_Export!E232)</f>
        <v/>
      </c>
      <c r="I232" s="2" t="str">
        <f>IF(DB_Artworks_Export!F232="","",DB_Artworks_Export!F232)</f>
        <v/>
      </c>
      <c r="J232" s="2" t="str">
        <f>IF(DB_Artworks_Export!G232="","",DB_Artworks_Export!G232)</f>
        <v/>
      </c>
      <c r="K232" s="2" t="str">
        <f>IF(DB_Artworks_Export!H232="","",DB_Artworks_Export!H232)</f>
        <v/>
      </c>
      <c r="L232" s="2" t="str">
        <f>IF(DB_Artworks_Export!I232="","",DB_Artworks_Export!I232)</f>
        <v/>
      </c>
      <c r="M232" s="2" t="str">
        <f>IF(DB_Artworks_Export!J232="","",DB_Artworks_Export!J232)</f>
        <v/>
      </c>
      <c r="N232" s="2" t="str">
        <f>IF(DB_Artworks_Export!K232="","",DB_Artworks_Export!K232)</f>
        <v/>
      </c>
      <c r="O232" s="2" t="str">
        <f>IF(DB_Artworks_Export!L232="","",DB_Artworks_Export!L232)</f>
        <v/>
      </c>
      <c r="P232" s="2" t="str">
        <f>IF(DB_Artworks_Export!M232="","",DB_Artworks_Export!M232)</f>
        <v/>
      </c>
      <c r="Q232" s="2" t="str">
        <f>IF(DB_Artworks_Export!N232="","",DB_Artworks_Export!N232)</f>
        <v/>
      </c>
      <c r="R232" s="2" t="str">
        <f>IF($D232="","",IF(COUNTIF(DB_Categories_Export!$A:$A,$F232)&gt;0,"OK","INVALID CATEGORY"))</f>
        <v/>
      </c>
      <c r="S232" s="2" t="str">
        <f>IF($D232="","",COUNTIF(DB_Artwork_Sizes_Export!$B:$B,$D232))</f>
        <v/>
      </c>
      <c r="T232" s="2" t="str">
        <f>IF($D232="","",IFERROR(INDEX(DB_Artwork_Sizes_Export!$D:$D,MATCH($D232,DB_Artwork_Sizes_Export!$B:$B,0)),""))</f>
        <v/>
      </c>
      <c r="U232" s="2" t="str">
        <f>IF($D232="","",IFERROR(INDEX(DB_Artwork_Sizes_Export!$E:$E,MATCH($D232,DB_Artwork_Sizes_Export!$B:$B,0)),""))</f>
        <v/>
      </c>
      <c r="V232" s="2" t="str">
        <f>IF($D232="","",IFERROR(INDEX(DB_Artwork_Sizes_Export!$F:$F,MATCH($D232,DB_Artwork_Sizes_Export!$B:$B,0)),""))</f>
        <v/>
      </c>
      <c r="W232" s="2" t="str">
        <f t="shared" si="32"/>
        <v/>
      </c>
      <c r="X232" s="2"/>
      <c r="Y232" s="2"/>
      <c r="Z232" s="2"/>
      <c r="AA232" s="2"/>
      <c r="AB232" s="2"/>
      <c r="AC232" s="2"/>
      <c r="AD232" s="2"/>
      <c r="AE232" s="2"/>
      <c r="AF232" s="2" t="str">
        <f t="shared" si="33"/>
        <v/>
      </c>
      <c r="AG232" s="2" t="str">
        <f t="shared" si="34"/>
        <v/>
      </c>
      <c r="AH232" s="2" t="str">
        <f>IF($AG232="","",IFERROR(VLOOKUP($AG232,DB_Categories_Export!$A:$B,2,FALSE()),"INVALID CATEGORY"))</f>
        <v/>
      </c>
      <c r="AI232" s="2" t="str">
        <f t="shared" si="35"/>
        <v/>
      </c>
      <c r="AJ232" s="2" t="str">
        <f t="shared" si="36"/>
        <v/>
      </c>
      <c r="AK232" s="2" t="str">
        <f t="shared" si="37"/>
        <v/>
      </c>
      <c r="AL232" s="2" t="str">
        <f t="shared" si="38"/>
        <v/>
      </c>
      <c r="AM232" s="2" t="str">
        <f t="shared" si="39"/>
        <v/>
      </c>
      <c r="AN232" s="2"/>
      <c r="AO232" s="2"/>
    </row>
    <row r="233" spans="1:41" ht="12" customHeight="1" x14ac:dyDescent="0.3">
      <c r="A233" s="2"/>
      <c r="B233" s="2" t="str">
        <f t="shared" si="30"/>
        <v/>
      </c>
      <c r="C233" s="2" t="str">
        <f t="shared" si="31"/>
        <v/>
      </c>
      <c r="D233" s="2" t="str">
        <f>IF(DB_Artworks_Export!A233="","",DB_Artworks_Export!A233)</f>
        <v/>
      </c>
      <c r="E233" s="2" t="str">
        <f>IF(DB_Artworks_Export!B233="","",DB_Artworks_Export!B233)</f>
        <v/>
      </c>
      <c r="F233" s="2" t="str">
        <f>IF(DB_Artworks_Export!C233="","",DB_Artworks_Export!C233)</f>
        <v/>
      </c>
      <c r="G233" s="2" t="str">
        <f>IF(DB_Artworks_Export!D233="","",DB_Artworks_Export!D233)</f>
        <v/>
      </c>
      <c r="H233" s="2" t="str">
        <f>IF(DB_Artworks_Export!E233="","",DB_Artworks_Export!E233)</f>
        <v/>
      </c>
      <c r="I233" s="2" t="str">
        <f>IF(DB_Artworks_Export!F233="","",DB_Artworks_Export!F233)</f>
        <v/>
      </c>
      <c r="J233" s="2" t="str">
        <f>IF(DB_Artworks_Export!G233="","",DB_Artworks_Export!G233)</f>
        <v/>
      </c>
      <c r="K233" s="2" t="str">
        <f>IF(DB_Artworks_Export!H233="","",DB_Artworks_Export!H233)</f>
        <v/>
      </c>
      <c r="L233" s="2" t="str">
        <f>IF(DB_Artworks_Export!I233="","",DB_Artworks_Export!I233)</f>
        <v/>
      </c>
      <c r="M233" s="2" t="str">
        <f>IF(DB_Artworks_Export!J233="","",DB_Artworks_Export!J233)</f>
        <v/>
      </c>
      <c r="N233" s="2" t="str">
        <f>IF(DB_Artworks_Export!K233="","",DB_Artworks_Export!K233)</f>
        <v/>
      </c>
      <c r="O233" s="2" t="str">
        <f>IF(DB_Artworks_Export!L233="","",DB_Artworks_Export!L233)</f>
        <v/>
      </c>
      <c r="P233" s="2" t="str">
        <f>IF(DB_Artworks_Export!M233="","",DB_Artworks_Export!M233)</f>
        <v/>
      </c>
      <c r="Q233" s="2" t="str">
        <f>IF(DB_Artworks_Export!N233="","",DB_Artworks_Export!N233)</f>
        <v/>
      </c>
      <c r="R233" s="2" t="str">
        <f>IF($D233="","",IF(COUNTIF(DB_Categories_Export!$A:$A,$F233)&gt;0,"OK","INVALID CATEGORY"))</f>
        <v/>
      </c>
      <c r="S233" s="2" t="str">
        <f>IF($D233="","",COUNTIF(DB_Artwork_Sizes_Export!$B:$B,$D233))</f>
        <v/>
      </c>
      <c r="T233" s="2" t="str">
        <f>IF($D233="","",IFERROR(INDEX(DB_Artwork_Sizes_Export!$D:$D,MATCH($D233,DB_Artwork_Sizes_Export!$B:$B,0)),""))</f>
        <v/>
      </c>
      <c r="U233" s="2" t="str">
        <f>IF($D233="","",IFERROR(INDEX(DB_Artwork_Sizes_Export!$E:$E,MATCH($D233,DB_Artwork_Sizes_Export!$B:$B,0)),""))</f>
        <v/>
      </c>
      <c r="V233" s="2" t="str">
        <f>IF($D233="","",IFERROR(INDEX(DB_Artwork_Sizes_Export!$F:$F,MATCH($D233,DB_Artwork_Sizes_Export!$B:$B,0)),""))</f>
        <v/>
      </c>
      <c r="W233" s="2" t="str">
        <f t="shared" si="32"/>
        <v/>
      </c>
      <c r="X233" s="2"/>
      <c r="Y233" s="2"/>
      <c r="Z233" s="2"/>
      <c r="AA233" s="2"/>
      <c r="AB233" s="2"/>
      <c r="AC233" s="2"/>
      <c r="AD233" s="2"/>
      <c r="AE233" s="2"/>
      <c r="AF233" s="2" t="str">
        <f t="shared" si="33"/>
        <v/>
      </c>
      <c r="AG233" s="2" t="str">
        <f t="shared" si="34"/>
        <v/>
      </c>
      <c r="AH233" s="2" t="str">
        <f>IF($AG233="","",IFERROR(VLOOKUP($AG233,DB_Categories_Export!$A:$B,2,FALSE()),"INVALID CATEGORY"))</f>
        <v/>
      </c>
      <c r="AI233" s="2" t="str">
        <f t="shared" si="35"/>
        <v/>
      </c>
      <c r="AJ233" s="2" t="str">
        <f t="shared" si="36"/>
        <v/>
      </c>
      <c r="AK233" s="2" t="str">
        <f t="shared" si="37"/>
        <v/>
      </c>
      <c r="AL233" s="2" t="str">
        <f t="shared" si="38"/>
        <v/>
      </c>
      <c r="AM233" s="2" t="str">
        <f t="shared" si="39"/>
        <v/>
      </c>
      <c r="AN233" s="2"/>
      <c r="AO233" s="2"/>
    </row>
    <row r="234" spans="1:41" ht="12" customHeight="1" x14ac:dyDescent="0.3">
      <c r="A234" s="2"/>
      <c r="B234" s="2" t="str">
        <f t="shared" si="30"/>
        <v/>
      </c>
      <c r="C234" s="2" t="str">
        <f t="shared" si="31"/>
        <v/>
      </c>
      <c r="D234" s="2" t="str">
        <f>IF(DB_Artworks_Export!A234="","",DB_Artworks_Export!A234)</f>
        <v/>
      </c>
      <c r="E234" s="2" t="str">
        <f>IF(DB_Artworks_Export!B234="","",DB_Artworks_Export!B234)</f>
        <v/>
      </c>
      <c r="F234" s="2" t="str">
        <f>IF(DB_Artworks_Export!C234="","",DB_Artworks_Export!C234)</f>
        <v/>
      </c>
      <c r="G234" s="2" t="str">
        <f>IF(DB_Artworks_Export!D234="","",DB_Artworks_Export!D234)</f>
        <v/>
      </c>
      <c r="H234" s="2" t="str">
        <f>IF(DB_Artworks_Export!E234="","",DB_Artworks_Export!E234)</f>
        <v/>
      </c>
      <c r="I234" s="2" t="str">
        <f>IF(DB_Artworks_Export!F234="","",DB_Artworks_Export!F234)</f>
        <v/>
      </c>
      <c r="J234" s="2" t="str">
        <f>IF(DB_Artworks_Export!G234="","",DB_Artworks_Export!G234)</f>
        <v/>
      </c>
      <c r="K234" s="2" t="str">
        <f>IF(DB_Artworks_Export!H234="","",DB_Artworks_Export!H234)</f>
        <v/>
      </c>
      <c r="L234" s="2" t="str">
        <f>IF(DB_Artworks_Export!I234="","",DB_Artworks_Export!I234)</f>
        <v/>
      </c>
      <c r="M234" s="2" t="str">
        <f>IF(DB_Artworks_Export!J234="","",DB_Artworks_Export!J234)</f>
        <v/>
      </c>
      <c r="N234" s="2" t="str">
        <f>IF(DB_Artworks_Export!K234="","",DB_Artworks_Export!K234)</f>
        <v/>
      </c>
      <c r="O234" s="2" t="str">
        <f>IF(DB_Artworks_Export!L234="","",DB_Artworks_Export!L234)</f>
        <v/>
      </c>
      <c r="P234" s="2" t="str">
        <f>IF(DB_Artworks_Export!M234="","",DB_Artworks_Export!M234)</f>
        <v/>
      </c>
      <c r="Q234" s="2" t="str">
        <f>IF(DB_Artworks_Export!N234="","",DB_Artworks_Export!N234)</f>
        <v/>
      </c>
      <c r="R234" s="2" t="str">
        <f>IF($D234="","",IF(COUNTIF(DB_Categories_Export!$A:$A,$F234)&gt;0,"OK","INVALID CATEGORY"))</f>
        <v/>
      </c>
      <c r="S234" s="2" t="str">
        <f>IF($D234="","",COUNTIF(DB_Artwork_Sizes_Export!$B:$B,$D234))</f>
        <v/>
      </c>
      <c r="T234" s="2" t="str">
        <f>IF($D234="","",IFERROR(INDEX(DB_Artwork_Sizes_Export!$D:$D,MATCH($D234,DB_Artwork_Sizes_Export!$B:$B,0)),""))</f>
        <v/>
      </c>
      <c r="U234" s="2" t="str">
        <f>IF($D234="","",IFERROR(INDEX(DB_Artwork_Sizes_Export!$E:$E,MATCH($D234,DB_Artwork_Sizes_Export!$B:$B,0)),""))</f>
        <v/>
      </c>
      <c r="V234" s="2" t="str">
        <f>IF($D234="","",IFERROR(INDEX(DB_Artwork_Sizes_Export!$F:$F,MATCH($D234,DB_Artwork_Sizes_Export!$B:$B,0)),""))</f>
        <v/>
      </c>
      <c r="W234" s="2" t="str">
        <f t="shared" si="32"/>
        <v/>
      </c>
      <c r="X234" s="2"/>
      <c r="Y234" s="2"/>
      <c r="Z234" s="2"/>
      <c r="AA234" s="2"/>
      <c r="AB234" s="2"/>
      <c r="AC234" s="2"/>
      <c r="AD234" s="2"/>
      <c r="AE234" s="2"/>
      <c r="AF234" s="2" t="str">
        <f t="shared" si="33"/>
        <v/>
      </c>
      <c r="AG234" s="2" t="str">
        <f t="shared" si="34"/>
        <v/>
      </c>
      <c r="AH234" s="2" t="str">
        <f>IF($AG234="","",IFERROR(VLOOKUP($AG234,DB_Categories_Export!$A:$B,2,FALSE()),"INVALID CATEGORY"))</f>
        <v/>
      </c>
      <c r="AI234" s="2" t="str">
        <f t="shared" si="35"/>
        <v/>
      </c>
      <c r="AJ234" s="2" t="str">
        <f t="shared" si="36"/>
        <v/>
      </c>
      <c r="AK234" s="2" t="str">
        <f t="shared" si="37"/>
        <v/>
      </c>
      <c r="AL234" s="2" t="str">
        <f t="shared" si="38"/>
        <v/>
      </c>
      <c r="AM234" s="2" t="str">
        <f t="shared" si="39"/>
        <v/>
      </c>
      <c r="AN234" s="2"/>
      <c r="AO234" s="2"/>
    </row>
    <row r="235" spans="1:41" ht="12" customHeight="1" x14ac:dyDescent="0.3">
      <c r="A235" s="2"/>
      <c r="B235" s="2" t="str">
        <f t="shared" si="30"/>
        <v/>
      </c>
      <c r="C235" s="2" t="str">
        <f t="shared" si="31"/>
        <v/>
      </c>
      <c r="D235" s="2" t="str">
        <f>IF(DB_Artworks_Export!A235="","",DB_Artworks_Export!A235)</f>
        <v/>
      </c>
      <c r="E235" s="2" t="str">
        <f>IF(DB_Artworks_Export!B235="","",DB_Artworks_Export!B235)</f>
        <v/>
      </c>
      <c r="F235" s="2" t="str">
        <f>IF(DB_Artworks_Export!C235="","",DB_Artworks_Export!C235)</f>
        <v/>
      </c>
      <c r="G235" s="2" t="str">
        <f>IF(DB_Artworks_Export!D235="","",DB_Artworks_Export!D235)</f>
        <v/>
      </c>
      <c r="H235" s="2" t="str">
        <f>IF(DB_Artworks_Export!E235="","",DB_Artworks_Export!E235)</f>
        <v/>
      </c>
      <c r="I235" s="2" t="str">
        <f>IF(DB_Artworks_Export!F235="","",DB_Artworks_Export!F235)</f>
        <v/>
      </c>
      <c r="J235" s="2" t="str">
        <f>IF(DB_Artworks_Export!G235="","",DB_Artworks_Export!G235)</f>
        <v/>
      </c>
      <c r="K235" s="2" t="str">
        <f>IF(DB_Artworks_Export!H235="","",DB_Artworks_Export!H235)</f>
        <v/>
      </c>
      <c r="L235" s="2" t="str">
        <f>IF(DB_Artworks_Export!I235="","",DB_Artworks_Export!I235)</f>
        <v/>
      </c>
      <c r="M235" s="2" t="str">
        <f>IF(DB_Artworks_Export!J235="","",DB_Artworks_Export!J235)</f>
        <v/>
      </c>
      <c r="N235" s="2" t="str">
        <f>IF(DB_Artworks_Export!K235="","",DB_Artworks_Export!K235)</f>
        <v/>
      </c>
      <c r="O235" s="2" t="str">
        <f>IF(DB_Artworks_Export!L235="","",DB_Artworks_Export!L235)</f>
        <v/>
      </c>
      <c r="P235" s="2" t="str">
        <f>IF(DB_Artworks_Export!M235="","",DB_Artworks_Export!M235)</f>
        <v/>
      </c>
      <c r="Q235" s="2" t="str">
        <f>IF(DB_Artworks_Export!N235="","",DB_Artworks_Export!N235)</f>
        <v/>
      </c>
      <c r="R235" s="2" t="str">
        <f>IF($D235="","",IF(COUNTIF(DB_Categories_Export!$A:$A,$F235)&gt;0,"OK","INVALID CATEGORY"))</f>
        <v/>
      </c>
      <c r="S235" s="2" t="str">
        <f>IF($D235="","",COUNTIF(DB_Artwork_Sizes_Export!$B:$B,$D235))</f>
        <v/>
      </c>
      <c r="T235" s="2" t="str">
        <f>IF($D235="","",IFERROR(INDEX(DB_Artwork_Sizes_Export!$D:$D,MATCH($D235,DB_Artwork_Sizes_Export!$B:$B,0)),""))</f>
        <v/>
      </c>
      <c r="U235" s="2" t="str">
        <f>IF($D235="","",IFERROR(INDEX(DB_Artwork_Sizes_Export!$E:$E,MATCH($D235,DB_Artwork_Sizes_Export!$B:$B,0)),""))</f>
        <v/>
      </c>
      <c r="V235" s="2" t="str">
        <f>IF($D235="","",IFERROR(INDEX(DB_Artwork_Sizes_Export!$F:$F,MATCH($D235,DB_Artwork_Sizes_Export!$B:$B,0)),""))</f>
        <v/>
      </c>
      <c r="W235" s="2" t="str">
        <f t="shared" si="32"/>
        <v/>
      </c>
      <c r="X235" s="2"/>
      <c r="Y235" s="2"/>
      <c r="Z235" s="2"/>
      <c r="AA235" s="2"/>
      <c r="AB235" s="2"/>
      <c r="AC235" s="2"/>
      <c r="AD235" s="2"/>
      <c r="AE235" s="2"/>
      <c r="AF235" s="2" t="str">
        <f t="shared" si="33"/>
        <v/>
      </c>
      <c r="AG235" s="2" t="str">
        <f t="shared" si="34"/>
        <v/>
      </c>
      <c r="AH235" s="2" t="str">
        <f>IF($AG235="","",IFERROR(VLOOKUP($AG235,DB_Categories_Export!$A:$B,2,FALSE()),"INVALID CATEGORY"))</f>
        <v/>
      </c>
      <c r="AI235" s="2" t="str">
        <f t="shared" si="35"/>
        <v/>
      </c>
      <c r="AJ235" s="2" t="str">
        <f t="shared" si="36"/>
        <v/>
      </c>
      <c r="AK235" s="2" t="str">
        <f t="shared" si="37"/>
        <v/>
      </c>
      <c r="AL235" s="2" t="str">
        <f t="shared" si="38"/>
        <v/>
      </c>
      <c r="AM235" s="2" t="str">
        <f t="shared" si="39"/>
        <v/>
      </c>
      <c r="AN235" s="2"/>
      <c r="AO235" s="2"/>
    </row>
    <row r="236" spans="1:41" ht="12" customHeight="1" x14ac:dyDescent="0.3">
      <c r="A236" s="2"/>
      <c r="B236" s="2" t="str">
        <f t="shared" si="30"/>
        <v/>
      </c>
      <c r="C236" s="2" t="str">
        <f t="shared" si="31"/>
        <v/>
      </c>
      <c r="D236" s="2" t="str">
        <f>IF(DB_Artworks_Export!A236="","",DB_Artworks_Export!A236)</f>
        <v/>
      </c>
      <c r="E236" s="2" t="str">
        <f>IF(DB_Artworks_Export!B236="","",DB_Artworks_Export!B236)</f>
        <v/>
      </c>
      <c r="F236" s="2" t="str">
        <f>IF(DB_Artworks_Export!C236="","",DB_Artworks_Export!C236)</f>
        <v/>
      </c>
      <c r="G236" s="2" t="str">
        <f>IF(DB_Artworks_Export!D236="","",DB_Artworks_Export!D236)</f>
        <v/>
      </c>
      <c r="H236" s="2" t="str">
        <f>IF(DB_Artworks_Export!E236="","",DB_Artworks_Export!E236)</f>
        <v/>
      </c>
      <c r="I236" s="2" t="str">
        <f>IF(DB_Artworks_Export!F236="","",DB_Artworks_Export!F236)</f>
        <v/>
      </c>
      <c r="J236" s="2" t="str">
        <f>IF(DB_Artworks_Export!G236="","",DB_Artworks_Export!G236)</f>
        <v/>
      </c>
      <c r="K236" s="2" t="str">
        <f>IF(DB_Artworks_Export!H236="","",DB_Artworks_Export!H236)</f>
        <v/>
      </c>
      <c r="L236" s="2" t="str">
        <f>IF(DB_Artworks_Export!I236="","",DB_Artworks_Export!I236)</f>
        <v/>
      </c>
      <c r="M236" s="2" t="str">
        <f>IF(DB_Artworks_Export!J236="","",DB_Artworks_Export!J236)</f>
        <v/>
      </c>
      <c r="N236" s="2" t="str">
        <f>IF(DB_Artworks_Export!K236="","",DB_Artworks_Export!K236)</f>
        <v/>
      </c>
      <c r="O236" s="2" t="str">
        <f>IF(DB_Artworks_Export!L236="","",DB_Artworks_Export!L236)</f>
        <v/>
      </c>
      <c r="P236" s="2" t="str">
        <f>IF(DB_Artworks_Export!M236="","",DB_Artworks_Export!M236)</f>
        <v/>
      </c>
      <c r="Q236" s="2" t="str">
        <f>IF(DB_Artworks_Export!N236="","",DB_Artworks_Export!N236)</f>
        <v/>
      </c>
      <c r="R236" s="2" t="str">
        <f>IF($D236="","",IF(COUNTIF(DB_Categories_Export!$A:$A,$F236)&gt;0,"OK","INVALID CATEGORY"))</f>
        <v/>
      </c>
      <c r="S236" s="2" t="str">
        <f>IF($D236="","",COUNTIF(DB_Artwork_Sizes_Export!$B:$B,$D236))</f>
        <v/>
      </c>
      <c r="T236" s="2" t="str">
        <f>IF($D236="","",IFERROR(INDEX(DB_Artwork_Sizes_Export!$D:$D,MATCH($D236,DB_Artwork_Sizes_Export!$B:$B,0)),""))</f>
        <v/>
      </c>
      <c r="U236" s="2" t="str">
        <f>IF($D236="","",IFERROR(INDEX(DB_Artwork_Sizes_Export!$E:$E,MATCH($D236,DB_Artwork_Sizes_Export!$B:$B,0)),""))</f>
        <v/>
      </c>
      <c r="V236" s="2" t="str">
        <f>IF($D236="","",IFERROR(INDEX(DB_Artwork_Sizes_Export!$F:$F,MATCH($D236,DB_Artwork_Sizes_Export!$B:$B,0)),""))</f>
        <v/>
      </c>
      <c r="W236" s="2" t="str">
        <f t="shared" si="32"/>
        <v/>
      </c>
      <c r="X236" s="2"/>
      <c r="Y236" s="2"/>
      <c r="Z236" s="2"/>
      <c r="AA236" s="2"/>
      <c r="AB236" s="2"/>
      <c r="AC236" s="2"/>
      <c r="AD236" s="2"/>
      <c r="AE236" s="2"/>
      <c r="AF236" s="2" t="str">
        <f t="shared" si="33"/>
        <v/>
      </c>
      <c r="AG236" s="2" t="str">
        <f t="shared" si="34"/>
        <v/>
      </c>
      <c r="AH236" s="2" t="str">
        <f>IF($AG236="","",IFERROR(VLOOKUP($AG236,DB_Categories_Export!$A:$B,2,FALSE()),"INVALID CATEGORY"))</f>
        <v/>
      </c>
      <c r="AI236" s="2" t="str">
        <f t="shared" si="35"/>
        <v/>
      </c>
      <c r="AJ236" s="2" t="str">
        <f t="shared" si="36"/>
        <v/>
      </c>
      <c r="AK236" s="2" t="str">
        <f t="shared" si="37"/>
        <v/>
      </c>
      <c r="AL236" s="2" t="str">
        <f t="shared" si="38"/>
        <v/>
      </c>
      <c r="AM236" s="2" t="str">
        <f t="shared" si="39"/>
        <v/>
      </c>
      <c r="AN236" s="2"/>
      <c r="AO236" s="2"/>
    </row>
    <row r="237" spans="1:41" ht="12" customHeight="1" x14ac:dyDescent="0.3">
      <c r="A237" s="2"/>
      <c r="B237" s="2" t="str">
        <f t="shared" si="30"/>
        <v/>
      </c>
      <c r="C237" s="2" t="str">
        <f t="shared" si="31"/>
        <v/>
      </c>
      <c r="D237" s="2" t="str">
        <f>IF(DB_Artworks_Export!A237="","",DB_Artworks_Export!A237)</f>
        <v/>
      </c>
      <c r="E237" s="2" t="str">
        <f>IF(DB_Artworks_Export!B237="","",DB_Artworks_Export!B237)</f>
        <v/>
      </c>
      <c r="F237" s="2" t="str">
        <f>IF(DB_Artworks_Export!C237="","",DB_Artworks_Export!C237)</f>
        <v/>
      </c>
      <c r="G237" s="2" t="str">
        <f>IF(DB_Artworks_Export!D237="","",DB_Artworks_Export!D237)</f>
        <v/>
      </c>
      <c r="H237" s="2" t="str">
        <f>IF(DB_Artworks_Export!E237="","",DB_Artworks_Export!E237)</f>
        <v/>
      </c>
      <c r="I237" s="2" t="str">
        <f>IF(DB_Artworks_Export!F237="","",DB_Artworks_Export!F237)</f>
        <v/>
      </c>
      <c r="J237" s="2" t="str">
        <f>IF(DB_Artworks_Export!G237="","",DB_Artworks_Export!G237)</f>
        <v/>
      </c>
      <c r="K237" s="2" t="str">
        <f>IF(DB_Artworks_Export!H237="","",DB_Artworks_Export!H237)</f>
        <v/>
      </c>
      <c r="L237" s="2" t="str">
        <f>IF(DB_Artworks_Export!I237="","",DB_Artworks_Export!I237)</f>
        <v/>
      </c>
      <c r="M237" s="2" t="str">
        <f>IF(DB_Artworks_Export!J237="","",DB_Artworks_Export!J237)</f>
        <v/>
      </c>
      <c r="N237" s="2" t="str">
        <f>IF(DB_Artworks_Export!K237="","",DB_Artworks_Export!K237)</f>
        <v/>
      </c>
      <c r="O237" s="2" t="str">
        <f>IF(DB_Artworks_Export!L237="","",DB_Artworks_Export!L237)</f>
        <v/>
      </c>
      <c r="P237" s="2" t="str">
        <f>IF(DB_Artworks_Export!M237="","",DB_Artworks_Export!M237)</f>
        <v/>
      </c>
      <c r="Q237" s="2" t="str">
        <f>IF(DB_Artworks_Export!N237="","",DB_Artworks_Export!N237)</f>
        <v/>
      </c>
      <c r="R237" s="2" t="str">
        <f>IF($D237="","",IF(COUNTIF(DB_Categories_Export!$A:$A,$F237)&gt;0,"OK","INVALID CATEGORY"))</f>
        <v/>
      </c>
      <c r="S237" s="2" t="str">
        <f>IF($D237="","",COUNTIF(DB_Artwork_Sizes_Export!$B:$B,$D237))</f>
        <v/>
      </c>
      <c r="T237" s="2" t="str">
        <f>IF($D237="","",IFERROR(INDEX(DB_Artwork_Sizes_Export!$D:$D,MATCH($D237,DB_Artwork_Sizes_Export!$B:$B,0)),""))</f>
        <v/>
      </c>
      <c r="U237" s="2" t="str">
        <f>IF($D237="","",IFERROR(INDEX(DB_Artwork_Sizes_Export!$E:$E,MATCH($D237,DB_Artwork_Sizes_Export!$B:$B,0)),""))</f>
        <v/>
      </c>
      <c r="V237" s="2" t="str">
        <f>IF($D237="","",IFERROR(INDEX(DB_Artwork_Sizes_Export!$F:$F,MATCH($D237,DB_Artwork_Sizes_Export!$B:$B,0)),""))</f>
        <v/>
      </c>
      <c r="W237" s="2" t="str">
        <f t="shared" si="32"/>
        <v/>
      </c>
      <c r="X237" s="2"/>
      <c r="Y237" s="2"/>
      <c r="Z237" s="2"/>
      <c r="AA237" s="2"/>
      <c r="AB237" s="2"/>
      <c r="AC237" s="2"/>
      <c r="AD237" s="2"/>
      <c r="AE237" s="2"/>
      <c r="AF237" s="2" t="str">
        <f t="shared" si="33"/>
        <v/>
      </c>
      <c r="AG237" s="2" t="str">
        <f t="shared" si="34"/>
        <v/>
      </c>
      <c r="AH237" s="2" t="str">
        <f>IF($AG237="","",IFERROR(VLOOKUP($AG237,DB_Categories_Export!$A:$B,2,FALSE()),"INVALID CATEGORY"))</f>
        <v/>
      </c>
      <c r="AI237" s="2" t="str">
        <f t="shared" si="35"/>
        <v/>
      </c>
      <c r="AJ237" s="2" t="str">
        <f t="shared" si="36"/>
        <v/>
      </c>
      <c r="AK237" s="2" t="str">
        <f t="shared" si="37"/>
        <v/>
      </c>
      <c r="AL237" s="2" t="str">
        <f t="shared" si="38"/>
        <v/>
      </c>
      <c r="AM237" s="2" t="str">
        <f t="shared" si="39"/>
        <v/>
      </c>
      <c r="AN237" s="2"/>
      <c r="AO237" s="2"/>
    </row>
    <row r="238" spans="1:41" ht="12" customHeight="1" x14ac:dyDescent="0.3">
      <c r="A238" s="2"/>
      <c r="B238" s="2" t="str">
        <f t="shared" si="30"/>
        <v/>
      </c>
      <c r="C238" s="2" t="str">
        <f t="shared" si="31"/>
        <v/>
      </c>
      <c r="D238" s="2" t="str">
        <f>IF(DB_Artworks_Export!A238="","",DB_Artworks_Export!A238)</f>
        <v/>
      </c>
      <c r="E238" s="2" t="str">
        <f>IF(DB_Artworks_Export!B238="","",DB_Artworks_Export!B238)</f>
        <v/>
      </c>
      <c r="F238" s="2" t="str">
        <f>IF(DB_Artworks_Export!C238="","",DB_Artworks_Export!C238)</f>
        <v/>
      </c>
      <c r="G238" s="2" t="str">
        <f>IF(DB_Artworks_Export!D238="","",DB_Artworks_Export!D238)</f>
        <v/>
      </c>
      <c r="H238" s="2" t="str">
        <f>IF(DB_Artworks_Export!E238="","",DB_Artworks_Export!E238)</f>
        <v/>
      </c>
      <c r="I238" s="2" t="str">
        <f>IF(DB_Artworks_Export!F238="","",DB_Artworks_Export!F238)</f>
        <v/>
      </c>
      <c r="J238" s="2" t="str">
        <f>IF(DB_Artworks_Export!G238="","",DB_Artworks_Export!G238)</f>
        <v/>
      </c>
      <c r="K238" s="2" t="str">
        <f>IF(DB_Artworks_Export!H238="","",DB_Artworks_Export!H238)</f>
        <v/>
      </c>
      <c r="L238" s="2" t="str">
        <f>IF(DB_Artworks_Export!I238="","",DB_Artworks_Export!I238)</f>
        <v/>
      </c>
      <c r="M238" s="2" t="str">
        <f>IF(DB_Artworks_Export!J238="","",DB_Artworks_Export!J238)</f>
        <v/>
      </c>
      <c r="N238" s="2" t="str">
        <f>IF(DB_Artworks_Export!K238="","",DB_Artworks_Export!K238)</f>
        <v/>
      </c>
      <c r="O238" s="2" t="str">
        <f>IF(DB_Artworks_Export!L238="","",DB_Artworks_Export!L238)</f>
        <v/>
      </c>
      <c r="P238" s="2" t="str">
        <f>IF(DB_Artworks_Export!M238="","",DB_Artworks_Export!M238)</f>
        <v/>
      </c>
      <c r="Q238" s="2" t="str">
        <f>IF(DB_Artworks_Export!N238="","",DB_Artworks_Export!N238)</f>
        <v/>
      </c>
      <c r="R238" s="2" t="str">
        <f>IF($D238="","",IF(COUNTIF(DB_Categories_Export!$A:$A,$F238)&gt;0,"OK","INVALID CATEGORY"))</f>
        <v/>
      </c>
      <c r="S238" s="2" t="str">
        <f>IF($D238="","",COUNTIF(DB_Artwork_Sizes_Export!$B:$B,$D238))</f>
        <v/>
      </c>
      <c r="T238" s="2" t="str">
        <f>IF($D238="","",IFERROR(INDEX(DB_Artwork_Sizes_Export!$D:$D,MATCH($D238,DB_Artwork_Sizes_Export!$B:$B,0)),""))</f>
        <v/>
      </c>
      <c r="U238" s="2" t="str">
        <f>IF($D238="","",IFERROR(INDEX(DB_Artwork_Sizes_Export!$E:$E,MATCH($D238,DB_Artwork_Sizes_Export!$B:$B,0)),""))</f>
        <v/>
      </c>
      <c r="V238" s="2" t="str">
        <f>IF($D238="","",IFERROR(INDEX(DB_Artwork_Sizes_Export!$F:$F,MATCH($D238,DB_Artwork_Sizes_Export!$B:$B,0)),""))</f>
        <v/>
      </c>
      <c r="W238" s="2" t="str">
        <f t="shared" si="32"/>
        <v/>
      </c>
      <c r="X238" s="2"/>
      <c r="Y238" s="2"/>
      <c r="Z238" s="2"/>
      <c r="AA238" s="2"/>
      <c r="AB238" s="2"/>
      <c r="AC238" s="2"/>
      <c r="AD238" s="2"/>
      <c r="AE238" s="2"/>
      <c r="AF238" s="2" t="str">
        <f t="shared" si="33"/>
        <v/>
      </c>
      <c r="AG238" s="2" t="str">
        <f t="shared" si="34"/>
        <v/>
      </c>
      <c r="AH238" s="2" t="str">
        <f>IF($AG238="","",IFERROR(VLOOKUP($AG238,DB_Categories_Export!$A:$B,2,FALSE()),"INVALID CATEGORY"))</f>
        <v/>
      </c>
      <c r="AI238" s="2" t="str">
        <f t="shared" si="35"/>
        <v/>
      </c>
      <c r="AJ238" s="2" t="str">
        <f t="shared" si="36"/>
        <v/>
      </c>
      <c r="AK238" s="2" t="str">
        <f t="shared" si="37"/>
        <v/>
      </c>
      <c r="AL238" s="2" t="str">
        <f t="shared" si="38"/>
        <v/>
      </c>
      <c r="AM238" s="2" t="str">
        <f t="shared" si="39"/>
        <v/>
      </c>
      <c r="AN238" s="2"/>
      <c r="AO238" s="2"/>
    </row>
    <row r="239" spans="1:41" ht="12" customHeight="1" x14ac:dyDescent="0.3">
      <c r="A239" s="2"/>
      <c r="B239" s="2" t="str">
        <f t="shared" si="30"/>
        <v/>
      </c>
      <c r="C239" s="2" t="str">
        <f t="shared" si="31"/>
        <v/>
      </c>
      <c r="D239" s="2" t="str">
        <f>IF(DB_Artworks_Export!A239="","",DB_Artworks_Export!A239)</f>
        <v/>
      </c>
      <c r="E239" s="2" t="str">
        <f>IF(DB_Artworks_Export!B239="","",DB_Artworks_Export!B239)</f>
        <v/>
      </c>
      <c r="F239" s="2" t="str">
        <f>IF(DB_Artworks_Export!C239="","",DB_Artworks_Export!C239)</f>
        <v/>
      </c>
      <c r="G239" s="2" t="str">
        <f>IF(DB_Artworks_Export!D239="","",DB_Artworks_Export!D239)</f>
        <v/>
      </c>
      <c r="H239" s="2" t="str">
        <f>IF(DB_Artworks_Export!E239="","",DB_Artworks_Export!E239)</f>
        <v/>
      </c>
      <c r="I239" s="2" t="str">
        <f>IF(DB_Artworks_Export!F239="","",DB_Artworks_Export!F239)</f>
        <v/>
      </c>
      <c r="J239" s="2" t="str">
        <f>IF(DB_Artworks_Export!G239="","",DB_Artworks_Export!G239)</f>
        <v/>
      </c>
      <c r="K239" s="2" t="str">
        <f>IF(DB_Artworks_Export!H239="","",DB_Artworks_Export!H239)</f>
        <v/>
      </c>
      <c r="L239" s="2" t="str">
        <f>IF(DB_Artworks_Export!I239="","",DB_Artworks_Export!I239)</f>
        <v/>
      </c>
      <c r="M239" s="2" t="str">
        <f>IF(DB_Artworks_Export!J239="","",DB_Artworks_Export!J239)</f>
        <v/>
      </c>
      <c r="N239" s="2" t="str">
        <f>IF(DB_Artworks_Export!K239="","",DB_Artworks_Export!K239)</f>
        <v/>
      </c>
      <c r="O239" s="2" t="str">
        <f>IF(DB_Artworks_Export!L239="","",DB_Artworks_Export!L239)</f>
        <v/>
      </c>
      <c r="P239" s="2" t="str">
        <f>IF(DB_Artworks_Export!M239="","",DB_Artworks_Export!M239)</f>
        <v/>
      </c>
      <c r="Q239" s="2" t="str">
        <f>IF(DB_Artworks_Export!N239="","",DB_Artworks_Export!N239)</f>
        <v/>
      </c>
      <c r="R239" s="2" t="str">
        <f>IF($D239="","",IF(COUNTIF(DB_Categories_Export!$A:$A,$F239)&gt;0,"OK","INVALID CATEGORY"))</f>
        <v/>
      </c>
      <c r="S239" s="2" t="str">
        <f>IF($D239="","",COUNTIF(DB_Artwork_Sizes_Export!$B:$B,$D239))</f>
        <v/>
      </c>
      <c r="T239" s="2" t="str">
        <f>IF($D239="","",IFERROR(INDEX(DB_Artwork_Sizes_Export!$D:$D,MATCH($D239,DB_Artwork_Sizes_Export!$B:$B,0)),""))</f>
        <v/>
      </c>
      <c r="U239" s="2" t="str">
        <f>IF($D239="","",IFERROR(INDEX(DB_Artwork_Sizes_Export!$E:$E,MATCH($D239,DB_Artwork_Sizes_Export!$B:$B,0)),""))</f>
        <v/>
      </c>
      <c r="V239" s="2" t="str">
        <f>IF($D239="","",IFERROR(INDEX(DB_Artwork_Sizes_Export!$F:$F,MATCH($D239,DB_Artwork_Sizes_Export!$B:$B,0)),""))</f>
        <v/>
      </c>
      <c r="W239" s="2" t="str">
        <f t="shared" si="32"/>
        <v/>
      </c>
      <c r="X239" s="2"/>
      <c r="Y239" s="2"/>
      <c r="Z239" s="2"/>
      <c r="AA239" s="2"/>
      <c r="AB239" s="2"/>
      <c r="AC239" s="2"/>
      <c r="AD239" s="2"/>
      <c r="AE239" s="2"/>
      <c r="AF239" s="2" t="str">
        <f t="shared" si="33"/>
        <v/>
      </c>
      <c r="AG239" s="2" t="str">
        <f t="shared" si="34"/>
        <v/>
      </c>
      <c r="AH239" s="2" t="str">
        <f>IF($AG239="","",IFERROR(VLOOKUP($AG239,DB_Categories_Export!$A:$B,2,FALSE()),"INVALID CATEGORY"))</f>
        <v/>
      </c>
      <c r="AI239" s="2" t="str">
        <f t="shared" si="35"/>
        <v/>
      </c>
      <c r="AJ239" s="2" t="str">
        <f t="shared" si="36"/>
        <v/>
      </c>
      <c r="AK239" s="2" t="str">
        <f t="shared" si="37"/>
        <v/>
      </c>
      <c r="AL239" s="2" t="str">
        <f t="shared" si="38"/>
        <v/>
      </c>
      <c r="AM239" s="2" t="str">
        <f t="shared" si="39"/>
        <v/>
      </c>
      <c r="AN239" s="2"/>
      <c r="AO239" s="2"/>
    </row>
    <row r="240" spans="1:41" ht="12" customHeight="1" x14ac:dyDescent="0.3">
      <c r="A240" s="2"/>
      <c r="B240" s="2" t="str">
        <f t="shared" si="30"/>
        <v/>
      </c>
      <c r="C240" s="2" t="str">
        <f t="shared" si="31"/>
        <v/>
      </c>
      <c r="D240" s="2" t="str">
        <f>IF(DB_Artworks_Export!A240="","",DB_Artworks_Export!A240)</f>
        <v/>
      </c>
      <c r="E240" s="2" t="str">
        <f>IF(DB_Artworks_Export!B240="","",DB_Artworks_Export!B240)</f>
        <v/>
      </c>
      <c r="F240" s="2" t="str">
        <f>IF(DB_Artworks_Export!C240="","",DB_Artworks_Export!C240)</f>
        <v/>
      </c>
      <c r="G240" s="2" t="str">
        <f>IF(DB_Artworks_Export!D240="","",DB_Artworks_Export!D240)</f>
        <v/>
      </c>
      <c r="H240" s="2" t="str">
        <f>IF(DB_Artworks_Export!E240="","",DB_Artworks_Export!E240)</f>
        <v/>
      </c>
      <c r="I240" s="2" t="str">
        <f>IF(DB_Artworks_Export!F240="","",DB_Artworks_Export!F240)</f>
        <v/>
      </c>
      <c r="J240" s="2" t="str">
        <f>IF(DB_Artworks_Export!G240="","",DB_Artworks_Export!G240)</f>
        <v/>
      </c>
      <c r="K240" s="2" t="str">
        <f>IF(DB_Artworks_Export!H240="","",DB_Artworks_Export!H240)</f>
        <v/>
      </c>
      <c r="L240" s="2" t="str">
        <f>IF(DB_Artworks_Export!I240="","",DB_Artworks_Export!I240)</f>
        <v/>
      </c>
      <c r="M240" s="2" t="str">
        <f>IF(DB_Artworks_Export!J240="","",DB_Artworks_Export!J240)</f>
        <v/>
      </c>
      <c r="N240" s="2" t="str">
        <f>IF(DB_Artworks_Export!K240="","",DB_Artworks_Export!K240)</f>
        <v/>
      </c>
      <c r="O240" s="2" t="str">
        <f>IF(DB_Artworks_Export!L240="","",DB_Artworks_Export!L240)</f>
        <v/>
      </c>
      <c r="P240" s="2" t="str">
        <f>IF(DB_Artworks_Export!M240="","",DB_Artworks_Export!M240)</f>
        <v/>
      </c>
      <c r="Q240" s="2" t="str">
        <f>IF(DB_Artworks_Export!N240="","",DB_Artworks_Export!N240)</f>
        <v/>
      </c>
      <c r="R240" s="2" t="str">
        <f>IF($D240="","",IF(COUNTIF(DB_Categories_Export!$A:$A,$F240)&gt;0,"OK","INVALID CATEGORY"))</f>
        <v/>
      </c>
      <c r="S240" s="2" t="str">
        <f>IF($D240="","",COUNTIF(DB_Artwork_Sizes_Export!$B:$B,$D240))</f>
        <v/>
      </c>
      <c r="T240" s="2" t="str">
        <f>IF($D240="","",IFERROR(INDEX(DB_Artwork_Sizes_Export!$D:$D,MATCH($D240,DB_Artwork_Sizes_Export!$B:$B,0)),""))</f>
        <v/>
      </c>
      <c r="U240" s="2" t="str">
        <f>IF($D240="","",IFERROR(INDEX(DB_Artwork_Sizes_Export!$E:$E,MATCH($D240,DB_Artwork_Sizes_Export!$B:$B,0)),""))</f>
        <v/>
      </c>
      <c r="V240" s="2" t="str">
        <f>IF($D240="","",IFERROR(INDEX(DB_Artwork_Sizes_Export!$F:$F,MATCH($D240,DB_Artwork_Sizes_Export!$B:$B,0)),""))</f>
        <v/>
      </c>
      <c r="W240" s="2" t="str">
        <f t="shared" si="32"/>
        <v/>
      </c>
      <c r="X240" s="2"/>
      <c r="Y240" s="2"/>
      <c r="Z240" s="2"/>
      <c r="AA240" s="2"/>
      <c r="AB240" s="2"/>
      <c r="AC240" s="2"/>
      <c r="AD240" s="2"/>
      <c r="AE240" s="2"/>
      <c r="AF240" s="2" t="str">
        <f t="shared" si="33"/>
        <v/>
      </c>
      <c r="AG240" s="2" t="str">
        <f t="shared" si="34"/>
        <v/>
      </c>
      <c r="AH240" s="2" t="str">
        <f>IF($AG240="","",IFERROR(VLOOKUP($AG240,DB_Categories_Export!$A:$B,2,FALSE()),"INVALID CATEGORY"))</f>
        <v/>
      </c>
      <c r="AI240" s="2" t="str">
        <f t="shared" si="35"/>
        <v/>
      </c>
      <c r="AJ240" s="2" t="str">
        <f t="shared" si="36"/>
        <v/>
      </c>
      <c r="AK240" s="2" t="str">
        <f t="shared" si="37"/>
        <v/>
      </c>
      <c r="AL240" s="2" t="str">
        <f t="shared" si="38"/>
        <v/>
      </c>
      <c r="AM240" s="2" t="str">
        <f t="shared" si="39"/>
        <v/>
      </c>
      <c r="AN240" s="2"/>
      <c r="AO240" s="2"/>
    </row>
    <row r="241" spans="1:41" ht="12" customHeight="1" x14ac:dyDescent="0.3">
      <c r="A241" s="2"/>
      <c r="B241" s="2" t="str">
        <f t="shared" si="30"/>
        <v/>
      </c>
      <c r="C241" s="2" t="str">
        <f t="shared" si="31"/>
        <v/>
      </c>
      <c r="D241" s="2" t="str">
        <f>IF(DB_Artworks_Export!A241="","",DB_Artworks_Export!A241)</f>
        <v/>
      </c>
      <c r="E241" s="2" t="str">
        <f>IF(DB_Artworks_Export!B241="","",DB_Artworks_Export!B241)</f>
        <v/>
      </c>
      <c r="F241" s="2" t="str">
        <f>IF(DB_Artworks_Export!C241="","",DB_Artworks_Export!C241)</f>
        <v/>
      </c>
      <c r="G241" s="2" t="str">
        <f>IF(DB_Artworks_Export!D241="","",DB_Artworks_Export!D241)</f>
        <v/>
      </c>
      <c r="H241" s="2" t="str">
        <f>IF(DB_Artworks_Export!E241="","",DB_Artworks_Export!E241)</f>
        <v/>
      </c>
      <c r="I241" s="2" t="str">
        <f>IF(DB_Artworks_Export!F241="","",DB_Artworks_Export!F241)</f>
        <v/>
      </c>
      <c r="J241" s="2" t="str">
        <f>IF(DB_Artworks_Export!G241="","",DB_Artworks_Export!G241)</f>
        <v/>
      </c>
      <c r="K241" s="2" t="str">
        <f>IF(DB_Artworks_Export!H241="","",DB_Artworks_Export!H241)</f>
        <v/>
      </c>
      <c r="L241" s="2" t="str">
        <f>IF(DB_Artworks_Export!I241="","",DB_Artworks_Export!I241)</f>
        <v/>
      </c>
      <c r="M241" s="2" t="str">
        <f>IF(DB_Artworks_Export!J241="","",DB_Artworks_Export!J241)</f>
        <v/>
      </c>
      <c r="N241" s="2" t="str">
        <f>IF(DB_Artworks_Export!K241="","",DB_Artworks_Export!K241)</f>
        <v/>
      </c>
      <c r="O241" s="2" t="str">
        <f>IF(DB_Artworks_Export!L241="","",DB_Artworks_Export!L241)</f>
        <v/>
      </c>
      <c r="P241" s="2" t="str">
        <f>IF(DB_Artworks_Export!M241="","",DB_Artworks_Export!M241)</f>
        <v/>
      </c>
      <c r="Q241" s="2" t="str">
        <f>IF(DB_Artworks_Export!N241="","",DB_Artworks_Export!N241)</f>
        <v/>
      </c>
      <c r="R241" s="2" t="str">
        <f>IF($D241="","",IF(COUNTIF(DB_Categories_Export!$A:$A,$F241)&gt;0,"OK","INVALID CATEGORY"))</f>
        <v/>
      </c>
      <c r="S241" s="2" t="str">
        <f>IF($D241="","",COUNTIF(DB_Artwork_Sizes_Export!$B:$B,$D241))</f>
        <v/>
      </c>
      <c r="T241" s="2" t="str">
        <f>IF($D241="","",IFERROR(INDEX(DB_Artwork_Sizes_Export!$D:$D,MATCH($D241,DB_Artwork_Sizes_Export!$B:$B,0)),""))</f>
        <v/>
      </c>
      <c r="U241" s="2" t="str">
        <f>IF($D241="","",IFERROR(INDEX(DB_Artwork_Sizes_Export!$E:$E,MATCH($D241,DB_Artwork_Sizes_Export!$B:$B,0)),""))</f>
        <v/>
      </c>
      <c r="V241" s="2" t="str">
        <f>IF($D241="","",IFERROR(INDEX(DB_Artwork_Sizes_Export!$F:$F,MATCH($D241,DB_Artwork_Sizes_Export!$B:$B,0)),""))</f>
        <v/>
      </c>
      <c r="W241" s="2" t="str">
        <f t="shared" si="32"/>
        <v/>
      </c>
      <c r="X241" s="2"/>
      <c r="Y241" s="2"/>
      <c r="Z241" s="2"/>
      <c r="AA241" s="2"/>
      <c r="AB241" s="2"/>
      <c r="AC241" s="2"/>
      <c r="AD241" s="2"/>
      <c r="AE241" s="2"/>
      <c r="AF241" s="2" t="str">
        <f t="shared" si="33"/>
        <v/>
      </c>
      <c r="AG241" s="2" t="str">
        <f t="shared" si="34"/>
        <v/>
      </c>
      <c r="AH241" s="2" t="str">
        <f>IF($AG241="","",IFERROR(VLOOKUP($AG241,DB_Categories_Export!$A:$B,2,FALSE()),"INVALID CATEGORY"))</f>
        <v/>
      </c>
      <c r="AI241" s="2" t="str">
        <f t="shared" si="35"/>
        <v/>
      </c>
      <c r="AJ241" s="2" t="str">
        <f t="shared" si="36"/>
        <v/>
      </c>
      <c r="AK241" s="2" t="str">
        <f t="shared" si="37"/>
        <v/>
      </c>
      <c r="AL241" s="2" t="str">
        <f t="shared" si="38"/>
        <v/>
      </c>
      <c r="AM241" s="2" t="str">
        <f t="shared" si="39"/>
        <v/>
      </c>
      <c r="AN241" s="2"/>
      <c r="AO241" s="2"/>
    </row>
    <row r="242" spans="1:41" ht="12" customHeight="1" x14ac:dyDescent="0.3">
      <c r="A242" s="2"/>
      <c r="B242" s="2" t="str">
        <f t="shared" si="30"/>
        <v/>
      </c>
      <c r="C242" s="2" t="str">
        <f t="shared" si="31"/>
        <v/>
      </c>
      <c r="D242" s="2" t="str">
        <f>IF(DB_Artworks_Export!A242="","",DB_Artworks_Export!A242)</f>
        <v/>
      </c>
      <c r="E242" s="2" t="str">
        <f>IF(DB_Artworks_Export!B242="","",DB_Artworks_Export!B242)</f>
        <v/>
      </c>
      <c r="F242" s="2" t="str">
        <f>IF(DB_Artworks_Export!C242="","",DB_Artworks_Export!C242)</f>
        <v/>
      </c>
      <c r="G242" s="2" t="str">
        <f>IF(DB_Artworks_Export!D242="","",DB_Artworks_Export!D242)</f>
        <v/>
      </c>
      <c r="H242" s="2" t="str">
        <f>IF(DB_Artworks_Export!E242="","",DB_Artworks_Export!E242)</f>
        <v/>
      </c>
      <c r="I242" s="2" t="str">
        <f>IF(DB_Artworks_Export!F242="","",DB_Artworks_Export!F242)</f>
        <v/>
      </c>
      <c r="J242" s="2" t="str">
        <f>IF(DB_Artworks_Export!G242="","",DB_Artworks_Export!G242)</f>
        <v/>
      </c>
      <c r="K242" s="2" t="str">
        <f>IF(DB_Artworks_Export!H242="","",DB_Artworks_Export!H242)</f>
        <v/>
      </c>
      <c r="L242" s="2" t="str">
        <f>IF(DB_Artworks_Export!I242="","",DB_Artworks_Export!I242)</f>
        <v/>
      </c>
      <c r="M242" s="2" t="str">
        <f>IF(DB_Artworks_Export!J242="","",DB_Artworks_Export!J242)</f>
        <v/>
      </c>
      <c r="N242" s="2" t="str">
        <f>IF(DB_Artworks_Export!K242="","",DB_Artworks_Export!K242)</f>
        <v/>
      </c>
      <c r="O242" s="2" t="str">
        <f>IF(DB_Artworks_Export!L242="","",DB_Artworks_Export!L242)</f>
        <v/>
      </c>
      <c r="P242" s="2" t="str">
        <f>IF(DB_Artworks_Export!M242="","",DB_Artworks_Export!M242)</f>
        <v/>
      </c>
      <c r="Q242" s="2" t="str">
        <f>IF(DB_Artworks_Export!N242="","",DB_Artworks_Export!N242)</f>
        <v/>
      </c>
      <c r="R242" s="2" t="str">
        <f>IF($D242="","",IF(COUNTIF(DB_Categories_Export!$A:$A,$F242)&gt;0,"OK","INVALID CATEGORY"))</f>
        <v/>
      </c>
      <c r="S242" s="2" t="str">
        <f>IF($D242="","",COUNTIF(DB_Artwork_Sizes_Export!$B:$B,$D242))</f>
        <v/>
      </c>
      <c r="T242" s="2" t="str">
        <f>IF($D242="","",IFERROR(INDEX(DB_Artwork_Sizes_Export!$D:$D,MATCH($D242,DB_Artwork_Sizes_Export!$B:$B,0)),""))</f>
        <v/>
      </c>
      <c r="U242" s="2" t="str">
        <f>IF($D242="","",IFERROR(INDEX(DB_Artwork_Sizes_Export!$E:$E,MATCH($D242,DB_Artwork_Sizes_Export!$B:$B,0)),""))</f>
        <v/>
      </c>
      <c r="V242" s="2" t="str">
        <f>IF($D242="","",IFERROR(INDEX(DB_Artwork_Sizes_Export!$F:$F,MATCH($D242,DB_Artwork_Sizes_Export!$B:$B,0)),""))</f>
        <v/>
      </c>
      <c r="W242" s="2" t="str">
        <f t="shared" si="32"/>
        <v/>
      </c>
      <c r="X242" s="2"/>
      <c r="Y242" s="2"/>
      <c r="Z242" s="2"/>
      <c r="AA242" s="2"/>
      <c r="AB242" s="2"/>
      <c r="AC242" s="2"/>
      <c r="AD242" s="2"/>
      <c r="AE242" s="2"/>
      <c r="AF242" s="2" t="str">
        <f t="shared" si="33"/>
        <v/>
      </c>
      <c r="AG242" s="2" t="str">
        <f t="shared" si="34"/>
        <v/>
      </c>
      <c r="AH242" s="2" t="str">
        <f>IF($AG242="","",IFERROR(VLOOKUP($AG242,DB_Categories_Export!$A:$B,2,FALSE()),"INVALID CATEGORY"))</f>
        <v/>
      </c>
      <c r="AI242" s="2" t="str">
        <f t="shared" si="35"/>
        <v/>
      </c>
      <c r="AJ242" s="2" t="str">
        <f t="shared" si="36"/>
        <v/>
      </c>
      <c r="AK242" s="2" t="str">
        <f t="shared" si="37"/>
        <v/>
      </c>
      <c r="AL242" s="2" t="str">
        <f t="shared" si="38"/>
        <v/>
      </c>
      <c r="AM242" s="2" t="str">
        <f t="shared" si="39"/>
        <v/>
      </c>
      <c r="AN242" s="2"/>
      <c r="AO242" s="2"/>
    </row>
    <row r="243" spans="1:41" ht="12" customHeight="1" x14ac:dyDescent="0.3">
      <c r="A243" s="2"/>
      <c r="B243" s="2" t="str">
        <f t="shared" si="30"/>
        <v/>
      </c>
      <c r="C243" s="2" t="str">
        <f t="shared" si="31"/>
        <v/>
      </c>
      <c r="D243" s="2" t="str">
        <f>IF(DB_Artworks_Export!A243="","",DB_Artworks_Export!A243)</f>
        <v/>
      </c>
      <c r="E243" s="2" t="str">
        <f>IF(DB_Artworks_Export!B243="","",DB_Artworks_Export!B243)</f>
        <v/>
      </c>
      <c r="F243" s="2" t="str">
        <f>IF(DB_Artworks_Export!C243="","",DB_Artworks_Export!C243)</f>
        <v/>
      </c>
      <c r="G243" s="2" t="str">
        <f>IF(DB_Artworks_Export!D243="","",DB_Artworks_Export!D243)</f>
        <v/>
      </c>
      <c r="H243" s="2" t="str">
        <f>IF(DB_Artworks_Export!E243="","",DB_Artworks_Export!E243)</f>
        <v/>
      </c>
      <c r="I243" s="2" t="str">
        <f>IF(DB_Artworks_Export!F243="","",DB_Artworks_Export!F243)</f>
        <v/>
      </c>
      <c r="J243" s="2" t="str">
        <f>IF(DB_Artworks_Export!G243="","",DB_Artworks_Export!G243)</f>
        <v/>
      </c>
      <c r="K243" s="2" t="str">
        <f>IF(DB_Artworks_Export!H243="","",DB_Artworks_Export!H243)</f>
        <v/>
      </c>
      <c r="L243" s="2" t="str">
        <f>IF(DB_Artworks_Export!I243="","",DB_Artworks_Export!I243)</f>
        <v/>
      </c>
      <c r="M243" s="2" t="str">
        <f>IF(DB_Artworks_Export!J243="","",DB_Artworks_Export!J243)</f>
        <v/>
      </c>
      <c r="N243" s="2" t="str">
        <f>IF(DB_Artworks_Export!K243="","",DB_Artworks_Export!K243)</f>
        <v/>
      </c>
      <c r="O243" s="2" t="str">
        <f>IF(DB_Artworks_Export!L243="","",DB_Artworks_Export!L243)</f>
        <v/>
      </c>
      <c r="P243" s="2" t="str">
        <f>IF(DB_Artworks_Export!M243="","",DB_Artworks_Export!M243)</f>
        <v/>
      </c>
      <c r="Q243" s="2" t="str">
        <f>IF(DB_Artworks_Export!N243="","",DB_Artworks_Export!N243)</f>
        <v/>
      </c>
      <c r="R243" s="2" t="str">
        <f>IF($D243="","",IF(COUNTIF(DB_Categories_Export!$A:$A,$F243)&gt;0,"OK","INVALID CATEGORY"))</f>
        <v/>
      </c>
      <c r="S243" s="2" t="str">
        <f>IF($D243="","",COUNTIF(DB_Artwork_Sizes_Export!$B:$B,$D243))</f>
        <v/>
      </c>
      <c r="T243" s="2" t="str">
        <f>IF($D243="","",IFERROR(INDEX(DB_Artwork_Sizes_Export!$D:$D,MATCH($D243,DB_Artwork_Sizes_Export!$B:$B,0)),""))</f>
        <v/>
      </c>
      <c r="U243" s="2" t="str">
        <f>IF($D243="","",IFERROR(INDEX(DB_Artwork_Sizes_Export!$E:$E,MATCH($D243,DB_Artwork_Sizes_Export!$B:$B,0)),""))</f>
        <v/>
      </c>
      <c r="V243" s="2" t="str">
        <f>IF($D243="","",IFERROR(INDEX(DB_Artwork_Sizes_Export!$F:$F,MATCH($D243,DB_Artwork_Sizes_Export!$B:$B,0)),""))</f>
        <v/>
      </c>
      <c r="W243" s="2" t="str">
        <f t="shared" si="32"/>
        <v/>
      </c>
      <c r="X243" s="2"/>
      <c r="Y243" s="2"/>
      <c r="Z243" s="2"/>
      <c r="AA243" s="2"/>
      <c r="AB243" s="2"/>
      <c r="AC243" s="2"/>
      <c r="AD243" s="2"/>
      <c r="AE243" s="2"/>
      <c r="AF243" s="2" t="str">
        <f t="shared" si="33"/>
        <v/>
      </c>
      <c r="AG243" s="2" t="str">
        <f t="shared" si="34"/>
        <v/>
      </c>
      <c r="AH243" s="2" t="str">
        <f>IF($AG243="","",IFERROR(VLOOKUP($AG243,DB_Categories_Export!$A:$B,2,FALSE()),"INVALID CATEGORY"))</f>
        <v/>
      </c>
      <c r="AI243" s="2" t="str">
        <f t="shared" si="35"/>
        <v/>
      </c>
      <c r="AJ243" s="2" t="str">
        <f t="shared" si="36"/>
        <v/>
      </c>
      <c r="AK243" s="2" t="str">
        <f t="shared" si="37"/>
        <v/>
      </c>
      <c r="AL243" s="2" t="str">
        <f t="shared" si="38"/>
        <v/>
      </c>
      <c r="AM243" s="2" t="str">
        <f t="shared" si="39"/>
        <v/>
      </c>
      <c r="AN243" s="2"/>
      <c r="AO243" s="2"/>
    </row>
    <row r="244" spans="1:41" ht="12" customHeight="1" x14ac:dyDescent="0.3">
      <c r="A244" s="2"/>
      <c r="B244" s="2" t="str">
        <f t="shared" si="30"/>
        <v/>
      </c>
      <c r="C244" s="2" t="str">
        <f t="shared" si="31"/>
        <v/>
      </c>
      <c r="D244" s="2" t="str">
        <f>IF(DB_Artworks_Export!A244="","",DB_Artworks_Export!A244)</f>
        <v/>
      </c>
      <c r="E244" s="2" t="str">
        <f>IF(DB_Artworks_Export!B244="","",DB_Artworks_Export!B244)</f>
        <v/>
      </c>
      <c r="F244" s="2" t="str">
        <f>IF(DB_Artworks_Export!C244="","",DB_Artworks_Export!C244)</f>
        <v/>
      </c>
      <c r="G244" s="2" t="str">
        <f>IF(DB_Artworks_Export!D244="","",DB_Artworks_Export!D244)</f>
        <v/>
      </c>
      <c r="H244" s="2" t="str">
        <f>IF(DB_Artworks_Export!E244="","",DB_Artworks_Export!E244)</f>
        <v/>
      </c>
      <c r="I244" s="2" t="str">
        <f>IF(DB_Artworks_Export!F244="","",DB_Artworks_Export!F244)</f>
        <v/>
      </c>
      <c r="J244" s="2" t="str">
        <f>IF(DB_Artworks_Export!G244="","",DB_Artworks_Export!G244)</f>
        <v/>
      </c>
      <c r="K244" s="2" t="str">
        <f>IF(DB_Artworks_Export!H244="","",DB_Artworks_Export!H244)</f>
        <v/>
      </c>
      <c r="L244" s="2" t="str">
        <f>IF(DB_Artworks_Export!I244="","",DB_Artworks_Export!I244)</f>
        <v/>
      </c>
      <c r="M244" s="2" t="str">
        <f>IF(DB_Artworks_Export!J244="","",DB_Artworks_Export!J244)</f>
        <v/>
      </c>
      <c r="N244" s="2" t="str">
        <f>IF(DB_Artworks_Export!K244="","",DB_Artworks_Export!K244)</f>
        <v/>
      </c>
      <c r="O244" s="2" t="str">
        <f>IF(DB_Artworks_Export!L244="","",DB_Artworks_Export!L244)</f>
        <v/>
      </c>
      <c r="P244" s="2" t="str">
        <f>IF(DB_Artworks_Export!M244="","",DB_Artworks_Export!M244)</f>
        <v/>
      </c>
      <c r="Q244" s="2" t="str">
        <f>IF(DB_Artworks_Export!N244="","",DB_Artworks_Export!N244)</f>
        <v/>
      </c>
      <c r="R244" s="2" t="str">
        <f>IF($D244="","",IF(COUNTIF(DB_Categories_Export!$A:$A,$F244)&gt;0,"OK","INVALID CATEGORY"))</f>
        <v/>
      </c>
      <c r="S244" s="2" t="str">
        <f>IF($D244="","",COUNTIF(DB_Artwork_Sizes_Export!$B:$B,$D244))</f>
        <v/>
      </c>
      <c r="T244" s="2" t="str">
        <f>IF($D244="","",IFERROR(INDEX(DB_Artwork_Sizes_Export!$D:$D,MATCH($D244,DB_Artwork_Sizes_Export!$B:$B,0)),""))</f>
        <v/>
      </c>
      <c r="U244" s="2" t="str">
        <f>IF($D244="","",IFERROR(INDEX(DB_Artwork_Sizes_Export!$E:$E,MATCH($D244,DB_Artwork_Sizes_Export!$B:$B,0)),""))</f>
        <v/>
      </c>
      <c r="V244" s="2" t="str">
        <f>IF($D244="","",IFERROR(INDEX(DB_Artwork_Sizes_Export!$F:$F,MATCH($D244,DB_Artwork_Sizes_Export!$B:$B,0)),""))</f>
        <v/>
      </c>
      <c r="W244" s="2" t="str">
        <f t="shared" si="32"/>
        <v/>
      </c>
      <c r="X244" s="2"/>
      <c r="Y244" s="2"/>
      <c r="Z244" s="2"/>
      <c r="AA244" s="2"/>
      <c r="AB244" s="2"/>
      <c r="AC244" s="2"/>
      <c r="AD244" s="2"/>
      <c r="AE244" s="2"/>
      <c r="AF244" s="2" t="str">
        <f t="shared" si="33"/>
        <v/>
      </c>
      <c r="AG244" s="2" t="str">
        <f t="shared" si="34"/>
        <v/>
      </c>
      <c r="AH244" s="2" t="str">
        <f>IF($AG244="","",IFERROR(VLOOKUP($AG244,DB_Categories_Export!$A:$B,2,FALSE()),"INVALID CATEGORY"))</f>
        <v/>
      </c>
      <c r="AI244" s="2" t="str">
        <f t="shared" si="35"/>
        <v/>
      </c>
      <c r="AJ244" s="2" t="str">
        <f t="shared" si="36"/>
        <v/>
      </c>
      <c r="AK244" s="2" t="str">
        <f t="shared" si="37"/>
        <v/>
      </c>
      <c r="AL244" s="2" t="str">
        <f t="shared" si="38"/>
        <v/>
      </c>
      <c r="AM244" s="2" t="str">
        <f t="shared" si="39"/>
        <v/>
      </c>
      <c r="AN244" s="2"/>
      <c r="AO244" s="2"/>
    </row>
    <row r="245" spans="1:41" ht="12" customHeight="1" x14ac:dyDescent="0.3">
      <c r="A245" s="2"/>
      <c r="B245" s="2" t="str">
        <f t="shared" si="30"/>
        <v/>
      </c>
      <c r="C245" s="2" t="str">
        <f t="shared" si="31"/>
        <v/>
      </c>
      <c r="D245" s="2" t="str">
        <f>IF(DB_Artworks_Export!A245="","",DB_Artworks_Export!A245)</f>
        <v/>
      </c>
      <c r="E245" s="2" t="str">
        <f>IF(DB_Artworks_Export!B245="","",DB_Artworks_Export!B245)</f>
        <v/>
      </c>
      <c r="F245" s="2" t="str">
        <f>IF(DB_Artworks_Export!C245="","",DB_Artworks_Export!C245)</f>
        <v/>
      </c>
      <c r="G245" s="2" t="str">
        <f>IF(DB_Artworks_Export!D245="","",DB_Artworks_Export!D245)</f>
        <v/>
      </c>
      <c r="H245" s="2" t="str">
        <f>IF(DB_Artworks_Export!E245="","",DB_Artworks_Export!E245)</f>
        <v/>
      </c>
      <c r="I245" s="2" t="str">
        <f>IF(DB_Artworks_Export!F245="","",DB_Artworks_Export!F245)</f>
        <v/>
      </c>
      <c r="J245" s="2" t="str">
        <f>IF(DB_Artworks_Export!G245="","",DB_Artworks_Export!G245)</f>
        <v/>
      </c>
      <c r="K245" s="2" t="str">
        <f>IF(DB_Artworks_Export!H245="","",DB_Artworks_Export!H245)</f>
        <v/>
      </c>
      <c r="L245" s="2" t="str">
        <f>IF(DB_Artworks_Export!I245="","",DB_Artworks_Export!I245)</f>
        <v/>
      </c>
      <c r="M245" s="2" t="str">
        <f>IF(DB_Artworks_Export!J245="","",DB_Artworks_Export!J245)</f>
        <v/>
      </c>
      <c r="N245" s="2" t="str">
        <f>IF(DB_Artworks_Export!K245="","",DB_Artworks_Export!K245)</f>
        <v/>
      </c>
      <c r="O245" s="2" t="str">
        <f>IF(DB_Artworks_Export!L245="","",DB_Artworks_Export!L245)</f>
        <v/>
      </c>
      <c r="P245" s="2" t="str">
        <f>IF(DB_Artworks_Export!M245="","",DB_Artworks_Export!M245)</f>
        <v/>
      </c>
      <c r="Q245" s="2" t="str">
        <f>IF(DB_Artworks_Export!N245="","",DB_Artworks_Export!N245)</f>
        <v/>
      </c>
      <c r="R245" s="2" t="str">
        <f>IF($D245="","",IF(COUNTIF(DB_Categories_Export!$A:$A,$F245)&gt;0,"OK","INVALID CATEGORY"))</f>
        <v/>
      </c>
      <c r="S245" s="2" t="str">
        <f>IF($D245="","",COUNTIF(DB_Artwork_Sizes_Export!$B:$B,$D245))</f>
        <v/>
      </c>
      <c r="T245" s="2" t="str">
        <f>IF($D245="","",IFERROR(INDEX(DB_Artwork_Sizes_Export!$D:$D,MATCH($D245,DB_Artwork_Sizes_Export!$B:$B,0)),""))</f>
        <v/>
      </c>
      <c r="U245" s="2" t="str">
        <f>IF($D245="","",IFERROR(INDEX(DB_Artwork_Sizes_Export!$E:$E,MATCH($D245,DB_Artwork_Sizes_Export!$B:$B,0)),""))</f>
        <v/>
      </c>
      <c r="V245" s="2" t="str">
        <f>IF($D245="","",IFERROR(INDEX(DB_Artwork_Sizes_Export!$F:$F,MATCH($D245,DB_Artwork_Sizes_Export!$B:$B,0)),""))</f>
        <v/>
      </c>
      <c r="W245" s="2" t="str">
        <f t="shared" si="32"/>
        <v/>
      </c>
      <c r="X245" s="2"/>
      <c r="Y245" s="2"/>
      <c r="Z245" s="2"/>
      <c r="AA245" s="2"/>
      <c r="AB245" s="2"/>
      <c r="AC245" s="2"/>
      <c r="AD245" s="2"/>
      <c r="AE245" s="2"/>
      <c r="AF245" s="2" t="str">
        <f t="shared" si="33"/>
        <v/>
      </c>
      <c r="AG245" s="2" t="str">
        <f t="shared" si="34"/>
        <v/>
      </c>
      <c r="AH245" s="2" t="str">
        <f>IF($AG245="","",IFERROR(VLOOKUP($AG245,DB_Categories_Export!$A:$B,2,FALSE()),"INVALID CATEGORY"))</f>
        <v/>
      </c>
      <c r="AI245" s="2" t="str">
        <f t="shared" si="35"/>
        <v/>
      </c>
      <c r="AJ245" s="2" t="str">
        <f t="shared" si="36"/>
        <v/>
      </c>
      <c r="AK245" s="2" t="str">
        <f t="shared" si="37"/>
        <v/>
      </c>
      <c r="AL245" s="2" t="str">
        <f t="shared" si="38"/>
        <v/>
      </c>
      <c r="AM245" s="2" t="str">
        <f t="shared" si="39"/>
        <v/>
      </c>
      <c r="AN245" s="2"/>
      <c r="AO245" s="2"/>
    </row>
    <row r="246" spans="1:41" ht="12" customHeight="1" x14ac:dyDescent="0.3">
      <c r="A246" s="2"/>
      <c r="B246" s="2" t="str">
        <f t="shared" si="30"/>
        <v/>
      </c>
      <c r="C246" s="2" t="str">
        <f t="shared" si="31"/>
        <v/>
      </c>
      <c r="D246" s="2" t="str">
        <f>IF(DB_Artworks_Export!A246="","",DB_Artworks_Export!A246)</f>
        <v/>
      </c>
      <c r="E246" s="2" t="str">
        <f>IF(DB_Artworks_Export!B246="","",DB_Artworks_Export!B246)</f>
        <v/>
      </c>
      <c r="F246" s="2" t="str">
        <f>IF(DB_Artworks_Export!C246="","",DB_Artworks_Export!C246)</f>
        <v/>
      </c>
      <c r="G246" s="2" t="str">
        <f>IF(DB_Artworks_Export!D246="","",DB_Artworks_Export!D246)</f>
        <v/>
      </c>
      <c r="H246" s="2" t="str">
        <f>IF(DB_Artworks_Export!E246="","",DB_Artworks_Export!E246)</f>
        <v/>
      </c>
      <c r="I246" s="2" t="str">
        <f>IF(DB_Artworks_Export!F246="","",DB_Artworks_Export!F246)</f>
        <v/>
      </c>
      <c r="J246" s="2" t="str">
        <f>IF(DB_Artworks_Export!G246="","",DB_Artworks_Export!G246)</f>
        <v/>
      </c>
      <c r="K246" s="2" t="str">
        <f>IF(DB_Artworks_Export!H246="","",DB_Artworks_Export!H246)</f>
        <v/>
      </c>
      <c r="L246" s="2" t="str">
        <f>IF(DB_Artworks_Export!I246="","",DB_Artworks_Export!I246)</f>
        <v/>
      </c>
      <c r="M246" s="2" t="str">
        <f>IF(DB_Artworks_Export!J246="","",DB_Artworks_Export!J246)</f>
        <v/>
      </c>
      <c r="N246" s="2" t="str">
        <f>IF(DB_Artworks_Export!K246="","",DB_Artworks_Export!K246)</f>
        <v/>
      </c>
      <c r="O246" s="2" t="str">
        <f>IF(DB_Artworks_Export!L246="","",DB_Artworks_Export!L246)</f>
        <v/>
      </c>
      <c r="P246" s="2" t="str">
        <f>IF(DB_Artworks_Export!M246="","",DB_Artworks_Export!M246)</f>
        <v/>
      </c>
      <c r="Q246" s="2" t="str">
        <f>IF(DB_Artworks_Export!N246="","",DB_Artworks_Export!N246)</f>
        <v/>
      </c>
      <c r="R246" s="2" t="str">
        <f>IF($D246="","",IF(COUNTIF(DB_Categories_Export!$A:$A,$F246)&gt;0,"OK","INVALID CATEGORY"))</f>
        <v/>
      </c>
      <c r="S246" s="2" t="str">
        <f>IF($D246="","",COUNTIF(DB_Artwork_Sizes_Export!$B:$B,$D246))</f>
        <v/>
      </c>
      <c r="T246" s="2" t="str">
        <f>IF($D246="","",IFERROR(INDEX(DB_Artwork_Sizes_Export!$D:$D,MATCH($D246,DB_Artwork_Sizes_Export!$B:$B,0)),""))</f>
        <v/>
      </c>
      <c r="U246" s="2" t="str">
        <f>IF($D246="","",IFERROR(INDEX(DB_Artwork_Sizes_Export!$E:$E,MATCH($D246,DB_Artwork_Sizes_Export!$B:$B,0)),""))</f>
        <v/>
      </c>
      <c r="V246" s="2" t="str">
        <f>IF($D246="","",IFERROR(INDEX(DB_Artwork_Sizes_Export!$F:$F,MATCH($D246,DB_Artwork_Sizes_Export!$B:$B,0)),""))</f>
        <v/>
      </c>
      <c r="W246" s="2" t="str">
        <f t="shared" si="32"/>
        <v/>
      </c>
      <c r="X246" s="2"/>
      <c r="Y246" s="2"/>
      <c r="Z246" s="2"/>
      <c r="AA246" s="2"/>
      <c r="AB246" s="2"/>
      <c r="AC246" s="2"/>
      <c r="AD246" s="2"/>
      <c r="AE246" s="2"/>
      <c r="AF246" s="2" t="str">
        <f t="shared" si="33"/>
        <v/>
      </c>
      <c r="AG246" s="2" t="str">
        <f t="shared" si="34"/>
        <v/>
      </c>
      <c r="AH246" s="2" t="str">
        <f>IF($AG246="","",IFERROR(VLOOKUP($AG246,DB_Categories_Export!$A:$B,2,FALSE()),"INVALID CATEGORY"))</f>
        <v/>
      </c>
      <c r="AI246" s="2" t="str">
        <f t="shared" si="35"/>
        <v/>
      </c>
      <c r="AJ246" s="2" t="str">
        <f t="shared" si="36"/>
        <v/>
      </c>
      <c r="AK246" s="2" t="str">
        <f t="shared" si="37"/>
        <v/>
      </c>
      <c r="AL246" s="2" t="str">
        <f t="shared" si="38"/>
        <v/>
      </c>
      <c r="AM246" s="2" t="str">
        <f t="shared" si="39"/>
        <v/>
      </c>
      <c r="AN246" s="2"/>
      <c r="AO246" s="2"/>
    </row>
    <row r="247" spans="1:41" ht="12" customHeight="1" x14ac:dyDescent="0.3">
      <c r="A247" s="2"/>
      <c r="B247" s="2" t="str">
        <f t="shared" si="30"/>
        <v/>
      </c>
      <c r="C247" s="2" t="str">
        <f t="shared" si="31"/>
        <v/>
      </c>
      <c r="D247" s="2" t="str">
        <f>IF(DB_Artworks_Export!A247="","",DB_Artworks_Export!A247)</f>
        <v/>
      </c>
      <c r="E247" s="2" t="str">
        <f>IF(DB_Artworks_Export!B247="","",DB_Artworks_Export!B247)</f>
        <v/>
      </c>
      <c r="F247" s="2" t="str">
        <f>IF(DB_Artworks_Export!C247="","",DB_Artworks_Export!C247)</f>
        <v/>
      </c>
      <c r="G247" s="2" t="str">
        <f>IF(DB_Artworks_Export!D247="","",DB_Artworks_Export!D247)</f>
        <v/>
      </c>
      <c r="H247" s="2" t="str">
        <f>IF(DB_Artworks_Export!E247="","",DB_Artworks_Export!E247)</f>
        <v/>
      </c>
      <c r="I247" s="2" t="str">
        <f>IF(DB_Artworks_Export!F247="","",DB_Artworks_Export!F247)</f>
        <v/>
      </c>
      <c r="J247" s="2" t="str">
        <f>IF(DB_Artworks_Export!G247="","",DB_Artworks_Export!G247)</f>
        <v/>
      </c>
      <c r="K247" s="2" t="str">
        <f>IF(DB_Artworks_Export!H247="","",DB_Artworks_Export!H247)</f>
        <v/>
      </c>
      <c r="L247" s="2" t="str">
        <f>IF(DB_Artworks_Export!I247="","",DB_Artworks_Export!I247)</f>
        <v/>
      </c>
      <c r="M247" s="2" t="str">
        <f>IF(DB_Artworks_Export!J247="","",DB_Artworks_Export!J247)</f>
        <v/>
      </c>
      <c r="N247" s="2" t="str">
        <f>IF(DB_Artworks_Export!K247="","",DB_Artworks_Export!K247)</f>
        <v/>
      </c>
      <c r="O247" s="2" t="str">
        <f>IF(DB_Artworks_Export!L247="","",DB_Artworks_Export!L247)</f>
        <v/>
      </c>
      <c r="P247" s="2" t="str">
        <f>IF(DB_Artworks_Export!M247="","",DB_Artworks_Export!M247)</f>
        <v/>
      </c>
      <c r="Q247" s="2" t="str">
        <f>IF(DB_Artworks_Export!N247="","",DB_Artworks_Export!N247)</f>
        <v/>
      </c>
      <c r="R247" s="2" t="str">
        <f>IF($D247="","",IF(COUNTIF(DB_Categories_Export!$A:$A,$F247)&gt;0,"OK","INVALID CATEGORY"))</f>
        <v/>
      </c>
      <c r="S247" s="2" t="str">
        <f>IF($D247="","",COUNTIF(DB_Artwork_Sizes_Export!$B:$B,$D247))</f>
        <v/>
      </c>
      <c r="T247" s="2" t="str">
        <f>IF($D247="","",IFERROR(INDEX(DB_Artwork_Sizes_Export!$D:$D,MATCH($D247,DB_Artwork_Sizes_Export!$B:$B,0)),""))</f>
        <v/>
      </c>
      <c r="U247" s="2" t="str">
        <f>IF($D247="","",IFERROR(INDEX(DB_Artwork_Sizes_Export!$E:$E,MATCH($D247,DB_Artwork_Sizes_Export!$B:$B,0)),""))</f>
        <v/>
      </c>
      <c r="V247" s="2" t="str">
        <f>IF($D247="","",IFERROR(INDEX(DB_Artwork_Sizes_Export!$F:$F,MATCH($D247,DB_Artwork_Sizes_Export!$B:$B,0)),""))</f>
        <v/>
      </c>
      <c r="W247" s="2" t="str">
        <f t="shared" si="32"/>
        <v/>
      </c>
      <c r="X247" s="2"/>
      <c r="Y247" s="2"/>
      <c r="Z247" s="2"/>
      <c r="AA247" s="2"/>
      <c r="AB247" s="2"/>
      <c r="AC247" s="2"/>
      <c r="AD247" s="2"/>
      <c r="AE247" s="2"/>
      <c r="AF247" s="2" t="str">
        <f t="shared" si="33"/>
        <v/>
      </c>
      <c r="AG247" s="2" t="str">
        <f t="shared" si="34"/>
        <v/>
      </c>
      <c r="AH247" s="2" t="str">
        <f>IF($AG247="","",IFERROR(VLOOKUP($AG247,DB_Categories_Export!$A:$B,2,FALSE()),"INVALID CATEGORY"))</f>
        <v/>
      </c>
      <c r="AI247" s="2" t="str">
        <f t="shared" si="35"/>
        <v/>
      </c>
      <c r="AJ247" s="2" t="str">
        <f t="shared" si="36"/>
        <v/>
      </c>
      <c r="AK247" s="2" t="str">
        <f t="shared" si="37"/>
        <v/>
      </c>
      <c r="AL247" s="2" t="str">
        <f t="shared" si="38"/>
        <v/>
      </c>
      <c r="AM247" s="2" t="str">
        <f t="shared" si="39"/>
        <v/>
      </c>
      <c r="AN247" s="2"/>
      <c r="AO247" s="2"/>
    </row>
    <row r="248" spans="1:41" ht="12" customHeight="1" x14ac:dyDescent="0.3">
      <c r="A248" s="2"/>
      <c r="B248" s="2" t="str">
        <f t="shared" si="30"/>
        <v/>
      </c>
      <c r="C248" s="2" t="str">
        <f t="shared" si="31"/>
        <v/>
      </c>
      <c r="D248" s="2" t="str">
        <f>IF(DB_Artworks_Export!A248="","",DB_Artworks_Export!A248)</f>
        <v/>
      </c>
      <c r="E248" s="2" t="str">
        <f>IF(DB_Artworks_Export!B248="","",DB_Artworks_Export!B248)</f>
        <v/>
      </c>
      <c r="F248" s="2" t="str">
        <f>IF(DB_Artworks_Export!C248="","",DB_Artworks_Export!C248)</f>
        <v/>
      </c>
      <c r="G248" s="2" t="str">
        <f>IF(DB_Artworks_Export!D248="","",DB_Artworks_Export!D248)</f>
        <v/>
      </c>
      <c r="H248" s="2" t="str">
        <f>IF(DB_Artworks_Export!E248="","",DB_Artworks_Export!E248)</f>
        <v/>
      </c>
      <c r="I248" s="2" t="str">
        <f>IF(DB_Artworks_Export!F248="","",DB_Artworks_Export!F248)</f>
        <v/>
      </c>
      <c r="J248" s="2" t="str">
        <f>IF(DB_Artworks_Export!G248="","",DB_Artworks_Export!G248)</f>
        <v/>
      </c>
      <c r="K248" s="2" t="str">
        <f>IF(DB_Artworks_Export!H248="","",DB_Artworks_Export!H248)</f>
        <v/>
      </c>
      <c r="L248" s="2" t="str">
        <f>IF(DB_Artworks_Export!I248="","",DB_Artworks_Export!I248)</f>
        <v/>
      </c>
      <c r="M248" s="2" t="str">
        <f>IF(DB_Artworks_Export!J248="","",DB_Artworks_Export!J248)</f>
        <v/>
      </c>
      <c r="N248" s="2" t="str">
        <f>IF(DB_Artworks_Export!K248="","",DB_Artworks_Export!K248)</f>
        <v/>
      </c>
      <c r="O248" s="2" t="str">
        <f>IF(DB_Artworks_Export!L248="","",DB_Artworks_Export!L248)</f>
        <v/>
      </c>
      <c r="P248" s="2" t="str">
        <f>IF(DB_Artworks_Export!M248="","",DB_Artworks_Export!M248)</f>
        <v/>
      </c>
      <c r="Q248" s="2" t="str">
        <f>IF(DB_Artworks_Export!N248="","",DB_Artworks_Export!N248)</f>
        <v/>
      </c>
      <c r="R248" s="2" t="str">
        <f>IF($D248="","",IF(COUNTIF(DB_Categories_Export!$A:$A,$F248)&gt;0,"OK","INVALID CATEGORY"))</f>
        <v/>
      </c>
      <c r="S248" s="2" t="str">
        <f>IF($D248="","",COUNTIF(DB_Artwork_Sizes_Export!$B:$B,$D248))</f>
        <v/>
      </c>
      <c r="T248" s="2" t="str">
        <f>IF($D248="","",IFERROR(INDEX(DB_Artwork_Sizes_Export!$D:$D,MATCH($D248,DB_Artwork_Sizes_Export!$B:$B,0)),""))</f>
        <v/>
      </c>
      <c r="U248" s="2" t="str">
        <f>IF($D248="","",IFERROR(INDEX(DB_Artwork_Sizes_Export!$E:$E,MATCH($D248,DB_Artwork_Sizes_Export!$B:$B,0)),""))</f>
        <v/>
      </c>
      <c r="V248" s="2" t="str">
        <f>IF($D248="","",IFERROR(INDEX(DB_Artwork_Sizes_Export!$F:$F,MATCH($D248,DB_Artwork_Sizes_Export!$B:$B,0)),""))</f>
        <v/>
      </c>
      <c r="W248" s="2" t="str">
        <f t="shared" si="32"/>
        <v/>
      </c>
      <c r="X248" s="2"/>
      <c r="Y248" s="2"/>
      <c r="Z248" s="2"/>
      <c r="AA248" s="2"/>
      <c r="AB248" s="2"/>
      <c r="AC248" s="2"/>
      <c r="AD248" s="2"/>
      <c r="AE248" s="2"/>
      <c r="AF248" s="2" t="str">
        <f t="shared" si="33"/>
        <v/>
      </c>
      <c r="AG248" s="2" t="str">
        <f t="shared" si="34"/>
        <v/>
      </c>
      <c r="AH248" s="2" t="str">
        <f>IF($AG248="","",IFERROR(VLOOKUP($AG248,DB_Categories_Export!$A:$B,2,FALSE()),"INVALID CATEGORY"))</f>
        <v/>
      </c>
      <c r="AI248" s="2" t="str">
        <f t="shared" si="35"/>
        <v/>
      </c>
      <c r="AJ248" s="2" t="str">
        <f t="shared" si="36"/>
        <v/>
      </c>
      <c r="AK248" s="2" t="str">
        <f t="shared" si="37"/>
        <v/>
      </c>
      <c r="AL248" s="2" t="str">
        <f t="shared" si="38"/>
        <v/>
      </c>
      <c r="AM248" s="2" t="str">
        <f t="shared" si="39"/>
        <v/>
      </c>
      <c r="AN248" s="2"/>
      <c r="AO248" s="2"/>
    </row>
    <row r="249" spans="1:41" ht="12" customHeight="1" x14ac:dyDescent="0.3">
      <c r="A249" s="2"/>
      <c r="B249" s="2" t="str">
        <f t="shared" si="30"/>
        <v/>
      </c>
      <c r="C249" s="2" t="str">
        <f t="shared" si="31"/>
        <v/>
      </c>
      <c r="D249" s="2" t="str">
        <f>IF(DB_Artworks_Export!A249="","",DB_Artworks_Export!A249)</f>
        <v/>
      </c>
      <c r="E249" s="2" t="str">
        <f>IF(DB_Artworks_Export!B249="","",DB_Artworks_Export!B249)</f>
        <v/>
      </c>
      <c r="F249" s="2" t="str">
        <f>IF(DB_Artworks_Export!C249="","",DB_Artworks_Export!C249)</f>
        <v/>
      </c>
      <c r="G249" s="2" t="str">
        <f>IF(DB_Artworks_Export!D249="","",DB_Artworks_Export!D249)</f>
        <v/>
      </c>
      <c r="H249" s="2" t="str">
        <f>IF(DB_Artworks_Export!E249="","",DB_Artworks_Export!E249)</f>
        <v/>
      </c>
      <c r="I249" s="2" t="str">
        <f>IF(DB_Artworks_Export!F249="","",DB_Artworks_Export!F249)</f>
        <v/>
      </c>
      <c r="J249" s="2" t="str">
        <f>IF(DB_Artworks_Export!G249="","",DB_Artworks_Export!G249)</f>
        <v/>
      </c>
      <c r="K249" s="2" t="str">
        <f>IF(DB_Artworks_Export!H249="","",DB_Artworks_Export!H249)</f>
        <v/>
      </c>
      <c r="L249" s="2" t="str">
        <f>IF(DB_Artworks_Export!I249="","",DB_Artworks_Export!I249)</f>
        <v/>
      </c>
      <c r="M249" s="2" t="str">
        <f>IF(DB_Artworks_Export!J249="","",DB_Artworks_Export!J249)</f>
        <v/>
      </c>
      <c r="N249" s="2" t="str">
        <f>IF(DB_Artworks_Export!K249="","",DB_Artworks_Export!K249)</f>
        <v/>
      </c>
      <c r="O249" s="2" t="str">
        <f>IF(DB_Artworks_Export!L249="","",DB_Artworks_Export!L249)</f>
        <v/>
      </c>
      <c r="P249" s="2" t="str">
        <f>IF(DB_Artworks_Export!M249="","",DB_Artworks_Export!M249)</f>
        <v/>
      </c>
      <c r="Q249" s="2" t="str">
        <f>IF(DB_Artworks_Export!N249="","",DB_Artworks_Export!N249)</f>
        <v/>
      </c>
      <c r="R249" s="2" t="str">
        <f>IF($D249="","",IF(COUNTIF(DB_Categories_Export!$A:$A,$F249)&gt;0,"OK","INVALID CATEGORY"))</f>
        <v/>
      </c>
      <c r="S249" s="2" t="str">
        <f>IF($D249="","",COUNTIF(DB_Artwork_Sizes_Export!$B:$B,$D249))</f>
        <v/>
      </c>
      <c r="T249" s="2" t="str">
        <f>IF($D249="","",IFERROR(INDEX(DB_Artwork_Sizes_Export!$D:$D,MATCH($D249,DB_Artwork_Sizes_Export!$B:$B,0)),""))</f>
        <v/>
      </c>
      <c r="U249" s="2" t="str">
        <f>IF($D249="","",IFERROR(INDEX(DB_Artwork_Sizes_Export!$E:$E,MATCH($D249,DB_Artwork_Sizes_Export!$B:$B,0)),""))</f>
        <v/>
      </c>
      <c r="V249" s="2" t="str">
        <f>IF($D249="","",IFERROR(INDEX(DB_Artwork_Sizes_Export!$F:$F,MATCH($D249,DB_Artwork_Sizes_Export!$B:$B,0)),""))</f>
        <v/>
      </c>
      <c r="W249" s="2" t="str">
        <f t="shared" si="32"/>
        <v/>
      </c>
      <c r="X249" s="2"/>
      <c r="Y249" s="2"/>
      <c r="Z249" s="2"/>
      <c r="AA249" s="2"/>
      <c r="AB249" s="2"/>
      <c r="AC249" s="2"/>
      <c r="AD249" s="2"/>
      <c r="AE249" s="2"/>
      <c r="AF249" s="2" t="str">
        <f t="shared" si="33"/>
        <v/>
      </c>
      <c r="AG249" s="2" t="str">
        <f t="shared" si="34"/>
        <v/>
      </c>
      <c r="AH249" s="2" t="str">
        <f>IF($AG249="","",IFERROR(VLOOKUP($AG249,DB_Categories_Export!$A:$B,2,FALSE()),"INVALID CATEGORY"))</f>
        <v/>
      </c>
      <c r="AI249" s="2" t="str">
        <f t="shared" si="35"/>
        <v/>
      </c>
      <c r="AJ249" s="2" t="str">
        <f t="shared" si="36"/>
        <v/>
      </c>
      <c r="AK249" s="2" t="str">
        <f t="shared" si="37"/>
        <v/>
      </c>
      <c r="AL249" s="2" t="str">
        <f t="shared" si="38"/>
        <v/>
      </c>
      <c r="AM249" s="2" t="str">
        <f t="shared" si="39"/>
        <v/>
      </c>
      <c r="AN249" s="2"/>
      <c r="AO249" s="2"/>
    </row>
    <row r="250" spans="1:41" ht="12" customHeight="1" x14ac:dyDescent="0.3">
      <c r="A250" s="2"/>
      <c r="B250" s="2" t="str">
        <f t="shared" si="30"/>
        <v/>
      </c>
      <c r="C250" s="2" t="str">
        <f t="shared" si="31"/>
        <v/>
      </c>
      <c r="D250" s="2" t="str">
        <f>IF(DB_Artworks_Export!A250="","",DB_Artworks_Export!A250)</f>
        <v/>
      </c>
      <c r="E250" s="2" t="str">
        <f>IF(DB_Artworks_Export!B250="","",DB_Artworks_Export!B250)</f>
        <v/>
      </c>
      <c r="F250" s="2" t="str">
        <f>IF(DB_Artworks_Export!C250="","",DB_Artworks_Export!C250)</f>
        <v/>
      </c>
      <c r="G250" s="2" t="str">
        <f>IF(DB_Artworks_Export!D250="","",DB_Artworks_Export!D250)</f>
        <v/>
      </c>
      <c r="H250" s="2" t="str">
        <f>IF(DB_Artworks_Export!E250="","",DB_Artworks_Export!E250)</f>
        <v/>
      </c>
      <c r="I250" s="2" t="str">
        <f>IF(DB_Artworks_Export!F250="","",DB_Artworks_Export!F250)</f>
        <v/>
      </c>
      <c r="J250" s="2" t="str">
        <f>IF(DB_Artworks_Export!G250="","",DB_Artworks_Export!G250)</f>
        <v/>
      </c>
      <c r="K250" s="2" t="str">
        <f>IF(DB_Artworks_Export!H250="","",DB_Artworks_Export!H250)</f>
        <v/>
      </c>
      <c r="L250" s="2" t="str">
        <f>IF(DB_Artworks_Export!I250="","",DB_Artworks_Export!I250)</f>
        <v/>
      </c>
      <c r="M250" s="2" t="str">
        <f>IF(DB_Artworks_Export!J250="","",DB_Artworks_Export!J250)</f>
        <v/>
      </c>
      <c r="N250" s="2" t="str">
        <f>IF(DB_Artworks_Export!K250="","",DB_Artworks_Export!K250)</f>
        <v/>
      </c>
      <c r="O250" s="2" t="str">
        <f>IF(DB_Artworks_Export!L250="","",DB_Artworks_Export!L250)</f>
        <v/>
      </c>
      <c r="P250" s="2" t="str">
        <f>IF(DB_Artworks_Export!M250="","",DB_Artworks_Export!M250)</f>
        <v/>
      </c>
      <c r="Q250" s="2" t="str">
        <f>IF(DB_Artworks_Export!N250="","",DB_Artworks_Export!N250)</f>
        <v/>
      </c>
      <c r="R250" s="2" t="str">
        <f>IF($D250="","",IF(COUNTIF(DB_Categories_Export!$A:$A,$F250)&gt;0,"OK","INVALID CATEGORY"))</f>
        <v/>
      </c>
      <c r="S250" s="2" t="str">
        <f>IF($D250="","",COUNTIF(DB_Artwork_Sizes_Export!$B:$B,$D250))</f>
        <v/>
      </c>
      <c r="T250" s="2" t="str">
        <f>IF($D250="","",IFERROR(INDEX(DB_Artwork_Sizes_Export!$D:$D,MATCH($D250,DB_Artwork_Sizes_Export!$B:$B,0)),""))</f>
        <v/>
      </c>
      <c r="U250" s="2" t="str">
        <f>IF($D250="","",IFERROR(INDEX(DB_Artwork_Sizes_Export!$E:$E,MATCH($D250,DB_Artwork_Sizes_Export!$B:$B,0)),""))</f>
        <v/>
      </c>
      <c r="V250" s="2" t="str">
        <f>IF($D250="","",IFERROR(INDEX(DB_Artwork_Sizes_Export!$F:$F,MATCH($D250,DB_Artwork_Sizes_Export!$B:$B,0)),""))</f>
        <v/>
      </c>
      <c r="W250" s="2" t="str">
        <f t="shared" si="32"/>
        <v/>
      </c>
      <c r="X250" s="2"/>
      <c r="Y250" s="2"/>
      <c r="Z250" s="2"/>
      <c r="AA250" s="2"/>
      <c r="AB250" s="2"/>
      <c r="AC250" s="2"/>
      <c r="AD250" s="2"/>
      <c r="AE250" s="2"/>
      <c r="AF250" s="2" t="str">
        <f t="shared" si="33"/>
        <v/>
      </c>
      <c r="AG250" s="2" t="str">
        <f t="shared" si="34"/>
        <v/>
      </c>
      <c r="AH250" s="2" t="str">
        <f>IF($AG250="","",IFERROR(VLOOKUP($AG250,DB_Categories_Export!$A:$B,2,FALSE()),"INVALID CATEGORY"))</f>
        <v/>
      </c>
      <c r="AI250" s="2" t="str">
        <f t="shared" si="35"/>
        <v/>
      </c>
      <c r="AJ250" s="2" t="str">
        <f t="shared" si="36"/>
        <v/>
      </c>
      <c r="AK250" s="2" t="str">
        <f t="shared" si="37"/>
        <v/>
      </c>
      <c r="AL250" s="2" t="str">
        <f t="shared" si="38"/>
        <v/>
      </c>
      <c r="AM250" s="2" t="str">
        <f t="shared" si="39"/>
        <v/>
      </c>
      <c r="AN250" s="2"/>
      <c r="AO250" s="2"/>
    </row>
    <row r="251" spans="1:41" ht="12" customHeight="1" x14ac:dyDescent="0.3">
      <c r="A251" s="2"/>
      <c r="B251" s="2" t="str">
        <f t="shared" si="30"/>
        <v/>
      </c>
      <c r="C251" s="2" t="str">
        <f t="shared" si="31"/>
        <v/>
      </c>
      <c r="D251" s="2" t="str">
        <f>IF(DB_Artworks_Export!A251="","",DB_Artworks_Export!A251)</f>
        <v/>
      </c>
      <c r="E251" s="2" t="str">
        <f>IF(DB_Artworks_Export!B251="","",DB_Artworks_Export!B251)</f>
        <v/>
      </c>
      <c r="F251" s="2" t="str">
        <f>IF(DB_Artworks_Export!C251="","",DB_Artworks_Export!C251)</f>
        <v/>
      </c>
      <c r="G251" s="2" t="str">
        <f>IF(DB_Artworks_Export!D251="","",DB_Artworks_Export!D251)</f>
        <v/>
      </c>
      <c r="H251" s="2" t="str">
        <f>IF(DB_Artworks_Export!E251="","",DB_Artworks_Export!E251)</f>
        <v/>
      </c>
      <c r="I251" s="2" t="str">
        <f>IF(DB_Artworks_Export!F251="","",DB_Artworks_Export!F251)</f>
        <v/>
      </c>
      <c r="J251" s="2" t="str">
        <f>IF(DB_Artworks_Export!G251="","",DB_Artworks_Export!G251)</f>
        <v/>
      </c>
      <c r="K251" s="2" t="str">
        <f>IF(DB_Artworks_Export!H251="","",DB_Artworks_Export!H251)</f>
        <v/>
      </c>
      <c r="L251" s="2" t="str">
        <f>IF(DB_Artworks_Export!I251="","",DB_Artworks_Export!I251)</f>
        <v/>
      </c>
      <c r="M251" s="2" t="str">
        <f>IF(DB_Artworks_Export!J251="","",DB_Artworks_Export!J251)</f>
        <v/>
      </c>
      <c r="N251" s="2" t="str">
        <f>IF(DB_Artworks_Export!K251="","",DB_Artworks_Export!K251)</f>
        <v/>
      </c>
      <c r="O251" s="2" t="str">
        <f>IF(DB_Artworks_Export!L251="","",DB_Artworks_Export!L251)</f>
        <v/>
      </c>
      <c r="P251" s="2" t="str">
        <f>IF(DB_Artworks_Export!M251="","",DB_Artworks_Export!M251)</f>
        <v/>
      </c>
      <c r="Q251" s="2" t="str">
        <f>IF(DB_Artworks_Export!N251="","",DB_Artworks_Export!N251)</f>
        <v/>
      </c>
      <c r="R251" s="2" t="str">
        <f>IF($D251="","",IF(COUNTIF(DB_Categories_Export!$A:$A,$F251)&gt;0,"OK","INVALID CATEGORY"))</f>
        <v/>
      </c>
      <c r="S251" s="2" t="str">
        <f>IF($D251="","",COUNTIF(DB_Artwork_Sizes_Export!$B:$B,$D251))</f>
        <v/>
      </c>
      <c r="T251" s="2" t="str">
        <f>IF($D251="","",IFERROR(INDEX(DB_Artwork_Sizes_Export!$D:$D,MATCH($D251,DB_Artwork_Sizes_Export!$B:$B,0)),""))</f>
        <v/>
      </c>
      <c r="U251" s="2" t="str">
        <f>IF($D251="","",IFERROR(INDEX(DB_Artwork_Sizes_Export!$E:$E,MATCH($D251,DB_Artwork_Sizes_Export!$B:$B,0)),""))</f>
        <v/>
      </c>
      <c r="V251" s="2" t="str">
        <f>IF($D251="","",IFERROR(INDEX(DB_Artwork_Sizes_Export!$F:$F,MATCH($D251,DB_Artwork_Sizes_Export!$B:$B,0)),""))</f>
        <v/>
      </c>
      <c r="W251" s="2" t="str">
        <f t="shared" si="32"/>
        <v/>
      </c>
      <c r="X251" s="2"/>
      <c r="Y251" s="2"/>
      <c r="Z251" s="2"/>
      <c r="AA251" s="2"/>
      <c r="AB251" s="2"/>
      <c r="AC251" s="2"/>
      <c r="AD251" s="2"/>
      <c r="AE251" s="2"/>
      <c r="AF251" s="2" t="str">
        <f t="shared" si="33"/>
        <v/>
      </c>
      <c r="AG251" s="2" t="str">
        <f t="shared" si="34"/>
        <v/>
      </c>
      <c r="AH251" s="2" t="str">
        <f>IF($AG251="","",IFERROR(VLOOKUP($AG251,DB_Categories_Export!$A:$B,2,FALSE()),"INVALID CATEGORY"))</f>
        <v/>
      </c>
      <c r="AI251" s="2" t="str">
        <f t="shared" si="35"/>
        <v/>
      </c>
      <c r="AJ251" s="2" t="str">
        <f t="shared" si="36"/>
        <v/>
      </c>
      <c r="AK251" s="2" t="str">
        <f t="shared" si="37"/>
        <v/>
      </c>
      <c r="AL251" s="2" t="str">
        <f t="shared" si="38"/>
        <v/>
      </c>
      <c r="AM251" s="2" t="str">
        <f t="shared" si="39"/>
        <v/>
      </c>
      <c r="AN251" s="2"/>
      <c r="AO251" s="2"/>
    </row>
    <row r="252" spans="1:41" ht="12" customHeight="1" x14ac:dyDescent="0.3">
      <c r="A252" s="2"/>
      <c r="B252" s="2" t="str">
        <f t="shared" si="30"/>
        <v/>
      </c>
      <c r="C252" s="2" t="str">
        <f t="shared" si="31"/>
        <v/>
      </c>
      <c r="D252" s="2" t="str">
        <f>IF(DB_Artworks_Export!A252="","",DB_Artworks_Export!A252)</f>
        <v/>
      </c>
      <c r="E252" s="2" t="str">
        <f>IF(DB_Artworks_Export!B252="","",DB_Artworks_Export!B252)</f>
        <v/>
      </c>
      <c r="F252" s="2" t="str">
        <f>IF(DB_Artworks_Export!C252="","",DB_Artworks_Export!C252)</f>
        <v/>
      </c>
      <c r="G252" s="2" t="str">
        <f>IF(DB_Artworks_Export!D252="","",DB_Artworks_Export!D252)</f>
        <v/>
      </c>
      <c r="H252" s="2" t="str">
        <f>IF(DB_Artworks_Export!E252="","",DB_Artworks_Export!E252)</f>
        <v/>
      </c>
      <c r="I252" s="2" t="str">
        <f>IF(DB_Artworks_Export!F252="","",DB_Artworks_Export!F252)</f>
        <v/>
      </c>
      <c r="J252" s="2" t="str">
        <f>IF(DB_Artworks_Export!G252="","",DB_Artworks_Export!G252)</f>
        <v/>
      </c>
      <c r="K252" s="2" t="str">
        <f>IF(DB_Artworks_Export!H252="","",DB_Artworks_Export!H252)</f>
        <v/>
      </c>
      <c r="L252" s="2" t="str">
        <f>IF(DB_Artworks_Export!I252="","",DB_Artworks_Export!I252)</f>
        <v/>
      </c>
      <c r="M252" s="2" t="str">
        <f>IF(DB_Artworks_Export!J252="","",DB_Artworks_Export!J252)</f>
        <v/>
      </c>
      <c r="N252" s="2" t="str">
        <f>IF(DB_Artworks_Export!K252="","",DB_Artworks_Export!K252)</f>
        <v/>
      </c>
      <c r="O252" s="2" t="str">
        <f>IF(DB_Artworks_Export!L252="","",DB_Artworks_Export!L252)</f>
        <v/>
      </c>
      <c r="P252" s="2" t="str">
        <f>IF(DB_Artworks_Export!M252="","",DB_Artworks_Export!M252)</f>
        <v/>
      </c>
      <c r="Q252" s="2" t="str">
        <f>IF(DB_Artworks_Export!N252="","",DB_Artworks_Export!N252)</f>
        <v/>
      </c>
      <c r="R252" s="2" t="str">
        <f>IF($D252="","",IF(COUNTIF(DB_Categories_Export!$A:$A,$F252)&gt;0,"OK","INVALID CATEGORY"))</f>
        <v/>
      </c>
      <c r="S252" s="2" t="str">
        <f>IF($D252="","",COUNTIF(DB_Artwork_Sizes_Export!$B:$B,$D252))</f>
        <v/>
      </c>
      <c r="T252" s="2" t="str">
        <f>IF($D252="","",IFERROR(INDEX(DB_Artwork_Sizes_Export!$D:$D,MATCH($D252,DB_Artwork_Sizes_Export!$B:$B,0)),""))</f>
        <v/>
      </c>
      <c r="U252" s="2" t="str">
        <f>IF($D252="","",IFERROR(INDEX(DB_Artwork_Sizes_Export!$E:$E,MATCH($D252,DB_Artwork_Sizes_Export!$B:$B,0)),""))</f>
        <v/>
      </c>
      <c r="V252" s="2" t="str">
        <f>IF($D252="","",IFERROR(INDEX(DB_Artwork_Sizes_Export!$F:$F,MATCH($D252,DB_Artwork_Sizes_Export!$B:$B,0)),""))</f>
        <v/>
      </c>
      <c r="W252" s="2" t="str">
        <f t="shared" si="32"/>
        <v/>
      </c>
      <c r="X252" s="2"/>
      <c r="Y252" s="2"/>
      <c r="Z252" s="2"/>
      <c r="AA252" s="2"/>
      <c r="AB252" s="2"/>
      <c r="AC252" s="2"/>
      <c r="AD252" s="2"/>
      <c r="AE252" s="2"/>
      <c r="AF252" s="2" t="str">
        <f t="shared" si="33"/>
        <v/>
      </c>
      <c r="AG252" s="2" t="str">
        <f t="shared" si="34"/>
        <v/>
      </c>
      <c r="AH252" s="2" t="str">
        <f>IF($AG252="","",IFERROR(VLOOKUP($AG252,DB_Categories_Export!$A:$B,2,FALSE()),"INVALID CATEGORY"))</f>
        <v/>
      </c>
      <c r="AI252" s="2" t="str">
        <f t="shared" si="35"/>
        <v/>
      </c>
      <c r="AJ252" s="2" t="str">
        <f t="shared" si="36"/>
        <v/>
      </c>
      <c r="AK252" s="2" t="str">
        <f t="shared" si="37"/>
        <v/>
      </c>
      <c r="AL252" s="2" t="str">
        <f t="shared" si="38"/>
        <v/>
      </c>
      <c r="AM252" s="2" t="str">
        <f t="shared" si="39"/>
        <v/>
      </c>
      <c r="AN252" s="2"/>
      <c r="AO252" s="2"/>
    </row>
    <row r="253" spans="1:41" ht="12" customHeight="1" x14ac:dyDescent="0.3">
      <c r="A253" s="2"/>
      <c r="B253" s="2" t="str">
        <f t="shared" si="30"/>
        <v/>
      </c>
      <c r="C253" s="2" t="str">
        <f t="shared" si="31"/>
        <v/>
      </c>
      <c r="D253" s="2" t="str">
        <f>IF(DB_Artworks_Export!A253="","",DB_Artworks_Export!A253)</f>
        <v/>
      </c>
      <c r="E253" s="2" t="str">
        <f>IF(DB_Artworks_Export!B253="","",DB_Artworks_Export!B253)</f>
        <v/>
      </c>
      <c r="F253" s="2" t="str">
        <f>IF(DB_Artworks_Export!C253="","",DB_Artworks_Export!C253)</f>
        <v/>
      </c>
      <c r="G253" s="2" t="str">
        <f>IF(DB_Artworks_Export!D253="","",DB_Artworks_Export!D253)</f>
        <v/>
      </c>
      <c r="H253" s="2" t="str">
        <f>IF(DB_Artworks_Export!E253="","",DB_Artworks_Export!E253)</f>
        <v/>
      </c>
      <c r="I253" s="2" t="str">
        <f>IF(DB_Artworks_Export!F253="","",DB_Artworks_Export!F253)</f>
        <v/>
      </c>
      <c r="J253" s="2" t="str">
        <f>IF(DB_Artworks_Export!G253="","",DB_Artworks_Export!G253)</f>
        <v/>
      </c>
      <c r="K253" s="2" t="str">
        <f>IF(DB_Artworks_Export!H253="","",DB_Artworks_Export!H253)</f>
        <v/>
      </c>
      <c r="L253" s="2" t="str">
        <f>IF(DB_Artworks_Export!I253="","",DB_Artworks_Export!I253)</f>
        <v/>
      </c>
      <c r="M253" s="2" t="str">
        <f>IF(DB_Artworks_Export!J253="","",DB_Artworks_Export!J253)</f>
        <v/>
      </c>
      <c r="N253" s="2" t="str">
        <f>IF(DB_Artworks_Export!K253="","",DB_Artworks_Export!K253)</f>
        <v/>
      </c>
      <c r="O253" s="2" t="str">
        <f>IF(DB_Artworks_Export!L253="","",DB_Artworks_Export!L253)</f>
        <v/>
      </c>
      <c r="P253" s="2" t="str">
        <f>IF(DB_Artworks_Export!M253="","",DB_Artworks_Export!M253)</f>
        <v/>
      </c>
      <c r="Q253" s="2" t="str">
        <f>IF(DB_Artworks_Export!N253="","",DB_Artworks_Export!N253)</f>
        <v/>
      </c>
      <c r="R253" s="2" t="str">
        <f>IF($D253="","",IF(COUNTIF(DB_Categories_Export!$A:$A,$F253)&gt;0,"OK","INVALID CATEGORY"))</f>
        <v/>
      </c>
      <c r="S253" s="2" t="str">
        <f>IF($D253="","",COUNTIF(DB_Artwork_Sizes_Export!$B:$B,$D253))</f>
        <v/>
      </c>
      <c r="T253" s="2" t="str">
        <f>IF($D253="","",IFERROR(INDEX(DB_Artwork_Sizes_Export!$D:$D,MATCH($D253,DB_Artwork_Sizes_Export!$B:$B,0)),""))</f>
        <v/>
      </c>
      <c r="U253" s="2" t="str">
        <f>IF($D253="","",IFERROR(INDEX(DB_Artwork_Sizes_Export!$E:$E,MATCH($D253,DB_Artwork_Sizes_Export!$B:$B,0)),""))</f>
        <v/>
      </c>
      <c r="V253" s="2" t="str">
        <f>IF($D253="","",IFERROR(INDEX(DB_Artwork_Sizes_Export!$F:$F,MATCH($D253,DB_Artwork_Sizes_Export!$B:$B,0)),""))</f>
        <v/>
      </c>
      <c r="W253" s="2" t="str">
        <f t="shared" si="32"/>
        <v/>
      </c>
      <c r="X253" s="2"/>
      <c r="Y253" s="2"/>
      <c r="Z253" s="2"/>
      <c r="AA253" s="2"/>
      <c r="AB253" s="2"/>
      <c r="AC253" s="2"/>
      <c r="AD253" s="2"/>
      <c r="AE253" s="2"/>
      <c r="AF253" s="2" t="str">
        <f t="shared" si="33"/>
        <v/>
      </c>
      <c r="AG253" s="2" t="str">
        <f t="shared" si="34"/>
        <v/>
      </c>
      <c r="AH253" s="2" t="str">
        <f>IF($AG253="","",IFERROR(VLOOKUP($AG253,DB_Categories_Export!$A:$B,2,FALSE()),"INVALID CATEGORY"))</f>
        <v/>
      </c>
      <c r="AI253" s="2" t="str">
        <f t="shared" si="35"/>
        <v/>
      </c>
      <c r="AJ253" s="2" t="str">
        <f t="shared" si="36"/>
        <v/>
      </c>
      <c r="AK253" s="2" t="str">
        <f t="shared" si="37"/>
        <v/>
      </c>
      <c r="AL253" s="2" t="str">
        <f t="shared" si="38"/>
        <v/>
      </c>
      <c r="AM253" s="2" t="str">
        <f t="shared" si="39"/>
        <v/>
      </c>
      <c r="AN253" s="2"/>
      <c r="AO253" s="2"/>
    </row>
    <row r="254" spans="1:41" ht="12" customHeight="1" x14ac:dyDescent="0.3">
      <c r="A254" s="2"/>
      <c r="B254" s="2" t="str">
        <f t="shared" si="30"/>
        <v/>
      </c>
      <c r="C254" s="2" t="str">
        <f t="shared" si="31"/>
        <v/>
      </c>
      <c r="D254" s="2" t="str">
        <f>IF(DB_Artworks_Export!A254="","",DB_Artworks_Export!A254)</f>
        <v/>
      </c>
      <c r="E254" s="2" t="str">
        <f>IF(DB_Artworks_Export!B254="","",DB_Artworks_Export!B254)</f>
        <v/>
      </c>
      <c r="F254" s="2" t="str">
        <f>IF(DB_Artworks_Export!C254="","",DB_Artworks_Export!C254)</f>
        <v/>
      </c>
      <c r="G254" s="2" t="str">
        <f>IF(DB_Artworks_Export!D254="","",DB_Artworks_Export!D254)</f>
        <v/>
      </c>
      <c r="H254" s="2" t="str">
        <f>IF(DB_Artworks_Export!E254="","",DB_Artworks_Export!E254)</f>
        <v/>
      </c>
      <c r="I254" s="2" t="str">
        <f>IF(DB_Artworks_Export!F254="","",DB_Artworks_Export!F254)</f>
        <v/>
      </c>
      <c r="J254" s="2" t="str">
        <f>IF(DB_Artworks_Export!G254="","",DB_Artworks_Export!G254)</f>
        <v/>
      </c>
      <c r="K254" s="2" t="str">
        <f>IF(DB_Artworks_Export!H254="","",DB_Artworks_Export!H254)</f>
        <v/>
      </c>
      <c r="L254" s="2" t="str">
        <f>IF(DB_Artworks_Export!I254="","",DB_Artworks_Export!I254)</f>
        <v/>
      </c>
      <c r="M254" s="2" t="str">
        <f>IF(DB_Artworks_Export!J254="","",DB_Artworks_Export!J254)</f>
        <v/>
      </c>
      <c r="N254" s="2" t="str">
        <f>IF(DB_Artworks_Export!K254="","",DB_Artworks_Export!K254)</f>
        <v/>
      </c>
      <c r="O254" s="2" t="str">
        <f>IF(DB_Artworks_Export!L254="","",DB_Artworks_Export!L254)</f>
        <v/>
      </c>
      <c r="P254" s="2" t="str">
        <f>IF(DB_Artworks_Export!M254="","",DB_Artworks_Export!M254)</f>
        <v/>
      </c>
      <c r="Q254" s="2" t="str">
        <f>IF(DB_Artworks_Export!N254="","",DB_Artworks_Export!N254)</f>
        <v/>
      </c>
      <c r="R254" s="2" t="str">
        <f>IF($D254="","",IF(COUNTIF(DB_Categories_Export!$A:$A,$F254)&gt;0,"OK","INVALID CATEGORY"))</f>
        <v/>
      </c>
      <c r="S254" s="2" t="str">
        <f>IF($D254="","",COUNTIF(DB_Artwork_Sizes_Export!$B:$B,$D254))</f>
        <v/>
      </c>
      <c r="T254" s="2" t="str">
        <f>IF($D254="","",IFERROR(INDEX(DB_Artwork_Sizes_Export!$D:$D,MATCH($D254,DB_Artwork_Sizes_Export!$B:$B,0)),""))</f>
        <v/>
      </c>
      <c r="U254" s="2" t="str">
        <f>IF($D254="","",IFERROR(INDEX(DB_Artwork_Sizes_Export!$E:$E,MATCH($D254,DB_Artwork_Sizes_Export!$B:$B,0)),""))</f>
        <v/>
      </c>
      <c r="V254" s="2" t="str">
        <f>IF($D254="","",IFERROR(INDEX(DB_Artwork_Sizes_Export!$F:$F,MATCH($D254,DB_Artwork_Sizes_Export!$B:$B,0)),""))</f>
        <v/>
      </c>
      <c r="W254" s="2" t="str">
        <f t="shared" si="32"/>
        <v/>
      </c>
      <c r="X254" s="2"/>
      <c r="Y254" s="2"/>
      <c r="Z254" s="2"/>
      <c r="AA254" s="2"/>
      <c r="AB254" s="2"/>
      <c r="AC254" s="2"/>
      <c r="AD254" s="2"/>
      <c r="AE254" s="2"/>
      <c r="AF254" s="2" t="str">
        <f t="shared" si="33"/>
        <v/>
      </c>
      <c r="AG254" s="2" t="str">
        <f t="shared" si="34"/>
        <v/>
      </c>
      <c r="AH254" s="2" t="str">
        <f>IF($AG254="","",IFERROR(VLOOKUP($AG254,DB_Categories_Export!$A:$B,2,FALSE()),"INVALID CATEGORY"))</f>
        <v/>
      </c>
      <c r="AI254" s="2" t="str">
        <f t="shared" si="35"/>
        <v/>
      </c>
      <c r="AJ254" s="2" t="str">
        <f t="shared" si="36"/>
        <v/>
      </c>
      <c r="AK254" s="2" t="str">
        <f t="shared" si="37"/>
        <v/>
      </c>
      <c r="AL254" s="2" t="str">
        <f t="shared" si="38"/>
        <v/>
      </c>
      <c r="AM254" s="2" t="str">
        <f t="shared" si="39"/>
        <v/>
      </c>
      <c r="AN254" s="2"/>
      <c r="AO254" s="2"/>
    </row>
    <row r="255" spans="1:41" ht="12" customHeight="1" x14ac:dyDescent="0.3">
      <c r="A255" s="2"/>
      <c r="B255" s="2" t="str">
        <f t="shared" si="30"/>
        <v/>
      </c>
      <c r="C255" s="2" t="str">
        <f t="shared" si="31"/>
        <v/>
      </c>
      <c r="D255" s="2" t="str">
        <f>IF(DB_Artworks_Export!A255="","",DB_Artworks_Export!A255)</f>
        <v/>
      </c>
      <c r="E255" s="2" t="str">
        <f>IF(DB_Artworks_Export!B255="","",DB_Artworks_Export!B255)</f>
        <v/>
      </c>
      <c r="F255" s="2" t="str">
        <f>IF(DB_Artworks_Export!C255="","",DB_Artworks_Export!C255)</f>
        <v/>
      </c>
      <c r="G255" s="2" t="str">
        <f>IF(DB_Artworks_Export!D255="","",DB_Artworks_Export!D255)</f>
        <v/>
      </c>
      <c r="H255" s="2" t="str">
        <f>IF(DB_Artworks_Export!E255="","",DB_Artworks_Export!E255)</f>
        <v/>
      </c>
      <c r="I255" s="2" t="str">
        <f>IF(DB_Artworks_Export!F255="","",DB_Artworks_Export!F255)</f>
        <v/>
      </c>
      <c r="J255" s="2" t="str">
        <f>IF(DB_Artworks_Export!G255="","",DB_Artworks_Export!G255)</f>
        <v/>
      </c>
      <c r="K255" s="2" t="str">
        <f>IF(DB_Artworks_Export!H255="","",DB_Artworks_Export!H255)</f>
        <v/>
      </c>
      <c r="L255" s="2" t="str">
        <f>IF(DB_Artworks_Export!I255="","",DB_Artworks_Export!I255)</f>
        <v/>
      </c>
      <c r="M255" s="2" t="str">
        <f>IF(DB_Artworks_Export!J255="","",DB_Artworks_Export!J255)</f>
        <v/>
      </c>
      <c r="N255" s="2" t="str">
        <f>IF(DB_Artworks_Export!K255="","",DB_Artworks_Export!K255)</f>
        <v/>
      </c>
      <c r="O255" s="2" t="str">
        <f>IF(DB_Artworks_Export!L255="","",DB_Artworks_Export!L255)</f>
        <v/>
      </c>
      <c r="P255" s="2" t="str">
        <f>IF(DB_Artworks_Export!M255="","",DB_Artworks_Export!M255)</f>
        <v/>
      </c>
      <c r="Q255" s="2" t="str">
        <f>IF(DB_Artworks_Export!N255="","",DB_Artworks_Export!N255)</f>
        <v/>
      </c>
      <c r="R255" s="2" t="str">
        <f>IF($D255="","",IF(COUNTIF(DB_Categories_Export!$A:$A,$F255)&gt;0,"OK","INVALID CATEGORY"))</f>
        <v/>
      </c>
      <c r="S255" s="2" t="str">
        <f>IF($D255="","",COUNTIF(DB_Artwork_Sizes_Export!$B:$B,$D255))</f>
        <v/>
      </c>
      <c r="T255" s="2" t="str">
        <f>IF($D255="","",IFERROR(INDEX(DB_Artwork_Sizes_Export!$D:$D,MATCH($D255,DB_Artwork_Sizes_Export!$B:$B,0)),""))</f>
        <v/>
      </c>
      <c r="U255" s="2" t="str">
        <f>IF($D255="","",IFERROR(INDEX(DB_Artwork_Sizes_Export!$E:$E,MATCH($D255,DB_Artwork_Sizes_Export!$B:$B,0)),""))</f>
        <v/>
      </c>
      <c r="V255" s="2" t="str">
        <f>IF($D255="","",IFERROR(INDEX(DB_Artwork_Sizes_Export!$F:$F,MATCH($D255,DB_Artwork_Sizes_Export!$B:$B,0)),""))</f>
        <v/>
      </c>
      <c r="W255" s="2" t="str">
        <f t="shared" si="32"/>
        <v/>
      </c>
      <c r="X255" s="2"/>
      <c r="Y255" s="2"/>
      <c r="Z255" s="2"/>
      <c r="AA255" s="2"/>
      <c r="AB255" s="2"/>
      <c r="AC255" s="2"/>
      <c r="AD255" s="2"/>
      <c r="AE255" s="2"/>
      <c r="AF255" s="2" t="str">
        <f t="shared" si="33"/>
        <v/>
      </c>
      <c r="AG255" s="2" t="str">
        <f t="shared" si="34"/>
        <v/>
      </c>
      <c r="AH255" s="2" t="str">
        <f>IF($AG255="","",IFERROR(VLOOKUP($AG255,DB_Categories_Export!$A:$B,2,FALSE()),"INVALID CATEGORY"))</f>
        <v/>
      </c>
      <c r="AI255" s="2" t="str">
        <f t="shared" si="35"/>
        <v/>
      </c>
      <c r="AJ255" s="2" t="str">
        <f t="shared" si="36"/>
        <v/>
      </c>
      <c r="AK255" s="2" t="str">
        <f t="shared" si="37"/>
        <v/>
      </c>
      <c r="AL255" s="2" t="str">
        <f t="shared" si="38"/>
        <v/>
      </c>
      <c r="AM255" s="2" t="str">
        <f t="shared" si="39"/>
        <v/>
      </c>
      <c r="AN255" s="2"/>
      <c r="AO255" s="2"/>
    </row>
    <row r="256" spans="1:41" ht="12" customHeight="1" x14ac:dyDescent="0.3">
      <c r="A256" s="2"/>
      <c r="B256" s="2" t="str">
        <f t="shared" si="30"/>
        <v/>
      </c>
      <c r="C256" s="2" t="str">
        <f t="shared" si="31"/>
        <v/>
      </c>
      <c r="D256" s="2" t="str">
        <f>IF(DB_Artworks_Export!A256="","",DB_Artworks_Export!A256)</f>
        <v/>
      </c>
      <c r="E256" s="2" t="str">
        <f>IF(DB_Artworks_Export!B256="","",DB_Artworks_Export!B256)</f>
        <v/>
      </c>
      <c r="F256" s="2" t="str">
        <f>IF(DB_Artworks_Export!C256="","",DB_Artworks_Export!C256)</f>
        <v/>
      </c>
      <c r="G256" s="2" t="str">
        <f>IF(DB_Artworks_Export!D256="","",DB_Artworks_Export!D256)</f>
        <v/>
      </c>
      <c r="H256" s="2" t="str">
        <f>IF(DB_Artworks_Export!E256="","",DB_Artworks_Export!E256)</f>
        <v/>
      </c>
      <c r="I256" s="2" t="str">
        <f>IF(DB_Artworks_Export!F256="","",DB_Artworks_Export!F256)</f>
        <v/>
      </c>
      <c r="J256" s="2" t="str">
        <f>IF(DB_Artworks_Export!G256="","",DB_Artworks_Export!G256)</f>
        <v/>
      </c>
      <c r="K256" s="2" t="str">
        <f>IF(DB_Artworks_Export!H256="","",DB_Artworks_Export!H256)</f>
        <v/>
      </c>
      <c r="L256" s="2" t="str">
        <f>IF(DB_Artworks_Export!I256="","",DB_Artworks_Export!I256)</f>
        <v/>
      </c>
      <c r="M256" s="2" t="str">
        <f>IF(DB_Artworks_Export!J256="","",DB_Artworks_Export!J256)</f>
        <v/>
      </c>
      <c r="N256" s="2" t="str">
        <f>IF(DB_Artworks_Export!K256="","",DB_Artworks_Export!K256)</f>
        <v/>
      </c>
      <c r="O256" s="2" t="str">
        <f>IF(DB_Artworks_Export!L256="","",DB_Artworks_Export!L256)</f>
        <v/>
      </c>
      <c r="P256" s="2" t="str">
        <f>IF(DB_Artworks_Export!M256="","",DB_Artworks_Export!M256)</f>
        <v/>
      </c>
      <c r="Q256" s="2" t="str">
        <f>IF(DB_Artworks_Export!N256="","",DB_Artworks_Export!N256)</f>
        <v/>
      </c>
      <c r="R256" s="2" t="str">
        <f>IF($D256="","",IF(COUNTIF(DB_Categories_Export!$A:$A,$F256)&gt;0,"OK","INVALID CATEGORY"))</f>
        <v/>
      </c>
      <c r="S256" s="2" t="str">
        <f>IF($D256="","",COUNTIF(DB_Artwork_Sizes_Export!$B:$B,$D256))</f>
        <v/>
      </c>
      <c r="T256" s="2" t="str">
        <f>IF($D256="","",IFERROR(INDEX(DB_Artwork_Sizes_Export!$D:$D,MATCH($D256,DB_Artwork_Sizes_Export!$B:$B,0)),""))</f>
        <v/>
      </c>
      <c r="U256" s="2" t="str">
        <f>IF($D256="","",IFERROR(INDEX(DB_Artwork_Sizes_Export!$E:$E,MATCH($D256,DB_Artwork_Sizes_Export!$B:$B,0)),""))</f>
        <v/>
      </c>
      <c r="V256" s="2" t="str">
        <f>IF($D256="","",IFERROR(INDEX(DB_Artwork_Sizes_Export!$F:$F,MATCH($D256,DB_Artwork_Sizes_Export!$B:$B,0)),""))</f>
        <v/>
      </c>
      <c r="W256" s="2" t="str">
        <f t="shared" si="32"/>
        <v/>
      </c>
      <c r="X256" s="2"/>
      <c r="Y256" s="2"/>
      <c r="Z256" s="2"/>
      <c r="AA256" s="2"/>
      <c r="AB256" s="2"/>
      <c r="AC256" s="2"/>
      <c r="AD256" s="2"/>
      <c r="AE256" s="2"/>
      <c r="AF256" s="2" t="str">
        <f t="shared" si="33"/>
        <v/>
      </c>
      <c r="AG256" s="2" t="str">
        <f t="shared" si="34"/>
        <v/>
      </c>
      <c r="AH256" s="2" t="str">
        <f>IF($AG256="","",IFERROR(VLOOKUP($AG256,DB_Categories_Export!$A:$B,2,FALSE()),"INVALID CATEGORY"))</f>
        <v/>
      </c>
      <c r="AI256" s="2" t="str">
        <f t="shared" si="35"/>
        <v/>
      </c>
      <c r="AJ256" s="2" t="str">
        <f t="shared" si="36"/>
        <v/>
      </c>
      <c r="AK256" s="2" t="str">
        <f t="shared" si="37"/>
        <v/>
      </c>
      <c r="AL256" s="2" t="str">
        <f t="shared" si="38"/>
        <v/>
      </c>
      <c r="AM256" s="2" t="str">
        <f t="shared" si="39"/>
        <v/>
      </c>
      <c r="AN256" s="2"/>
      <c r="AO256" s="2"/>
    </row>
    <row r="257" spans="1:41" ht="12" customHeight="1" x14ac:dyDescent="0.3">
      <c r="A257" s="2"/>
      <c r="B257" s="2" t="str">
        <f t="shared" si="30"/>
        <v/>
      </c>
      <c r="C257" s="2" t="str">
        <f t="shared" si="31"/>
        <v/>
      </c>
      <c r="D257" s="2" t="str">
        <f>IF(DB_Artworks_Export!A257="","",DB_Artworks_Export!A257)</f>
        <v/>
      </c>
      <c r="E257" s="2" t="str">
        <f>IF(DB_Artworks_Export!B257="","",DB_Artworks_Export!B257)</f>
        <v/>
      </c>
      <c r="F257" s="2" t="str">
        <f>IF(DB_Artworks_Export!C257="","",DB_Artworks_Export!C257)</f>
        <v/>
      </c>
      <c r="G257" s="2" t="str">
        <f>IF(DB_Artworks_Export!D257="","",DB_Artworks_Export!D257)</f>
        <v/>
      </c>
      <c r="H257" s="2" t="str">
        <f>IF(DB_Artworks_Export!E257="","",DB_Artworks_Export!E257)</f>
        <v/>
      </c>
      <c r="I257" s="2" t="str">
        <f>IF(DB_Artworks_Export!F257="","",DB_Artworks_Export!F257)</f>
        <v/>
      </c>
      <c r="J257" s="2" t="str">
        <f>IF(DB_Artworks_Export!G257="","",DB_Artworks_Export!G257)</f>
        <v/>
      </c>
      <c r="K257" s="2" t="str">
        <f>IF(DB_Artworks_Export!H257="","",DB_Artworks_Export!H257)</f>
        <v/>
      </c>
      <c r="L257" s="2" t="str">
        <f>IF(DB_Artworks_Export!I257="","",DB_Artworks_Export!I257)</f>
        <v/>
      </c>
      <c r="M257" s="2" t="str">
        <f>IF(DB_Artworks_Export!J257="","",DB_Artworks_Export!J257)</f>
        <v/>
      </c>
      <c r="N257" s="2" t="str">
        <f>IF(DB_Artworks_Export!K257="","",DB_Artworks_Export!K257)</f>
        <v/>
      </c>
      <c r="O257" s="2" t="str">
        <f>IF(DB_Artworks_Export!L257="","",DB_Artworks_Export!L257)</f>
        <v/>
      </c>
      <c r="P257" s="2" t="str">
        <f>IF(DB_Artworks_Export!M257="","",DB_Artworks_Export!M257)</f>
        <v/>
      </c>
      <c r="Q257" s="2" t="str">
        <f>IF(DB_Artworks_Export!N257="","",DB_Artworks_Export!N257)</f>
        <v/>
      </c>
      <c r="R257" s="2" t="str">
        <f>IF($D257="","",IF(COUNTIF(DB_Categories_Export!$A:$A,$F257)&gt;0,"OK","INVALID CATEGORY"))</f>
        <v/>
      </c>
      <c r="S257" s="2" t="str">
        <f>IF($D257="","",COUNTIF(DB_Artwork_Sizes_Export!$B:$B,$D257))</f>
        <v/>
      </c>
      <c r="T257" s="2" t="str">
        <f>IF($D257="","",IFERROR(INDEX(DB_Artwork_Sizes_Export!$D:$D,MATCH($D257,DB_Artwork_Sizes_Export!$B:$B,0)),""))</f>
        <v/>
      </c>
      <c r="U257" s="2" t="str">
        <f>IF($D257="","",IFERROR(INDEX(DB_Artwork_Sizes_Export!$E:$E,MATCH($D257,DB_Artwork_Sizes_Export!$B:$B,0)),""))</f>
        <v/>
      </c>
      <c r="V257" s="2" t="str">
        <f>IF($D257="","",IFERROR(INDEX(DB_Artwork_Sizes_Export!$F:$F,MATCH($D257,DB_Artwork_Sizes_Export!$B:$B,0)),""))</f>
        <v/>
      </c>
      <c r="W257" s="2" t="str">
        <f t="shared" si="32"/>
        <v/>
      </c>
      <c r="X257" s="2"/>
      <c r="Y257" s="2"/>
      <c r="Z257" s="2"/>
      <c r="AA257" s="2"/>
      <c r="AB257" s="2"/>
      <c r="AC257" s="2"/>
      <c r="AD257" s="2"/>
      <c r="AE257" s="2"/>
      <c r="AF257" s="2" t="str">
        <f t="shared" si="33"/>
        <v/>
      </c>
      <c r="AG257" s="2" t="str">
        <f t="shared" si="34"/>
        <v/>
      </c>
      <c r="AH257" s="2" t="str">
        <f>IF($AG257="","",IFERROR(VLOOKUP($AG257,DB_Categories_Export!$A:$B,2,FALSE()),"INVALID CATEGORY"))</f>
        <v/>
      </c>
      <c r="AI257" s="2" t="str">
        <f t="shared" si="35"/>
        <v/>
      </c>
      <c r="AJ257" s="2" t="str">
        <f t="shared" si="36"/>
        <v/>
      </c>
      <c r="AK257" s="2" t="str">
        <f t="shared" si="37"/>
        <v/>
      </c>
      <c r="AL257" s="2" t="str">
        <f t="shared" si="38"/>
        <v/>
      </c>
      <c r="AM257" s="2" t="str">
        <f t="shared" si="39"/>
        <v/>
      </c>
      <c r="AN257" s="2"/>
      <c r="AO257" s="2"/>
    </row>
    <row r="258" spans="1:41" ht="12" customHeight="1" x14ac:dyDescent="0.3">
      <c r="A258" s="2"/>
      <c r="B258" s="2" t="str">
        <f t="shared" ref="B258:B321" si="40">IF($D258="","",IF(COUNTA($Y258:$AE258)&gt;0,"UPDATE","NO_CHANGE"))</f>
        <v/>
      </c>
      <c r="C258" s="2" t="str">
        <f t="shared" ref="C258:C321" si="41">IF($D258="","",IF($R258&lt;&gt;"OK","ERROR",IF(OR($E258="", $F258="", $J258=""),"ERROR",IF($W258&lt;&gt;"OK","WARNING","PASS"))))</f>
        <v/>
      </c>
      <c r="D258" s="2" t="str">
        <f>IF(DB_Artworks_Export!A258="","",DB_Artworks_Export!A258)</f>
        <v/>
      </c>
      <c r="E258" s="2" t="str">
        <f>IF(DB_Artworks_Export!B258="","",DB_Artworks_Export!B258)</f>
        <v/>
      </c>
      <c r="F258" s="2" t="str">
        <f>IF(DB_Artworks_Export!C258="","",DB_Artworks_Export!C258)</f>
        <v/>
      </c>
      <c r="G258" s="2" t="str">
        <f>IF(DB_Artworks_Export!D258="","",DB_Artworks_Export!D258)</f>
        <v/>
      </c>
      <c r="H258" s="2" t="str">
        <f>IF(DB_Artworks_Export!E258="","",DB_Artworks_Export!E258)</f>
        <v/>
      </c>
      <c r="I258" s="2" t="str">
        <f>IF(DB_Artworks_Export!F258="","",DB_Artworks_Export!F258)</f>
        <v/>
      </c>
      <c r="J258" s="2" t="str">
        <f>IF(DB_Artworks_Export!G258="","",DB_Artworks_Export!G258)</f>
        <v/>
      </c>
      <c r="K258" s="2" t="str">
        <f>IF(DB_Artworks_Export!H258="","",DB_Artworks_Export!H258)</f>
        <v/>
      </c>
      <c r="L258" s="2" t="str">
        <f>IF(DB_Artworks_Export!I258="","",DB_Artworks_Export!I258)</f>
        <v/>
      </c>
      <c r="M258" s="2" t="str">
        <f>IF(DB_Artworks_Export!J258="","",DB_Artworks_Export!J258)</f>
        <v/>
      </c>
      <c r="N258" s="2" t="str">
        <f>IF(DB_Artworks_Export!K258="","",DB_Artworks_Export!K258)</f>
        <v/>
      </c>
      <c r="O258" s="2" t="str">
        <f>IF(DB_Artworks_Export!L258="","",DB_Artworks_Export!L258)</f>
        <v/>
      </c>
      <c r="P258" s="2" t="str">
        <f>IF(DB_Artworks_Export!M258="","",DB_Artworks_Export!M258)</f>
        <v/>
      </c>
      <c r="Q258" s="2" t="str">
        <f>IF(DB_Artworks_Export!N258="","",DB_Artworks_Export!N258)</f>
        <v/>
      </c>
      <c r="R258" s="2" t="str">
        <f>IF($D258="","",IF(COUNTIF(DB_Categories_Export!$A:$A,$F258)&gt;0,"OK","INVALID CATEGORY"))</f>
        <v/>
      </c>
      <c r="S258" s="2" t="str">
        <f>IF($D258="","",COUNTIF(DB_Artwork_Sizes_Export!$B:$B,$D258))</f>
        <v/>
      </c>
      <c r="T258" s="2" t="str">
        <f>IF($D258="","",IFERROR(INDEX(DB_Artwork_Sizes_Export!$D:$D,MATCH($D258,DB_Artwork_Sizes_Export!$B:$B,0)),""))</f>
        <v/>
      </c>
      <c r="U258" s="2" t="str">
        <f>IF($D258="","",IFERROR(INDEX(DB_Artwork_Sizes_Export!$E:$E,MATCH($D258,DB_Artwork_Sizes_Export!$B:$B,0)),""))</f>
        <v/>
      </c>
      <c r="V258" s="2" t="str">
        <f>IF($D258="","",IFERROR(INDEX(DB_Artwork_Sizes_Export!$F:$F,MATCH($D258,DB_Artwork_Sizes_Export!$B:$B,0)),""))</f>
        <v/>
      </c>
      <c r="W258" s="2" t="str">
        <f t="shared" ref="W258:W321" si="42">IF($D258="","",IF($S258&gt;0,"REVIEW_SIZE_PRICING","OK"))</f>
        <v/>
      </c>
      <c r="X258" s="2"/>
      <c r="Y258" s="2"/>
      <c r="Z258" s="2"/>
      <c r="AA258" s="2"/>
      <c r="AB258" s="2"/>
      <c r="AC258" s="2"/>
      <c r="AD258" s="2"/>
      <c r="AE258" s="2"/>
      <c r="AF258" s="2" t="str">
        <f t="shared" ref="AF258:AF321" si="43">IF($Y258&lt;&gt;"",$Y258,$E258)</f>
        <v/>
      </c>
      <c r="AG258" s="2" t="str">
        <f t="shared" ref="AG258:AG321" si="44">IF($Z258&lt;&gt;"",$Z258,$F258)</f>
        <v/>
      </c>
      <c r="AH258" s="2" t="str">
        <f>IF($AG258="","",IFERROR(VLOOKUP($AG258,DB_Categories_Export!$A:$B,2,FALSE()),"INVALID CATEGORY"))</f>
        <v/>
      </c>
      <c r="AI258" s="2" t="str">
        <f t="shared" ref="AI258:AI321" si="45">IF($AA258&lt;&gt;"",$AA258,$H258)</f>
        <v/>
      </c>
      <c r="AJ258" s="2" t="str">
        <f t="shared" ref="AJ258:AJ321" si="46">IF($AB258&lt;&gt;"",$AB258,$I258)</f>
        <v/>
      </c>
      <c r="AK258" s="2" t="str">
        <f t="shared" ref="AK258:AK321" si="47">IF($AC258&lt;&gt;"",$AC258,$J258)</f>
        <v/>
      </c>
      <c r="AL258" s="2" t="str">
        <f t="shared" ref="AL258:AL321" si="48">IF($AD258&lt;&gt;"",$AD258,$N258)</f>
        <v/>
      </c>
      <c r="AM258" s="2" t="str">
        <f t="shared" ref="AM258:AM321" si="49">IF($AE258&lt;&gt;"",$AE258,$O258)</f>
        <v/>
      </c>
      <c r="AN258" s="2"/>
      <c r="AO258" s="2"/>
    </row>
    <row r="259" spans="1:41" ht="12" customHeight="1" x14ac:dyDescent="0.3">
      <c r="A259" s="2"/>
      <c r="B259" s="2" t="str">
        <f t="shared" si="40"/>
        <v/>
      </c>
      <c r="C259" s="2" t="str">
        <f t="shared" si="41"/>
        <v/>
      </c>
      <c r="D259" s="2" t="str">
        <f>IF(DB_Artworks_Export!A259="","",DB_Artworks_Export!A259)</f>
        <v/>
      </c>
      <c r="E259" s="2" t="str">
        <f>IF(DB_Artworks_Export!B259="","",DB_Artworks_Export!B259)</f>
        <v/>
      </c>
      <c r="F259" s="2" t="str">
        <f>IF(DB_Artworks_Export!C259="","",DB_Artworks_Export!C259)</f>
        <v/>
      </c>
      <c r="G259" s="2" t="str">
        <f>IF(DB_Artworks_Export!D259="","",DB_Artworks_Export!D259)</f>
        <v/>
      </c>
      <c r="H259" s="2" t="str">
        <f>IF(DB_Artworks_Export!E259="","",DB_Artworks_Export!E259)</f>
        <v/>
      </c>
      <c r="I259" s="2" t="str">
        <f>IF(DB_Artworks_Export!F259="","",DB_Artworks_Export!F259)</f>
        <v/>
      </c>
      <c r="J259" s="2" t="str">
        <f>IF(DB_Artworks_Export!G259="","",DB_Artworks_Export!G259)</f>
        <v/>
      </c>
      <c r="K259" s="2" t="str">
        <f>IF(DB_Artworks_Export!H259="","",DB_Artworks_Export!H259)</f>
        <v/>
      </c>
      <c r="L259" s="2" t="str">
        <f>IF(DB_Artworks_Export!I259="","",DB_Artworks_Export!I259)</f>
        <v/>
      </c>
      <c r="M259" s="2" t="str">
        <f>IF(DB_Artworks_Export!J259="","",DB_Artworks_Export!J259)</f>
        <v/>
      </c>
      <c r="N259" s="2" t="str">
        <f>IF(DB_Artworks_Export!K259="","",DB_Artworks_Export!K259)</f>
        <v/>
      </c>
      <c r="O259" s="2" t="str">
        <f>IF(DB_Artworks_Export!L259="","",DB_Artworks_Export!L259)</f>
        <v/>
      </c>
      <c r="P259" s="2" t="str">
        <f>IF(DB_Artworks_Export!M259="","",DB_Artworks_Export!M259)</f>
        <v/>
      </c>
      <c r="Q259" s="2" t="str">
        <f>IF(DB_Artworks_Export!N259="","",DB_Artworks_Export!N259)</f>
        <v/>
      </c>
      <c r="R259" s="2" t="str">
        <f>IF($D259="","",IF(COUNTIF(DB_Categories_Export!$A:$A,$F259)&gt;0,"OK","INVALID CATEGORY"))</f>
        <v/>
      </c>
      <c r="S259" s="2" t="str">
        <f>IF($D259="","",COUNTIF(DB_Artwork_Sizes_Export!$B:$B,$D259))</f>
        <v/>
      </c>
      <c r="T259" s="2" t="str">
        <f>IF($D259="","",IFERROR(INDEX(DB_Artwork_Sizes_Export!$D:$D,MATCH($D259,DB_Artwork_Sizes_Export!$B:$B,0)),""))</f>
        <v/>
      </c>
      <c r="U259" s="2" t="str">
        <f>IF($D259="","",IFERROR(INDEX(DB_Artwork_Sizes_Export!$E:$E,MATCH($D259,DB_Artwork_Sizes_Export!$B:$B,0)),""))</f>
        <v/>
      </c>
      <c r="V259" s="2" t="str">
        <f>IF($D259="","",IFERROR(INDEX(DB_Artwork_Sizes_Export!$F:$F,MATCH($D259,DB_Artwork_Sizes_Export!$B:$B,0)),""))</f>
        <v/>
      </c>
      <c r="W259" s="2" t="str">
        <f t="shared" si="42"/>
        <v/>
      </c>
      <c r="X259" s="2"/>
      <c r="Y259" s="2"/>
      <c r="Z259" s="2"/>
      <c r="AA259" s="2"/>
      <c r="AB259" s="2"/>
      <c r="AC259" s="2"/>
      <c r="AD259" s="2"/>
      <c r="AE259" s="2"/>
      <c r="AF259" s="2" t="str">
        <f t="shared" si="43"/>
        <v/>
      </c>
      <c r="AG259" s="2" t="str">
        <f t="shared" si="44"/>
        <v/>
      </c>
      <c r="AH259" s="2" t="str">
        <f>IF($AG259="","",IFERROR(VLOOKUP($AG259,DB_Categories_Export!$A:$B,2,FALSE()),"INVALID CATEGORY"))</f>
        <v/>
      </c>
      <c r="AI259" s="2" t="str">
        <f t="shared" si="45"/>
        <v/>
      </c>
      <c r="AJ259" s="2" t="str">
        <f t="shared" si="46"/>
        <v/>
      </c>
      <c r="AK259" s="2" t="str">
        <f t="shared" si="47"/>
        <v/>
      </c>
      <c r="AL259" s="2" t="str">
        <f t="shared" si="48"/>
        <v/>
      </c>
      <c r="AM259" s="2" t="str">
        <f t="shared" si="49"/>
        <v/>
      </c>
      <c r="AN259" s="2"/>
      <c r="AO259" s="2"/>
    </row>
    <row r="260" spans="1:41" ht="12" customHeight="1" x14ac:dyDescent="0.3">
      <c r="A260" s="2"/>
      <c r="B260" s="2" t="str">
        <f t="shared" si="40"/>
        <v/>
      </c>
      <c r="C260" s="2" t="str">
        <f t="shared" si="41"/>
        <v/>
      </c>
      <c r="D260" s="2" t="str">
        <f>IF(DB_Artworks_Export!A260="","",DB_Artworks_Export!A260)</f>
        <v/>
      </c>
      <c r="E260" s="2" t="str">
        <f>IF(DB_Artworks_Export!B260="","",DB_Artworks_Export!B260)</f>
        <v/>
      </c>
      <c r="F260" s="2" t="str">
        <f>IF(DB_Artworks_Export!C260="","",DB_Artworks_Export!C260)</f>
        <v/>
      </c>
      <c r="G260" s="2" t="str">
        <f>IF(DB_Artworks_Export!D260="","",DB_Artworks_Export!D260)</f>
        <v/>
      </c>
      <c r="H260" s="2" t="str">
        <f>IF(DB_Artworks_Export!E260="","",DB_Artworks_Export!E260)</f>
        <v/>
      </c>
      <c r="I260" s="2" t="str">
        <f>IF(DB_Artworks_Export!F260="","",DB_Artworks_Export!F260)</f>
        <v/>
      </c>
      <c r="J260" s="2" t="str">
        <f>IF(DB_Artworks_Export!G260="","",DB_Artworks_Export!G260)</f>
        <v/>
      </c>
      <c r="K260" s="2" t="str">
        <f>IF(DB_Artworks_Export!H260="","",DB_Artworks_Export!H260)</f>
        <v/>
      </c>
      <c r="L260" s="2" t="str">
        <f>IF(DB_Artworks_Export!I260="","",DB_Artworks_Export!I260)</f>
        <v/>
      </c>
      <c r="M260" s="2" t="str">
        <f>IF(DB_Artworks_Export!J260="","",DB_Artworks_Export!J260)</f>
        <v/>
      </c>
      <c r="N260" s="2" t="str">
        <f>IF(DB_Artworks_Export!K260="","",DB_Artworks_Export!K260)</f>
        <v/>
      </c>
      <c r="O260" s="2" t="str">
        <f>IF(DB_Artworks_Export!L260="","",DB_Artworks_Export!L260)</f>
        <v/>
      </c>
      <c r="P260" s="2" t="str">
        <f>IF(DB_Artworks_Export!M260="","",DB_Artworks_Export!M260)</f>
        <v/>
      </c>
      <c r="Q260" s="2" t="str">
        <f>IF(DB_Artworks_Export!N260="","",DB_Artworks_Export!N260)</f>
        <v/>
      </c>
      <c r="R260" s="2" t="str">
        <f>IF($D260="","",IF(COUNTIF(DB_Categories_Export!$A:$A,$F260)&gt;0,"OK","INVALID CATEGORY"))</f>
        <v/>
      </c>
      <c r="S260" s="2" t="str">
        <f>IF($D260="","",COUNTIF(DB_Artwork_Sizes_Export!$B:$B,$D260))</f>
        <v/>
      </c>
      <c r="T260" s="2" t="str">
        <f>IF($D260="","",IFERROR(INDEX(DB_Artwork_Sizes_Export!$D:$D,MATCH($D260,DB_Artwork_Sizes_Export!$B:$B,0)),""))</f>
        <v/>
      </c>
      <c r="U260" s="2" t="str">
        <f>IF($D260="","",IFERROR(INDEX(DB_Artwork_Sizes_Export!$E:$E,MATCH($D260,DB_Artwork_Sizes_Export!$B:$B,0)),""))</f>
        <v/>
      </c>
      <c r="V260" s="2" t="str">
        <f>IF($D260="","",IFERROR(INDEX(DB_Artwork_Sizes_Export!$F:$F,MATCH($D260,DB_Artwork_Sizes_Export!$B:$B,0)),""))</f>
        <v/>
      </c>
      <c r="W260" s="2" t="str">
        <f t="shared" si="42"/>
        <v/>
      </c>
      <c r="X260" s="2"/>
      <c r="Y260" s="2"/>
      <c r="Z260" s="2"/>
      <c r="AA260" s="2"/>
      <c r="AB260" s="2"/>
      <c r="AC260" s="2"/>
      <c r="AD260" s="2"/>
      <c r="AE260" s="2"/>
      <c r="AF260" s="2" t="str">
        <f t="shared" si="43"/>
        <v/>
      </c>
      <c r="AG260" s="2" t="str">
        <f t="shared" si="44"/>
        <v/>
      </c>
      <c r="AH260" s="2" t="str">
        <f>IF($AG260="","",IFERROR(VLOOKUP($AG260,DB_Categories_Export!$A:$B,2,FALSE()),"INVALID CATEGORY"))</f>
        <v/>
      </c>
      <c r="AI260" s="2" t="str">
        <f t="shared" si="45"/>
        <v/>
      </c>
      <c r="AJ260" s="2" t="str">
        <f t="shared" si="46"/>
        <v/>
      </c>
      <c r="AK260" s="2" t="str">
        <f t="shared" si="47"/>
        <v/>
      </c>
      <c r="AL260" s="2" t="str">
        <f t="shared" si="48"/>
        <v/>
      </c>
      <c r="AM260" s="2" t="str">
        <f t="shared" si="49"/>
        <v/>
      </c>
      <c r="AN260" s="2"/>
      <c r="AO260" s="2"/>
    </row>
    <row r="261" spans="1:41" ht="12" customHeight="1" x14ac:dyDescent="0.3">
      <c r="A261" s="2"/>
      <c r="B261" s="2" t="str">
        <f t="shared" si="40"/>
        <v/>
      </c>
      <c r="C261" s="2" t="str">
        <f t="shared" si="41"/>
        <v/>
      </c>
      <c r="D261" s="2" t="str">
        <f>IF(DB_Artworks_Export!A261="","",DB_Artworks_Export!A261)</f>
        <v/>
      </c>
      <c r="E261" s="2" t="str">
        <f>IF(DB_Artworks_Export!B261="","",DB_Artworks_Export!B261)</f>
        <v/>
      </c>
      <c r="F261" s="2" t="str">
        <f>IF(DB_Artworks_Export!C261="","",DB_Artworks_Export!C261)</f>
        <v/>
      </c>
      <c r="G261" s="2" t="str">
        <f>IF(DB_Artworks_Export!D261="","",DB_Artworks_Export!D261)</f>
        <v/>
      </c>
      <c r="H261" s="2" t="str">
        <f>IF(DB_Artworks_Export!E261="","",DB_Artworks_Export!E261)</f>
        <v/>
      </c>
      <c r="I261" s="2" t="str">
        <f>IF(DB_Artworks_Export!F261="","",DB_Artworks_Export!F261)</f>
        <v/>
      </c>
      <c r="J261" s="2" t="str">
        <f>IF(DB_Artworks_Export!G261="","",DB_Artworks_Export!G261)</f>
        <v/>
      </c>
      <c r="K261" s="2" t="str">
        <f>IF(DB_Artworks_Export!H261="","",DB_Artworks_Export!H261)</f>
        <v/>
      </c>
      <c r="L261" s="2" t="str">
        <f>IF(DB_Artworks_Export!I261="","",DB_Artworks_Export!I261)</f>
        <v/>
      </c>
      <c r="M261" s="2" t="str">
        <f>IF(DB_Artworks_Export!J261="","",DB_Artworks_Export!J261)</f>
        <v/>
      </c>
      <c r="N261" s="2" t="str">
        <f>IF(DB_Artworks_Export!K261="","",DB_Artworks_Export!K261)</f>
        <v/>
      </c>
      <c r="O261" s="2" t="str">
        <f>IF(DB_Artworks_Export!L261="","",DB_Artworks_Export!L261)</f>
        <v/>
      </c>
      <c r="P261" s="2" t="str">
        <f>IF(DB_Artworks_Export!M261="","",DB_Artworks_Export!M261)</f>
        <v/>
      </c>
      <c r="Q261" s="2" t="str">
        <f>IF(DB_Artworks_Export!N261="","",DB_Artworks_Export!N261)</f>
        <v/>
      </c>
      <c r="R261" s="2" t="str">
        <f>IF($D261="","",IF(COUNTIF(DB_Categories_Export!$A:$A,$F261)&gt;0,"OK","INVALID CATEGORY"))</f>
        <v/>
      </c>
      <c r="S261" s="2" t="str">
        <f>IF($D261="","",COUNTIF(DB_Artwork_Sizes_Export!$B:$B,$D261))</f>
        <v/>
      </c>
      <c r="T261" s="2" t="str">
        <f>IF($D261="","",IFERROR(INDEX(DB_Artwork_Sizes_Export!$D:$D,MATCH($D261,DB_Artwork_Sizes_Export!$B:$B,0)),""))</f>
        <v/>
      </c>
      <c r="U261" s="2" t="str">
        <f>IF($D261="","",IFERROR(INDEX(DB_Artwork_Sizes_Export!$E:$E,MATCH($D261,DB_Artwork_Sizes_Export!$B:$B,0)),""))</f>
        <v/>
      </c>
      <c r="V261" s="2" t="str">
        <f>IF($D261="","",IFERROR(INDEX(DB_Artwork_Sizes_Export!$F:$F,MATCH($D261,DB_Artwork_Sizes_Export!$B:$B,0)),""))</f>
        <v/>
      </c>
      <c r="W261" s="2" t="str">
        <f t="shared" si="42"/>
        <v/>
      </c>
      <c r="X261" s="2"/>
      <c r="Y261" s="2"/>
      <c r="Z261" s="2"/>
      <c r="AA261" s="2"/>
      <c r="AB261" s="2"/>
      <c r="AC261" s="2"/>
      <c r="AD261" s="2"/>
      <c r="AE261" s="2"/>
      <c r="AF261" s="2" t="str">
        <f t="shared" si="43"/>
        <v/>
      </c>
      <c r="AG261" s="2" t="str">
        <f t="shared" si="44"/>
        <v/>
      </c>
      <c r="AH261" s="2" t="str">
        <f>IF($AG261="","",IFERROR(VLOOKUP($AG261,DB_Categories_Export!$A:$B,2,FALSE()),"INVALID CATEGORY"))</f>
        <v/>
      </c>
      <c r="AI261" s="2" t="str">
        <f t="shared" si="45"/>
        <v/>
      </c>
      <c r="AJ261" s="2" t="str">
        <f t="shared" si="46"/>
        <v/>
      </c>
      <c r="AK261" s="2" t="str">
        <f t="shared" si="47"/>
        <v/>
      </c>
      <c r="AL261" s="2" t="str">
        <f t="shared" si="48"/>
        <v/>
      </c>
      <c r="AM261" s="2" t="str">
        <f t="shared" si="49"/>
        <v/>
      </c>
      <c r="AN261" s="2"/>
      <c r="AO261" s="2"/>
    </row>
    <row r="262" spans="1:41" ht="12" customHeight="1" x14ac:dyDescent="0.3">
      <c r="A262" s="2"/>
      <c r="B262" s="2" t="str">
        <f t="shared" si="40"/>
        <v/>
      </c>
      <c r="C262" s="2" t="str">
        <f t="shared" si="41"/>
        <v/>
      </c>
      <c r="D262" s="2" t="str">
        <f>IF(DB_Artworks_Export!A262="","",DB_Artworks_Export!A262)</f>
        <v/>
      </c>
      <c r="E262" s="2" t="str">
        <f>IF(DB_Artworks_Export!B262="","",DB_Artworks_Export!B262)</f>
        <v/>
      </c>
      <c r="F262" s="2" t="str">
        <f>IF(DB_Artworks_Export!C262="","",DB_Artworks_Export!C262)</f>
        <v/>
      </c>
      <c r="G262" s="2" t="str">
        <f>IF(DB_Artworks_Export!D262="","",DB_Artworks_Export!D262)</f>
        <v/>
      </c>
      <c r="H262" s="2" t="str">
        <f>IF(DB_Artworks_Export!E262="","",DB_Artworks_Export!E262)</f>
        <v/>
      </c>
      <c r="I262" s="2" t="str">
        <f>IF(DB_Artworks_Export!F262="","",DB_Artworks_Export!F262)</f>
        <v/>
      </c>
      <c r="J262" s="2" t="str">
        <f>IF(DB_Artworks_Export!G262="","",DB_Artworks_Export!G262)</f>
        <v/>
      </c>
      <c r="K262" s="2" t="str">
        <f>IF(DB_Artworks_Export!H262="","",DB_Artworks_Export!H262)</f>
        <v/>
      </c>
      <c r="L262" s="2" t="str">
        <f>IF(DB_Artworks_Export!I262="","",DB_Artworks_Export!I262)</f>
        <v/>
      </c>
      <c r="M262" s="2" t="str">
        <f>IF(DB_Artworks_Export!J262="","",DB_Artworks_Export!J262)</f>
        <v/>
      </c>
      <c r="N262" s="2" t="str">
        <f>IF(DB_Artworks_Export!K262="","",DB_Artworks_Export!K262)</f>
        <v/>
      </c>
      <c r="O262" s="2" t="str">
        <f>IF(DB_Artworks_Export!L262="","",DB_Artworks_Export!L262)</f>
        <v/>
      </c>
      <c r="P262" s="2" t="str">
        <f>IF(DB_Artworks_Export!M262="","",DB_Artworks_Export!M262)</f>
        <v/>
      </c>
      <c r="Q262" s="2" t="str">
        <f>IF(DB_Artworks_Export!N262="","",DB_Artworks_Export!N262)</f>
        <v/>
      </c>
      <c r="R262" s="2" t="str">
        <f>IF($D262="","",IF(COUNTIF(DB_Categories_Export!$A:$A,$F262)&gt;0,"OK","INVALID CATEGORY"))</f>
        <v/>
      </c>
      <c r="S262" s="2" t="str">
        <f>IF($D262="","",COUNTIF(DB_Artwork_Sizes_Export!$B:$B,$D262))</f>
        <v/>
      </c>
      <c r="T262" s="2" t="str">
        <f>IF($D262="","",IFERROR(INDEX(DB_Artwork_Sizes_Export!$D:$D,MATCH($D262,DB_Artwork_Sizes_Export!$B:$B,0)),""))</f>
        <v/>
      </c>
      <c r="U262" s="2" t="str">
        <f>IF($D262="","",IFERROR(INDEX(DB_Artwork_Sizes_Export!$E:$E,MATCH($D262,DB_Artwork_Sizes_Export!$B:$B,0)),""))</f>
        <v/>
      </c>
      <c r="V262" s="2" t="str">
        <f>IF($D262="","",IFERROR(INDEX(DB_Artwork_Sizes_Export!$F:$F,MATCH($D262,DB_Artwork_Sizes_Export!$B:$B,0)),""))</f>
        <v/>
      </c>
      <c r="W262" s="2" t="str">
        <f t="shared" si="42"/>
        <v/>
      </c>
      <c r="X262" s="2"/>
      <c r="Y262" s="2"/>
      <c r="Z262" s="2"/>
      <c r="AA262" s="2"/>
      <c r="AB262" s="2"/>
      <c r="AC262" s="2"/>
      <c r="AD262" s="2"/>
      <c r="AE262" s="2"/>
      <c r="AF262" s="2" t="str">
        <f t="shared" si="43"/>
        <v/>
      </c>
      <c r="AG262" s="2" t="str">
        <f t="shared" si="44"/>
        <v/>
      </c>
      <c r="AH262" s="2" t="str">
        <f>IF($AG262="","",IFERROR(VLOOKUP($AG262,DB_Categories_Export!$A:$B,2,FALSE()),"INVALID CATEGORY"))</f>
        <v/>
      </c>
      <c r="AI262" s="2" t="str">
        <f t="shared" si="45"/>
        <v/>
      </c>
      <c r="AJ262" s="2" t="str">
        <f t="shared" si="46"/>
        <v/>
      </c>
      <c r="AK262" s="2" t="str">
        <f t="shared" si="47"/>
        <v/>
      </c>
      <c r="AL262" s="2" t="str">
        <f t="shared" si="48"/>
        <v/>
      </c>
      <c r="AM262" s="2" t="str">
        <f t="shared" si="49"/>
        <v/>
      </c>
      <c r="AN262" s="2"/>
      <c r="AO262" s="2"/>
    </row>
    <row r="263" spans="1:41" ht="12" customHeight="1" x14ac:dyDescent="0.3">
      <c r="A263" s="2"/>
      <c r="B263" s="2" t="str">
        <f t="shared" si="40"/>
        <v/>
      </c>
      <c r="C263" s="2" t="str">
        <f t="shared" si="41"/>
        <v/>
      </c>
      <c r="D263" s="2" t="str">
        <f>IF(DB_Artworks_Export!A263="","",DB_Artworks_Export!A263)</f>
        <v/>
      </c>
      <c r="E263" s="2" t="str">
        <f>IF(DB_Artworks_Export!B263="","",DB_Artworks_Export!B263)</f>
        <v/>
      </c>
      <c r="F263" s="2" t="str">
        <f>IF(DB_Artworks_Export!C263="","",DB_Artworks_Export!C263)</f>
        <v/>
      </c>
      <c r="G263" s="2" t="str">
        <f>IF(DB_Artworks_Export!D263="","",DB_Artworks_Export!D263)</f>
        <v/>
      </c>
      <c r="H263" s="2" t="str">
        <f>IF(DB_Artworks_Export!E263="","",DB_Artworks_Export!E263)</f>
        <v/>
      </c>
      <c r="I263" s="2" t="str">
        <f>IF(DB_Artworks_Export!F263="","",DB_Artworks_Export!F263)</f>
        <v/>
      </c>
      <c r="J263" s="2" t="str">
        <f>IF(DB_Artworks_Export!G263="","",DB_Artworks_Export!G263)</f>
        <v/>
      </c>
      <c r="K263" s="2" t="str">
        <f>IF(DB_Artworks_Export!H263="","",DB_Artworks_Export!H263)</f>
        <v/>
      </c>
      <c r="L263" s="2" t="str">
        <f>IF(DB_Artworks_Export!I263="","",DB_Artworks_Export!I263)</f>
        <v/>
      </c>
      <c r="M263" s="2" t="str">
        <f>IF(DB_Artworks_Export!J263="","",DB_Artworks_Export!J263)</f>
        <v/>
      </c>
      <c r="N263" s="2" t="str">
        <f>IF(DB_Artworks_Export!K263="","",DB_Artworks_Export!K263)</f>
        <v/>
      </c>
      <c r="O263" s="2" t="str">
        <f>IF(DB_Artworks_Export!L263="","",DB_Artworks_Export!L263)</f>
        <v/>
      </c>
      <c r="P263" s="2" t="str">
        <f>IF(DB_Artworks_Export!M263="","",DB_Artworks_Export!M263)</f>
        <v/>
      </c>
      <c r="Q263" s="2" t="str">
        <f>IF(DB_Artworks_Export!N263="","",DB_Artworks_Export!N263)</f>
        <v/>
      </c>
      <c r="R263" s="2" t="str">
        <f>IF($D263="","",IF(COUNTIF(DB_Categories_Export!$A:$A,$F263)&gt;0,"OK","INVALID CATEGORY"))</f>
        <v/>
      </c>
      <c r="S263" s="2" t="str">
        <f>IF($D263="","",COUNTIF(DB_Artwork_Sizes_Export!$B:$B,$D263))</f>
        <v/>
      </c>
      <c r="T263" s="2" t="str">
        <f>IF($D263="","",IFERROR(INDEX(DB_Artwork_Sizes_Export!$D:$D,MATCH($D263,DB_Artwork_Sizes_Export!$B:$B,0)),""))</f>
        <v/>
      </c>
      <c r="U263" s="2" t="str">
        <f>IF($D263="","",IFERROR(INDEX(DB_Artwork_Sizes_Export!$E:$E,MATCH($D263,DB_Artwork_Sizes_Export!$B:$B,0)),""))</f>
        <v/>
      </c>
      <c r="V263" s="2" t="str">
        <f>IF($D263="","",IFERROR(INDEX(DB_Artwork_Sizes_Export!$F:$F,MATCH($D263,DB_Artwork_Sizes_Export!$B:$B,0)),""))</f>
        <v/>
      </c>
      <c r="W263" s="2" t="str">
        <f t="shared" si="42"/>
        <v/>
      </c>
      <c r="X263" s="2"/>
      <c r="Y263" s="2"/>
      <c r="Z263" s="2"/>
      <c r="AA263" s="2"/>
      <c r="AB263" s="2"/>
      <c r="AC263" s="2"/>
      <c r="AD263" s="2"/>
      <c r="AE263" s="2"/>
      <c r="AF263" s="2" t="str">
        <f t="shared" si="43"/>
        <v/>
      </c>
      <c r="AG263" s="2" t="str">
        <f t="shared" si="44"/>
        <v/>
      </c>
      <c r="AH263" s="2" t="str">
        <f>IF($AG263="","",IFERROR(VLOOKUP($AG263,DB_Categories_Export!$A:$B,2,FALSE()),"INVALID CATEGORY"))</f>
        <v/>
      </c>
      <c r="AI263" s="2" t="str">
        <f t="shared" si="45"/>
        <v/>
      </c>
      <c r="AJ263" s="2" t="str">
        <f t="shared" si="46"/>
        <v/>
      </c>
      <c r="AK263" s="2" t="str">
        <f t="shared" si="47"/>
        <v/>
      </c>
      <c r="AL263" s="2" t="str">
        <f t="shared" si="48"/>
        <v/>
      </c>
      <c r="AM263" s="2" t="str">
        <f t="shared" si="49"/>
        <v/>
      </c>
      <c r="AN263" s="2"/>
      <c r="AO263" s="2"/>
    </row>
    <row r="264" spans="1:41" ht="12" customHeight="1" x14ac:dyDescent="0.3">
      <c r="A264" s="2"/>
      <c r="B264" s="2" t="str">
        <f t="shared" si="40"/>
        <v/>
      </c>
      <c r="C264" s="2" t="str">
        <f t="shared" si="41"/>
        <v/>
      </c>
      <c r="D264" s="2" t="str">
        <f>IF(DB_Artworks_Export!A264="","",DB_Artworks_Export!A264)</f>
        <v/>
      </c>
      <c r="E264" s="2" t="str">
        <f>IF(DB_Artworks_Export!B264="","",DB_Artworks_Export!B264)</f>
        <v/>
      </c>
      <c r="F264" s="2" t="str">
        <f>IF(DB_Artworks_Export!C264="","",DB_Artworks_Export!C264)</f>
        <v/>
      </c>
      <c r="G264" s="2" t="str">
        <f>IF(DB_Artworks_Export!D264="","",DB_Artworks_Export!D264)</f>
        <v/>
      </c>
      <c r="H264" s="2" t="str">
        <f>IF(DB_Artworks_Export!E264="","",DB_Artworks_Export!E264)</f>
        <v/>
      </c>
      <c r="I264" s="2" t="str">
        <f>IF(DB_Artworks_Export!F264="","",DB_Artworks_Export!F264)</f>
        <v/>
      </c>
      <c r="J264" s="2" t="str">
        <f>IF(DB_Artworks_Export!G264="","",DB_Artworks_Export!G264)</f>
        <v/>
      </c>
      <c r="K264" s="2" t="str">
        <f>IF(DB_Artworks_Export!H264="","",DB_Artworks_Export!H264)</f>
        <v/>
      </c>
      <c r="L264" s="2" t="str">
        <f>IF(DB_Artworks_Export!I264="","",DB_Artworks_Export!I264)</f>
        <v/>
      </c>
      <c r="M264" s="2" t="str">
        <f>IF(DB_Artworks_Export!J264="","",DB_Artworks_Export!J264)</f>
        <v/>
      </c>
      <c r="N264" s="2" t="str">
        <f>IF(DB_Artworks_Export!K264="","",DB_Artworks_Export!K264)</f>
        <v/>
      </c>
      <c r="O264" s="2" t="str">
        <f>IF(DB_Artworks_Export!L264="","",DB_Artworks_Export!L264)</f>
        <v/>
      </c>
      <c r="P264" s="2" t="str">
        <f>IF(DB_Artworks_Export!M264="","",DB_Artworks_Export!M264)</f>
        <v/>
      </c>
      <c r="Q264" s="2" t="str">
        <f>IF(DB_Artworks_Export!N264="","",DB_Artworks_Export!N264)</f>
        <v/>
      </c>
      <c r="R264" s="2" t="str">
        <f>IF($D264="","",IF(COUNTIF(DB_Categories_Export!$A:$A,$F264)&gt;0,"OK","INVALID CATEGORY"))</f>
        <v/>
      </c>
      <c r="S264" s="2" t="str">
        <f>IF($D264="","",COUNTIF(DB_Artwork_Sizes_Export!$B:$B,$D264))</f>
        <v/>
      </c>
      <c r="T264" s="2" t="str">
        <f>IF($D264="","",IFERROR(INDEX(DB_Artwork_Sizes_Export!$D:$D,MATCH($D264,DB_Artwork_Sizes_Export!$B:$B,0)),""))</f>
        <v/>
      </c>
      <c r="U264" s="2" t="str">
        <f>IF($D264="","",IFERROR(INDEX(DB_Artwork_Sizes_Export!$E:$E,MATCH($D264,DB_Artwork_Sizes_Export!$B:$B,0)),""))</f>
        <v/>
      </c>
      <c r="V264" s="2" t="str">
        <f>IF($D264="","",IFERROR(INDEX(DB_Artwork_Sizes_Export!$F:$F,MATCH($D264,DB_Artwork_Sizes_Export!$B:$B,0)),""))</f>
        <v/>
      </c>
      <c r="W264" s="2" t="str">
        <f t="shared" si="42"/>
        <v/>
      </c>
      <c r="X264" s="2"/>
      <c r="Y264" s="2"/>
      <c r="Z264" s="2"/>
      <c r="AA264" s="2"/>
      <c r="AB264" s="2"/>
      <c r="AC264" s="2"/>
      <c r="AD264" s="2"/>
      <c r="AE264" s="2"/>
      <c r="AF264" s="2" t="str">
        <f t="shared" si="43"/>
        <v/>
      </c>
      <c r="AG264" s="2" t="str">
        <f t="shared" si="44"/>
        <v/>
      </c>
      <c r="AH264" s="2" t="str">
        <f>IF($AG264="","",IFERROR(VLOOKUP($AG264,DB_Categories_Export!$A:$B,2,FALSE()),"INVALID CATEGORY"))</f>
        <v/>
      </c>
      <c r="AI264" s="2" t="str">
        <f t="shared" si="45"/>
        <v/>
      </c>
      <c r="AJ264" s="2" t="str">
        <f t="shared" si="46"/>
        <v/>
      </c>
      <c r="AK264" s="2" t="str">
        <f t="shared" si="47"/>
        <v/>
      </c>
      <c r="AL264" s="2" t="str">
        <f t="shared" si="48"/>
        <v/>
      </c>
      <c r="AM264" s="2" t="str">
        <f t="shared" si="49"/>
        <v/>
      </c>
      <c r="AN264" s="2"/>
      <c r="AO264" s="2"/>
    </row>
    <row r="265" spans="1:41" ht="12" customHeight="1" x14ac:dyDescent="0.3">
      <c r="A265" s="2"/>
      <c r="B265" s="2" t="str">
        <f t="shared" si="40"/>
        <v/>
      </c>
      <c r="C265" s="2" t="str">
        <f t="shared" si="41"/>
        <v/>
      </c>
      <c r="D265" s="2" t="str">
        <f>IF(DB_Artworks_Export!A265="","",DB_Artworks_Export!A265)</f>
        <v/>
      </c>
      <c r="E265" s="2" t="str">
        <f>IF(DB_Artworks_Export!B265="","",DB_Artworks_Export!B265)</f>
        <v/>
      </c>
      <c r="F265" s="2" t="str">
        <f>IF(DB_Artworks_Export!C265="","",DB_Artworks_Export!C265)</f>
        <v/>
      </c>
      <c r="G265" s="2" t="str">
        <f>IF(DB_Artworks_Export!D265="","",DB_Artworks_Export!D265)</f>
        <v/>
      </c>
      <c r="H265" s="2" t="str">
        <f>IF(DB_Artworks_Export!E265="","",DB_Artworks_Export!E265)</f>
        <v/>
      </c>
      <c r="I265" s="2" t="str">
        <f>IF(DB_Artworks_Export!F265="","",DB_Artworks_Export!F265)</f>
        <v/>
      </c>
      <c r="J265" s="2" t="str">
        <f>IF(DB_Artworks_Export!G265="","",DB_Artworks_Export!G265)</f>
        <v/>
      </c>
      <c r="K265" s="2" t="str">
        <f>IF(DB_Artworks_Export!H265="","",DB_Artworks_Export!H265)</f>
        <v/>
      </c>
      <c r="L265" s="2" t="str">
        <f>IF(DB_Artworks_Export!I265="","",DB_Artworks_Export!I265)</f>
        <v/>
      </c>
      <c r="M265" s="2" t="str">
        <f>IF(DB_Artworks_Export!J265="","",DB_Artworks_Export!J265)</f>
        <v/>
      </c>
      <c r="N265" s="2" t="str">
        <f>IF(DB_Artworks_Export!K265="","",DB_Artworks_Export!K265)</f>
        <v/>
      </c>
      <c r="O265" s="2" t="str">
        <f>IF(DB_Artworks_Export!L265="","",DB_Artworks_Export!L265)</f>
        <v/>
      </c>
      <c r="P265" s="2" t="str">
        <f>IF(DB_Artworks_Export!M265="","",DB_Artworks_Export!M265)</f>
        <v/>
      </c>
      <c r="Q265" s="2" t="str">
        <f>IF(DB_Artworks_Export!N265="","",DB_Artworks_Export!N265)</f>
        <v/>
      </c>
      <c r="R265" s="2" t="str">
        <f>IF($D265="","",IF(COUNTIF(DB_Categories_Export!$A:$A,$F265)&gt;0,"OK","INVALID CATEGORY"))</f>
        <v/>
      </c>
      <c r="S265" s="2" t="str">
        <f>IF($D265="","",COUNTIF(DB_Artwork_Sizes_Export!$B:$B,$D265))</f>
        <v/>
      </c>
      <c r="T265" s="2" t="str">
        <f>IF($D265="","",IFERROR(INDEX(DB_Artwork_Sizes_Export!$D:$D,MATCH($D265,DB_Artwork_Sizes_Export!$B:$B,0)),""))</f>
        <v/>
      </c>
      <c r="U265" s="2" t="str">
        <f>IF($D265="","",IFERROR(INDEX(DB_Artwork_Sizes_Export!$E:$E,MATCH($D265,DB_Artwork_Sizes_Export!$B:$B,0)),""))</f>
        <v/>
      </c>
      <c r="V265" s="2" t="str">
        <f>IF($D265="","",IFERROR(INDEX(DB_Artwork_Sizes_Export!$F:$F,MATCH($D265,DB_Artwork_Sizes_Export!$B:$B,0)),""))</f>
        <v/>
      </c>
      <c r="W265" s="2" t="str">
        <f t="shared" si="42"/>
        <v/>
      </c>
      <c r="X265" s="2"/>
      <c r="Y265" s="2"/>
      <c r="Z265" s="2"/>
      <c r="AA265" s="2"/>
      <c r="AB265" s="2"/>
      <c r="AC265" s="2"/>
      <c r="AD265" s="2"/>
      <c r="AE265" s="2"/>
      <c r="AF265" s="2" t="str">
        <f t="shared" si="43"/>
        <v/>
      </c>
      <c r="AG265" s="2" t="str">
        <f t="shared" si="44"/>
        <v/>
      </c>
      <c r="AH265" s="2" t="str">
        <f>IF($AG265="","",IFERROR(VLOOKUP($AG265,DB_Categories_Export!$A:$B,2,FALSE()),"INVALID CATEGORY"))</f>
        <v/>
      </c>
      <c r="AI265" s="2" t="str">
        <f t="shared" si="45"/>
        <v/>
      </c>
      <c r="AJ265" s="2" t="str">
        <f t="shared" si="46"/>
        <v/>
      </c>
      <c r="AK265" s="2" t="str">
        <f t="shared" si="47"/>
        <v/>
      </c>
      <c r="AL265" s="2" t="str">
        <f t="shared" si="48"/>
        <v/>
      </c>
      <c r="AM265" s="2" t="str">
        <f t="shared" si="49"/>
        <v/>
      </c>
      <c r="AN265" s="2"/>
      <c r="AO265" s="2"/>
    </row>
    <row r="266" spans="1:41" ht="12" customHeight="1" x14ac:dyDescent="0.3">
      <c r="A266" s="2"/>
      <c r="B266" s="2" t="str">
        <f t="shared" si="40"/>
        <v/>
      </c>
      <c r="C266" s="2" t="str">
        <f t="shared" si="41"/>
        <v/>
      </c>
      <c r="D266" s="2" t="str">
        <f>IF(DB_Artworks_Export!A266="","",DB_Artworks_Export!A266)</f>
        <v/>
      </c>
      <c r="E266" s="2" t="str">
        <f>IF(DB_Artworks_Export!B266="","",DB_Artworks_Export!B266)</f>
        <v/>
      </c>
      <c r="F266" s="2" t="str">
        <f>IF(DB_Artworks_Export!C266="","",DB_Artworks_Export!C266)</f>
        <v/>
      </c>
      <c r="G266" s="2" t="str">
        <f>IF(DB_Artworks_Export!D266="","",DB_Artworks_Export!D266)</f>
        <v/>
      </c>
      <c r="H266" s="2" t="str">
        <f>IF(DB_Artworks_Export!E266="","",DB_Artworks_Export!E266)</f>
        <v/>
      </c>
      <c r="I266" s="2" t="str">
        <f>IF(DB_Artworks_Export!F266="","",DB_Artworks_Export!F266)</f>
        <v/>
      </c>
      <c r="J266" s="2" t="str">
        <f>IF(DB_Artworks_Export!G266="","",DB_Artworks_Export!G266)</f>
        <v/>
      </c>
      <c r="K266" s="2" t="str">
        <f>IF(DB_Artworks_Export!H266="","",DB_Artworks_Export!H266)</f>
        <v/>
      </c>
      <c r="L266" s="2" t="str">
        <f>IF(DB_Artworks_Export!I266="","",DB_Artworks_Export!I266)</f>
        <v/>
      </c>
      <c r="M266" s="2" t="str">
        <f>IF(DB_Artworks_Export!J266="","",DB_Artworks_Export!J266)</f>
        <v/>
      </c>
      <c r="N266" s="2" t="str">
        <f>IF(DB_Artworks_Export!K266="","",DB_Artworks_Export!K266)</f>
        <v/>
      </c>
      <c r="O266" s="2" t="str">
        <f>IF(DB_Artworks_Export!L266="","",DB_Artworks_Export!L266)</f>
        <v/>
      </c>
      <c r="P266" s="2" t="str">
        <f>IF(DB_Artworks_Export!M266="","",DB_Artworks_Export!M266)</f>
        <v/>
      </c>
      <c r="Q266" s="2" t="str">
        <f>IF(DB_Artworks_Export!N266="","",DB_Artworks_Export!N266)</f>
        <v/>
      </c>
      <c r="R266" s="2" t="str">
        <f>IF($D266="","",IF(COUNTIF(DB_Categories_Export!$A:$A,$F266)&gt;0,"OK","INVALID CATEGORY"))</f>
        <v/>
      </c>
      <c r="S266" s="2" t="str">
        <f>IF($D266="","",COUNTIF(DB_Artwork_Sizes_Export!$B:$B,$D266))</f>
        <v/>
      </c>
      <c r="T266" s="2" t="str">
        <f>IF($D266="","",IFERROR(INDEX(DB_Artwork_Sizes_Export!$D:$D,MATCH($D266,DB_Artwork_Sizes_Export!$B:$B,0)),""))</f>
        <v/>
      </c>
      <c r="U266" s="2" t="str">
        <f>IF($D266="","",IFERROR(INDEX(DB_Artwork_Sizes_Export!$E:$E,MATCH($D266,DB_Artwork_Sizes_Export!$B:$B,0)),""))</f>
        <v/>
      </c>
      <c r="V266" s="2" t="str">
        <f>IF($D266="","",IFERROR(INDEX(DB_Artwork_Sizes_Export!$F:$F,MATCH($D266,DB_Artwork_Sizes_Export!$B:$B,0)),""))</f>
        <v/>
      </c>
      <c r="W266" s="2" t="str">
        <f t="shared" si="42"/>
        <v/>
      </c>
      <c r="X266" s="2"/>
      <c r="Y266" s="2"/>
      <c r="Z266" s="2"/>
      <c r="AA266" s="2"/>
      <c r="AB266" s="2"/>
      <c r="AC266" s="2"/>
      <c r="AD266" s="2"/>
      <c r="AE266" s="2"/>
      <c r="AF266" s="2" t="str">
        <f t="shared" si="43"/>
        <v/>
      </c>
      <c r="AG266" s="2" t="str">
        <f t="shared" si="44"/>
        <v/>
      </c>
      <c r="AH266" s="2" t="str">
        <f>IF($AG266="","",IFERROR(VLOOKUP($AG266,DB_Categories_Export!$A:$B,2,FALSE()),"INVALID CATEGORY"))</f>
        <v/>
      </c>
      <c r="AI266" s="2" t="str">
        <f t="shared" si="45"/>
        <v/>
      </c>
      <c r="AJ266" s="2" t="str">
        <f t="shared" si="46"/>
        <v/>
      </c>
      <c r="AK266" s="2" t="str">
        <f t="shared" si="47"/>
        <v/>
      </c>
      <c r="AL266" s="2" t="str">
        <f t="shared" si="48"/>
        <v/>
      </c>
      <c r="AM266" s="2" t="str">
        <f t="shared" si="49"/>
        <v/>
      </c>
      <c r="AN266" s="2"/>
      <c r="AO266" s="2"/>
    </row>
    <row r="267" spans="1:41" ht="12" customHeight="1" x14ac:dyDescent="0.3">
      <c r="A267" s="2"/>
      <c r="B267" s="2" t="str">
        <f t="shared" si="40"/>
        <v/>
      </c>
      <c r="C267" s="2" t="str">
        <f t="shared" si="41"/>
        <v/>
      </c>
      <c r="D267" s="2" t="str">
        <f>IF(DB_Artworks_Export!A267="","",DB_Artworks_Export!A267)</f>
        <v/>
      </c>
      <c r="E267" s="2" t="str">
        <f>IF(DB_Artworks_Export!B267="","",DB_Artworks_Export!B267)</f>
        <v/>
      </c>
      <c r="F267" s="2" t="str">
        <f>IF(DB_Artworks_Export!C267="","",DB_Artworks_Export!C267)</f>
        <v/>
      </c>
      <c r="G267" s="2" t="str">
        <f>IF(DB_Artworks_Export!D267="","",DB_Artworks_Export!D267)</f>
        <v/>
      </c>
      <c r="H267" s="2" t="str">
        <f>IF(DB_Artworks_Export!E267="","",DB_Artworks_Export!E267)</f>
        <v/>
      </c>
      <c r="I267" s="2" t="str">
        <f>IF(DB_Artworks_Export!F267="","",DB_Artworks_Export!F267)</f>
        <v/>
      </c>
      <c r="J267" s="2" t="str">
        <f>IF(DB_Artworks_Export!G267="","",DB_Artworks_Export!G267)</f>
        <v/>
      </c>
      <c r="K267" s="2" t="str">
        <f>IF(DB_Artworks_Export!H267="","",DB_Artworks_Export!H267)</f>
        <v/>
      </c>
      <c r="L267" s="2" t="str">
        <f>IF(DB_Artworks_Export!I267="","",DB_Artworks_Export!I267)</f>
        <v/>
      </c>
      <c r="M267" s="2" t="str">
        <f>IF(DB_Artworks_Export!J267="","",DB_Artworks_Export!J267)</f>
        <v/>
      </c>
      <c r="N267" s="2" t="str">
        <f>IF(DB_Artworks_Export!K267="","",DB_Artworks_Export!K267)</f>
        <v/>
      </c>
      <c r="O267" s="2" t="str">
        <f>IF(DB_Artworks_Export!L267="","",DB_Artworks_Export!L267)</f>
        <v/>
      </c>
      <c r="P267" s="2" t="str">
        <f>IF(DB_Artworks_Export!M267="","",DB_Artworks_Export!M267)</f>
        <v/>
      </c>
      <c r="Q267" s="2" t="str">
        <f>IF(DB_Artworks_Export!N267="","",DB_Artworks_Export!N267)</f>
        <v/>
      </c>
      <c r="R267" s="2" t="str">
        <f>IF($D267="","",IF(COUNTIF(DB_Categories_Export!$A:$A,$F267)&gt;0,"OK","INVALID CATEGORY"))</f>
        <v/>
      </c>
      <c r="S267" s="2" t="str">
        <f>IF($D267="","",COUNTIF(DB_Artwork_Sizes_Export!$B:$B,$D267))</f>
        <v/>
      </c>
      <c r="T267" s="2" t="str">
        <f>IF($D267="","",IFERROR(INDEX(DB_Artwork_Sizes_Export!$D:$D,MATCH($D267,DB_Artwork_Sizes_Export!$B:$B,0)),""))</f>
        <v/>
      </c>
      <c r="U267" s="2" t="str">
        <f>IF($D267="","",IFERROR(INDEX(DB_Artwork_Sizes_Export!$E:$E,MATCH($D267,DB_Artwork_Sizes_Export!$B:$B,0)),""))</f>
        <v/>
      </c>
      <c r="V267" s="2" t="str">
        <f>IF($D267="","",IFERROR(INDEX(DB_Artwork_Sizes_Export!$F:$F,MATCH($D267,DB_Artwork_Sizes_Export!$B:$B,0)),""))</f>
        <v/>
      </c>
      <c r="W267" s="2" t="str">
        <f t="shared" si="42"/>
        <v/>
      </c>
      <c r="X267" s="2"/>
      <c r="Y267" s="2"/>
      <c r="Z267" s="2"/>
      <c r="AA267" s="2"/>
      <c r="AB267" s="2"/>
      <c r="AC267" s="2"/>
      <c r="AD267" s="2"/>
      <c r="AE267" s="2"/>
      <c r="AF267" s="2" t="str">
        <f t="shared" si="43"/>
        <v/>
      </c>
      <c r="AG267" s="2" t="str">
        <f t="shared" si="44"/>
        <v/>
      </c>
      <c r="AH267" s="2" t="str">
        <f>IF($AG267="","",IFERROR(VLOOKUP($AG267,DB_Categories_Export!$A:$B,2,FALSE()),"INVALID CATEGORY"))</f>
        <v/>
      </c>
      <c r="AI267" s="2" t="str">
        <f t="shared" si="45"/>
        <v/>
      </c>
      <c r="AJ267" s="2" t="str">
        <f t="shared" si="46"/>
        <v/>
      </c>
      <c r="AK267" s="2" t="str">
        <f t="shared" si="47"/>
        <v/>
      </c>
      <c r="AL267" s="2" t="str">
        <f t="shared" si="48"/>
        <v/>
      </c>
      <c r="AM267" s="2" t="str">
        <f t="shared" si="49"/>
        <v/>
      </c>
      <c r="AN267" s="2"/>
      <c r="AO267" s="2"/>
    </row>
    <row r="268" spans="1:41" ht="12" customHeight="1" x14ac:dyDescent="0.3">
      <c r="A268" s="2"/>
      <c r="B268" s="2" t="str">
        <f t="shared" si="40"/>
        <v/>
      </c>
      <c r="C268" s="2" t="str">
        <f t="shared" si="41"/>
        <v/>
      </c>
      <c r="D268" s="2" t="str">
        <f>IF(DB_Artworks_Export!A268="","",DB_Artworks_Export!A268)</f>
        <v/>
      </c>
      <c r="E268" s="2" t="str">
        <f>IF(DB_Artworks_Export!B268="","",DB_Artworks_Export!B268)</f>
        <v/>
      </c>
      <c r="F268" s="2" t="str">
        <f>IF(DB_Artworks_Export!C268="","",DB_Artworks_Export!C268)</f>
        <v/>
      </c>
      <c r="G268" s="2" t="str">
        <f>IF(DB_Artworks_Export!D268="","",DB_Artworks_Export!D268)</f>
        <v/>
      </c>
      <c r="H268" s="2" t="str">
        <f>IF(DB_Artworks_Export!E268="","",DB_Artworks_Export!E268)</f>
        <v/>
      </c>
      <c r="I268" s="2" t="str">
        <f>IF(DB_Artworks_Export!F268="","",DB_Artworks_Export!F268)</f>
        <v/>
      </c>
      <c r="J268" s="2" t="str">
        <f>IF(DB_Artworks_Export!G268="","",DB_Artworks_Export!G268)</f>
        <v/>
      </c>
      <c r="K268" s="2" t="str">
        <f>IF(DB_Artworks_Export!H268="","",DB_Artworks_Export!H268)</f>
        <v/>
      </c>
      <c r="L268" s="2" t="str">
        <f>IF(DB_Artworks_Export!I268="","",DB_Artworks_Export!I268)</f>
        <v/>
      </c>
      <c r="M268" s="2" t="str">
        <f>IF(DB_Artworks_Export!J268="","",DB_Artworks_Export!J268)</f>
        <v/>
      </c>
      <c r="N268" s="2" t="str">
        <f>IF(DB_Artworks_Export!K268="","",DB_Artworks_Export!K268)</f>
        <v/>
      </c>
      <c r="O268" s="2" t="str">
        <f>IF(DB_Artworks_Export!L268="","",DB_Artworks_Export!L268)</f>
        <v/>
      </c>
      <c r="P268" s="2" t="str">
        <f>IF(DB_Artworks_Export!M268="","",DB_Artworks_Export!M268)</f>
        <v/>
      </c>
      <c r="Q268" s="2" t="str">
        <f>IF(DB_Artworks_Export!N268="","",DB_Artworks_Export!N268)</f>
        <v/>
      </c>
      <c r="R268" s="2" t="str">
        <f>IF($D268="","",IF(COUNTIF(DB_Categories_Export!$A:$A,$F268)&gt;0,"OK","INVALID CATEGORY"))</f>
        <v/>
      </c>
      <c r="S268" s="2" t="str">
        <f>IF($D268="","",COUNTIF(DB_Artwork_Sizes_Export!$B:$B,$D268))</f>
        <v/>
      </c>
      <c r="T268" s="2" t="str">
        <f>IF($D268="","",IFERROR(INDEX(DB_Artwork_Sizes_Export!$D:$D,MATCH($D268,DB_Artwork_Sizes_Export!$B:$B,0)),""))</f>
        <v/>
      </c>
      <c r="U268" s="2" t="str">
        <f>IF($D268="","",IFERROR(INDEX(DB_Artwork_Sizes_Export!$E:$E,MATCH($D268,DB_Artwork_Sizes_Export!$B:$B,0)),""))</f>
        <v/>
      </c>
      <c r="V268" s="2" t="str">
        <f>IF($D268="","",IFERROR(INDEX(DB_Artwork_Sizes_Export!$F:$F,MATCH($D268,DB_Artwork_Sizes_Export!$B:$B,0)),""))</f>
        <v/>
      </c>
      <c r="W268" s="2" t="str">
        <f t="shared" si="42"/>
        <v/>
      </c>
      <c r="X268" s="2"/>
      <c r="Y268" s="2"/>
      <c r="Z268" s="2"/>
      <c r="AA268" s="2"/>
      <c r="AB268" s="2"/>
      <c r="AC268" s="2"/>
      <c r="AD268" s="2"/>
      <c r="AE268" s="2"/>
      <c r="AF268" s="2" t="str">
        <f t="shared" si="43"/>
        <v/>
      </c>
      <c r="AG268" s="2" t="str">
        <f t="shared" si="44"/>
        <v/>
      </c>
      <c r="AH268" s="2" t="str">
        <f>IF($AG268="","",IFERROR(VLOOKUP($AG268,DB_Categories_Export!$A:$B,2,FALSE()),"INVALID CATEGORY"))</f>
        <v/>
      </c>
      <c r="AI268" s="2" t="str">
        <f t="shared" si="45"/>
        <v/>
      </c>
      <c r="AJ268" s="2" t="str">
        <f t="shared" si="46"/>
        <v/>
      </c>
      <c r="AK268" s="2" t="str">
        <f t="shared" si="47"/>
        <v/>
      </c>
      <c r="AL268" s="2" t="str">
        <f t="shared" si="48"/>
        <v/>
      </c>
      <c r="AM268" s="2" t="str">
        <f t="shared" si="49"/>
        <v/>
      </c>
      <c r="AN268" s="2"/>
      <c r="AO268" s="2"/>
    </row>
    <row r="269" spans="1:41" ht="12" customHeight="1" x14ac:dyDescent="0.3">
      <c r="A269" s="2"/>
      <c r="B269" s="2" t="str">
        <f t="shared" si="40"/>
        <v/>
      </c>
      <c r="C269" s="2" t="str">
        <f t="shared" si="41"/>
        <v/>
      </c>
      <c r="D269" s="2" t="str">
        <f>IF(DB_Artworks_Export!A269="","",DB_Artworks_Export!A269)</f>
        <v/>
      </c>
      <c r="E269" s="2" t="str">
        <f>IF(DB_Artworks_Export!B269="","",DB_Artworks_Export!B269)</f>
        <v/>
      </c>
      <c r="F269" s="2" t="str">
        <f>IF(DB_Artworks_Export!C269="","",DB_Artworks_Export!C269)</f>
        <v/>
      </c>
      <c r="G269" s="2" t="str">
        <f>IF(DB_Artworks_Export!D269="","",DB_Artworks_Export!D269)</f>
        <v/>
      </c>
      <c r="H269" s="2" t="str">
        <f>IF(DB_Artworks_Export!E269="","",DB_Artworks_Export!E269)</f>
        <v/>
      </c>
      <c r="I269" s="2" t="str">
        <f>IF(DB_Artworks_Export!F269="","",DB_Artworks_Export!F269)</f>
        <v/>
      </c>
      <c r="J269" s="2" t="str">
        <f>IF(DB_Artworks_Export!G269="","",DB_Artworks_Export!G269)</f>
        <v/>
      </c>
      <c r="K269" s="2" t="str">
        <f>IF(DB_Artworks_Export!H269="","",DB_Artworks_Export!H269)</f>
        <v/>
      </c>
      <c r="L269" s="2" t="str">
        <f>IF(DB_Artworks_Export!I269="","",DB_Artworks_Export!I269)</f>
        <v/>
      </c>
      <c r="M269" s="2" t="str">
        <f>IF(DB_Artworks_Export!J269="","",DB_Artworks_Export!J269)</f>
        <v/>
      </c>
      <c r="N269" s="2" t="str">
        <f>IF(DB_Artworks_Export!K269="","",DB_Artworks_Export!K269)</f>
        <v/>
      </c>
      <c r="O269" s="2" t="str">
        <f>IF(DB_Artworks_Export!L269="","",DB_Artworks_Export!L269)</f>
        <v/>
      </c>
      <c r="P269" s="2" t="str">
        <f>IF(DB_Artworks_Export!M269="","",DB_Artworks_Export!M269)</f>
        <v/>
      </c>
      <c r="Q269" s="2" t="str">
        <f>IF(DB_Artworks_Export!N269="","",DB_Artworks_Export!N269)</f>
        <v/>
      </c>
      <c r="R269" s="2" t="str">
        <f>IF($D269="","",IF(COUNTIF(DB_Categories_Export!$A:$A,$F269)&gt;0,"OK","INVALID CATEGORY"))</f>
        <v/>
      </c>
      <c r="S269" s="2" t="str">
        <f>IF($D269="","",COUNTIF(DB_Artwork_Sizes_Export!$B:$B,$D269))</f>
        <v/>
      </c>
      <c r="T269" s="2" t="str">
        <f>IF($D269="","",IFERROR(INDEX(DB_Artwork_Sizes_Export!$D:$D,MATCH($D269,DB_Artwork_Sizes_Export!$B:$B,0)),""))</f>
        <v/>
      </c>
      <c r="U269" s="2" t="str">
        <f>IF($D269="","",IFERROR(INDEX(DB_Artwork_Sizes_Export!$E:$E,MATCH($D269,DB_Artwork_Sizes_Export!$B:$B,0)),""))</f>
        <v/>
      </c>
      <c r="V269" s="2" t="str">
        <f>IF($D269="","",IFERROR(INDEX(DB_Artwork_Sizes_Export!$F:$F,MATCH($D269,DB_Artwork_Sizes_Export!$B:$B,0)),""))</f>
        <v/>
      </c>
      <c r="W269" s="2" t="str">
        <f t="shared" si="42"/>
        <v/>
      </c>
      <c r="X269" s="2"/>
      <c r="Y269" s="2"/>
      <c r="Z269" s="2"/>
      <c r="AA269" s="2"/>
      <c r="AB269" s="2"/>
      <c r="AC269" s="2"/>
      <c r="AD269" s="2"/>
      <c r="AE269" s="2"/>
      <c r="AF269" s="2" t="str">
        <f t="shared" si="43"/>
        <v/>
      </c>
      <c r="AG269" s="2" t="str">
        <f t="shared" si="44"/>
        <v/>
      </c>
      <c r="AH269" s="2" t="str">
        <f>IF($AG269="","",IFERROR(VLOOKUP($AG269,DB_Categories_Export!$A:$B,2,FALSE()),"INVALID CATEGORY"))</f>
        <v/>
      </c>
      <c r="AI269" s="2" t="str">
        <f t="shared" si="45"/>
        <v/>
      </c>
      <c r="AJ269" s="2" t="str">
        <f t="shared" si="46"/>
        <v/>
      </c>
      <c r="AK269" s="2" t="str">
        <f t="shared" si="47"/>
        <v/>
      </c>
      <c r="AL269" s="2" t="str">
        <f t="shared" si="48"/>
        <v/>
      </c>
      <c r="AM269" s="2" t="str">
        <f t="shared" si="49"/>
        <v/>
      </c>
      <c r="AN269" s="2"/>
      <c r="AO269" s="2"/>
    </row>
    <row r="270" spans="1:41" ht="12" customHeight="1" x14ac:dyDescent="0.3">
      <c r="A270" s="2"/>
      <c r="B270" s="2" t="str">
        <f t="shared" si="40"/>
        <v/>
      </c>
      <c r="C270" s="2" t="str">
        <f t="shared" si="41"/>
        <v/>
      </c>
      <c r="D270" s="2" t="str">
        <f>IF(DB_Artworks_Export!A270="","",DB_Artworks_Export!A270)</f>
        <v/>
      </c>
      <c r="E270" s="2" t="str">
        <f>IF(DB_Artworks_Export!B270="","",DB_Artworks_Export!B270)</f>
        <v/>
      </c>
      <c r="F270" s="2" t="str">
        <f>IF(DB_Artworks_Export!C270="","",DB_Artworks_Export!C270)</f>
        <v/>
      </c>
      <c r="G270" s="2" t="str">
        <f>IF(DB_Artworks_Export!D270="","",DB_Artworks_Export!D270)</f>
        <v/>
      </c>
      <c r="H270" s="2" t="str">
        <f>IF(DB_Artworks_Export!E270="","",DB_Artworks_Export!E270)</f>
        <v/>
      </c>
      <c r="I270" s="2" t="str">
        <f>IF(DB_Artworks_Export!F270="","",DB_Artworks_Export!F270)</f>
        <v/>
      </c>
      <c r="J270" s="2" t="str">
        <f>IF(DB_Artworks_Export!G270="","",DB_Artworks_Export!G270)</f>
        <v/>
      </c>
      <c r="K270" s="2" t="str">
        <f>IF(DB_Artworks_Export!H270="","",DB_Artworks_Export!H270)</f>
        <v/>
      </c>
      <c r="L270" s="2" t="str">
        <f>IF(DB_Artworks_Export!I270="","",DB_Artworks_Export!I270)</f>
        <v/>
      </c>
      <c r="M270" s="2" t="str">
        <f>IF(DB_Artworks_Export!J270="","",DB_Artworks_Export!J270)</f>
        <v/>
      </c>
      <c r="N270" s="2" t="str">
        <f>IF(DB_Artworks_Export!K270="","",DB_Artworks_Export!K270)</f>
        <v/>
      </c>
      <c r="O270" s="2" t="str">
        <f>IF(DB_Artworks_Export!L270="","",DB_Artworks_Export!L270)</f>
        <v/>
      </c>
      <c r="P270" s="2" t="str">
        <f>IF(DB_Artworks_Export!M270="","",DB_Artworks_Export!M270)</f>
        <v/>
      </c>
      <c r="Q270" s="2" t="str">
        <f>IF(DB_Artworks_Export!N270="","",DB_Artworks_Export!N270)</f>
        <v/>
      </c>
      <c r="R270" s="2" t="str">
        <f>IF($D270="","",IF(COUNTIF(DB_Categories_Export!$A:$A,$F270)&gt;0,"OK","INVALID CATEGORY"))</f>
        <v/>
      </c>
      <c r="S270" s="2" t="str">
        <f>IF($D270="","",COUNTIF(DB_Artwork_Sizes_Export!$B:$B,$D270))</f>
        <v/>
      </c>
      <c r="T270" s="2" t="str">
        <f>IF($D270="","",IFERROR(INDEX(DB_Artwork_Sizes_Export!$D:$D,MATCH($D270,DB_Artwork_Sizes_Export!$B:$B,0)),""))</f>
        <v/>
      </c>
      <c r="U270" s="2" t="str">
        <f>IF($D270="","",IFERROR(INDEX(DB_Artwork_Sizes_Export!$E:$E,MATCH($D270,DB_Artwork_Sizes_Export!$B:$B,0)),""))</f>
        <v/>
      </c>
      <c r="V270" s="2" t="str">
        <f>IF($D270="","",IFERROR(INDEX(DB_Artwork_Sizes_Export!$F:$F,MATCH($D270,DB_Artwork_Sizes_Export!$B:$B,0)),""))</f>
        <v/>
      </c>
      <c r="W270" s="2" t="str">
        <f t="shared" si="42"/>
        <v/>
      </c>
      <c r="X270" s="2"/>
      <c r="Y270" s="2"/>
      <c r="Z270" s="2"/>
      <c r="AA270" s="2"/>
      <c r="AB270" s="2"/>
      <c r="AC270" s="2"/>
      <c r="AD270" s="2"/>
      <c r="AE270" s="2"/>
      <c r="AF270" s="2" t="str">
        <f t="shared" si="43"/>
        <v/>
      </c>
      <c r="AG270" s="2" t="str">
        <f t="shared" si="44"/>
        <v/>
      </c>
      <c r="AH270" s="2" t="str">
        <f>IF($AG270="","",IFERROR(VLOOKUP($AG270,DB_Categories_Export!$A:$B,2,FALSE()),"INVALID CATEGORY"))</f>
        <v/>
      </c>
      <c r="AI270" s="2" t="str">
        <f t="shared" si="45"/>
        <v/>
      </c>
      <c r="AJ270" s="2" t="str">
        <f t="shared" si="46"/>
        <v/>
      </c>
      <c r="AK270" s="2" t="str">
        <f t="shared" si="47"/>
        <v/>
      </c>
      <c r="AL270" s="2" t="str">
        <f t="shared" si="48"/>
        <v/>
      </c>
      <c r="AM270" s="2" t="str">
        <f t="shared" si="49"/>
        <v/>
      </c>
      <c r="AN270" s="2"/>
      <c r="AO270" s="2"/>
    </row>
    <row r="271" spans="1:41" ht="12" customHeight="1" x14ac:dyDescent="0.3">
      <c r="A271" s="2"/>
      <c r="B271" s="2" t="str">
        <f t="shared" si="40"/>
        <v/>
      </c>
      <c r="C271" s="2" t="str">
        <f t="shared" si="41"/>
        <v/>
      </c>
      <c r="D271" s="2" t="str">
        <f>IF(DB_Artworks_Export!A271="","",DB_Artworks_Export!A271)</f>
        <v/>
      </c>
      <c r="E271" s="2" t="str">
        <f>IF(DB_Artworks_Export!B271="","",DB_Artworks_Export!B271)</f>
        <v/>
      </c>
      <c r="F271" s="2" t="str">
        <f>IF(DB_Artworks_Export!C271="","",DB_Artworks_Export!C271)</f>
        <v/>
      </c>
      <c r="G271" s="2" t="str">
        <f>IF(DB_Artworks_Export!D271="","",DB_Artworks_Export!D271)</f>
        <v/>
      </c>
      <c r="H271" s="2" t="str">
        <f>IF(DB_Artworks_Export!E271="","",DB_Artworks_Export!E271)</f>
        <v/>
      </c>
      <c r="I271" s="2" t="str">
        <f>IF(DB_Artworks_Export!F271="","",DB_Artworks_Export!F271)</f>
        <v/>
      </c>
      <c r="J271" s="2" t="str">
        <f>IF(DB_Artworks_Export!G271="","",DB_Artworks_Export!G271)</f>
        <v/>
      </c>
      <c r="K271" s="2" t="str">
        <f>IF(DB_Artworks_Export!H271="","",DB_Artworks_Export!H271)</f>
        <v/>
      </c>
      <c r="L271" s="2" t="str">
        <f>IF(DB_Artworks_Export!I271="","",DB_Artworks_Export!I271)</f>
        <v/>
      </c>
      <c r="M271" s="2" t="str">
        <f>IF(DB_Artworks_Export!J271="","",DB_Artworks_Export!J271)</f>
        <v/>
      </c>
      <c r="N271" s="2" t="str">
        <f>IF(DB_Artworks_Export!K271="","",DB_Artworks_Export!K271)</f>
        <v/>
      </c>
      <c r="O271" s="2" t="str">
        <f>IF(DB_Artworks_Export!L271="","",DB_Artworks_Export!L271)</f>
        <v/>
      </c>
      <c r="P271" s="2" t="str">
        <f>IF(DB_Artworks_Export!M271="","",DB_Artworks_Export!M271)</f>
        <v/>
      </c>
      <c r="Q271" s="2" t="str">
        <f>IF(DB_Artworks_Export!N271="","",DB_Artworks_Export!N271)</f>
        <v/>
      </c>
      <c r="R271" s="2" t="str">
        <f>IF($D271="","",IF(COUNTIF(DB_Categories_Export!$A:$A,$F271)&gt;0,"OK","INVALID CATEGORY"))</f>
        <v/>
      </c>
      <c r="S271" s="2" t="str">
        <f>IF($D271="","",COUNTIF(DB_Artwork_Sizes_Export!$B:$B,$D271))</f>
        <v/>
      </c>
      <c r="T271" s="2" t="str">
        <f>IF($D271="","",IFERROR(INDEX(DB_Artwork_Sizes_Export!$D:$D,MATCH($D271,DB_Artwork_Sizes_Export!$B:$B,0)),""))</f>
        <v/>
      </c>
      <c r="U271" s="2" t="str">
        <f>IF($D271="","",IFERROR(INDEX(DB_Artwork_Sizes_Export!$E:$E,MATCH($D271,DB_Artwork_Sizes_Export!$B:$B,0)),""))</f>
        <v/>
      </c>
      <c r="V271" s="2" t="str">
        <f>IF($D271="","",IFERROR(INDEX(DB_Artwork_Sizes_Export!$F:$F,MATCH($D271,DB_Artwork_Sizes_Export!$B:$B,0)),""))</f>
        <v/>
      </c>
      <c r="W271" s="2" t="str">
        <f t="shared" si="42"/>
        <v/>
      </c>
      <c r="X271" s="2"/>
      <c r="Y271" s="2"/>
      <c r="Z271" s="2"/>
      <c r="AA271" s="2"/>
      <c r="AB271" s="2"/>
      <c r="AC271" s="2"/>
      <c r="AD271" s="2"/>
      <c r="AE271" s="2"/>
      <c r="AF271" s="2" t="str">
        <f t="shared" si="43"/>
        <v/>
      </c>
      <c r="AG271" s="2" t="str">
        <f t="shared" si="44"/>
        <v/>
      </c>
      <c r="AH271" s="2" t="str">
        <f>IF($AG271="","",IFERROR(VLOOKUP($AG271,DB_Categories_Export!$A:$B,2,FALSE()),"INVALID CATEGORY"))</f>
        <v/>
      </c>
      <c r="AI271" s="2" t="str">
        <f t="shared" si="45"/>
        <v/>
      </c>
      <c r="AJ271" s="2" t="str">
        <f t="shared" si="46"/>
        <v/>
      </c>
      <c r="AK271" s="2" t="str">
        <f t="shared" si="47"/>
        <v/>
      </c>
      <c r="AL271" s="2" t="str">
        <f t="shared" si="48"/>
        <v/>
      </c>
      <c r="AM271" s="2" t="str">
        <f t="shared" si="49"/>
        <v/>
      </c>
      <c r="AN271" s="2"/>
      <c r="AO271" s="2"/>
    </row>
    <row r="272" spans="1:41" ht="12" customHeight="1" x14ac:dyDescent="0.3">
      <c r="A272" s="2"/>
      <c r="B272" s="2" t="str">
        <f t="shared" si="40"/>
        <v/>
      </c>
      <c r="C272" s="2" t="str">
        <f t="shared" si="41"/>
        <v/>
      </c>
      <c r="D272" s="2" t="str">
        <f>IF(DB_Artworks_Export!A272="","",DB_Artworks_Export!A272)</f>
        <v/>
      </c>
      <c r="E272" s="2" t="str">
        <f>IF(DB_Artworks_Export!B272="","",DB_Artworks_Export!B272)</f>
        <v/>
      </c>
      <c r="F272" s="2" t="str">
        <f>IF(DB_Artworks_Export!C272="","",DB_Artworks_Export!C272)</f>
        <v/>
      </c>
      <c r="G272" s="2" t="str">
        <f>IF(DB_Artworks_Export!D272="","",DB_Artworks_Export!D272)</f>
        <v/>
      </c>
      <c r="H272" s="2" t="str">
        <f>IF(DB_Artworks_Export!E272="","",DB_Artworks_Export!E272)</f>
        <v/>
      </c>
      <c r="I272" s="2" t="str">
        <f>IF(DB_Artworks_Export!F272="","",DB_Artworks_Export!F272)</f>
        <v/>
      </c>
      <c r="J272" s="2" t="str">
        <f>IF(DB_Artworks_Export!G272="","",DB_Artworks_Export!G272)</f>
        <v/>
      </c>
      <c r="K272" s="2" t="str">
        <f>IF(DB_Artworks_Export!H272="","",DB_Artworks_Export!H272)</f>
        <v/>
      </c>
      <c r="L272" s="2" t="str">
        <f>IF(DB_Artworks_Export!I272="","",DB_Artworks_Export!I272)</f>
        <v/>
      </c>
      <c r="M272" s="2" t="str">
        <f>IF(DB_Artworks_Export!J272="","",DB_Artworks_Export!J272)</f>
        <v/>
      </c>
      <c r="N272" s="2" t="str">
        <f>IF(DB_Artworks_Export!K272="","",DB_Artworks_Export!K272)</f>
        <v/>
      </c>
      <c r="O272" s="2" t="str">
        <f>IF(DB_Artworks_Export!L272="","",DB_Artworks_Export!L272)</f>
        <v/>
      </c>
      <c r="P272" s="2" t="str">
        <f>IF(DB_Artworks_Export!M272="","",DB_Artworks_Export!M272)</f>
        <v/>
      </c>
      <c r="Q272" s="2" t="str">
        <f>IF(DB_Artworks_Export!N272="","",DB_Artworks_Export!N272)</f>
        <v/>
      </c>
      <c r="R272" s="2" t="str">
        <f>IF($D272="","",IF(COUNTIF(DB_Categories_Export!$A:$A,$F272)&gt;0,"OK","INVALID CATEGORY"))</f>
        <v/>
      </c>
      <c r="S272" s="2" t="str">
        <f>IF($D272="","",COUNTIF(DB_Artwork_Sizes_Export!$B:$B,$D272))</f>
        <v/>
      </c>
      <c r="T272" s="2" t="str">
        <f>IF($D272="","",IFERROR(INDEX(DB_Artwork_Sizes_Export!$D:$D,MATCH($D272,DB_Artwork_Sizes_Export!$B:$B,0)),""))</f>
        <v/>
      </c>
      <c r="U272" s="2" t="str">
        <f>IF($D272="","",IFERROR(INDEX(DB_Artwork_Sizes_Export!$E:$E,MATCH($D272,DB_Artwork_Sizes_Export!$B:$B,0)),""))</f>
        <v/>
      </c>
      <c r="V272" s="2" t="str">
        <f>IF($D272="","",IFERROR(INDEX(DB_Artwork_Sizes_Export!$F:$F,MATCH($D272,DB_Artwork_Sizes_Export!$B:$B,0)),""))</f>
        <v/>
      </c>
      <c r="W272" s="2" t="str">
        <f t="shared" si="42"/>
        <v/>
      </c>
      <c r="X272" s="2"/>
      <c r="Y272" s="2"/>
      <c r="Z272" s="2"/>
      <c r="AA272" s="2"/>
      <c r="AB272" s="2"/>
      <c r="AC272" s="2"/>
      <c r="AD272" s="2"/>
      <c r="AE272" s="2"/>
      <c r="AF272" s="2" t="str">
        <f t="shared" si="43"/>
        <v/>
      </c>
      <c r="AG272" s="2" t="str">
        <f t="shared" si="44"/>
        <v/>
      </c>
      <c r="AH272" s="2" t="str">
        <f>IF($AG272="","",IFERROR(VLOOKUP($AG272,DB_Categories_Export!$A:$B,2,FALSE()),"INVALID CATEGORY"))</f>
        <v/>
      </c>
      <c r="AI272" s="2" t="str">
        <f t="shared" si="45"/>
        <v/>
      </c>
      <c r="AJ272" s="2" t="str">
        <f t="shared" si="46"/>
        <v/>
      </c>
      <c r="AK272" s="2" t="str">
        <f t="shared" si="47"/>
        <v/>
      </c>
      <c r="AL272" s="2" t="str">
        <f t="shared" si="48"/>
        <v/>
      </c>
      <c r="AM272" s="2" t="str">
        <f t="shared" si="49"/>
        <v/>
      </c>
      <c r="AN272" s="2"/>
      <c r="AO272" s="2"/>
    </row>
    <row r="273" spans="1:41" ht="12" customHeight="1" x14ac:dyDescent="0.3">
      <c r="A273" s="2"/>
      <c r="B273" s="2" t="str">
        <f t="shared" si="40"/>
        <v/>
      </c>
      <c r="C273" s="2" t="str">
        <f t="shared" si="41"/>
        <v/>
      </c>
      <c r="D273" s="2" t="str">
        <f>IF(DB_Artworks_Export!A273="","",DB_Artworks_Export!A273)</f>
        <v/>
      </c>
      <c r="E273" s="2" t="str">
        <f>IF(DB_Artworks_Export!B273="","",DB_Artworks_Export!B273)</f>
        <v/>
      </c>
      <c r="F273" s="2" t="str">
        <f>IF(DB_Artworks_Export!C273="","",DB_Artworks_Export!C273)</f>
        <v/>
      </c>
      <c r="G273" s="2" t="str">
        <f>IF(DB_Artworks_Export!D273="","",DB_Artworks_Export!D273)</f>
        <v/>
      </c>
      <c r="H273" s="2" t="str">
        <f>IF(DB_Artworks_Export!E273="","",DB_Artworks_Export!E273)</f>
        <v/>
      </c>
      <c r="I273" s="2" t="str">
        <f>IF(DB_Artworks_Export!F273="","",DB_Artworks_Export!F273)</f>
        <v/>
      </c>
      <c r="J273" s="2" t="str">
        <f>IF(DB_Artworks_Export!G273="","",DB_Artworks_Export!G273)</f>
        <v/>
      </c>
      <c r="K273" s="2" t="str">
        <f>IF(DB_Artworks_Export!H273="","",DB_Artworks_Export!H273)</f>
        <v/>
      </c>
      <c r="L273" s="2" t="str">
        <f>IF(DB_Artworks_Export!I273="","",DB_Artworks_Export!I273)</f>
        <v/>
      </c>
      <c r="M273" s="2" t="str">
        <f>IF(DB_Artworks_Export!J273="","",DB_Artworks_Export!J273)</f>
        <v/>
      </c>
      <c r="N273" s="2" t="str">
        <f>IF(DB_Artworks_Export!K273="","",DB_Artworks_Export!K273)</f>
        <v/>
      </c>
      <c r="O273" s="2" t="str">
        <f>IF(DB_Artworks_Export!L273="","",DB_Artworks_Export!L273)</f>
        <v/>
      </c>
      <c r="P273" s="2" t="str">
        <f>IF(DB_Artworks_Export!M273="","",DB_Artworks_Export!M273)</f>
        <v/>
      </c>
      <c r="Q273" s="2" t="str">
        <f>IF(DB_Artworks_Export!N273="","",DB_Artworks_Export!N273)</f>
        <v/>
      </c>
      <c r="R273" s="2" t="str">
        <f>IF($D273="","",IF(COUNTIF(DB_Categories_Export!$A:$A,$F273)&gt;0,"OK","INVALID CATEGORY"))</f>
        <v/>
      </c>
      <c r="S273" s="2" t="str">
        <f>IF($D273="","",COUNTIF(DB_Artwork_Sizes_Export!$B:$B,$D273))</f>
        <v/>
      </c>
      <c r="T273" s="2" t="str">
        <f>IF($D273="","",IFERROR(INDEX(DB_Artwork_Sizes_Export!$D:$D,MATCH($D273,DB_Artwork_Sizes_Export!$B:$B,0)),""))</f>
        <v/>
      </c>
      <c r="U273" s="2" t="str">
        <f>IF($D273="","",IFERROR(INDEX(DB_Artwork_Sizes_Export!$E:$E,MATCH($D273,DB_Artwork_Sizes_Export!$B:$B,0)),""))</f>
        <v/>
      </c>
      <c r="V273" s="2" t="str">
        <f>IF($D273="","",IFERROR(INDEX(DB_Artwork_Sizes_Export!$F:$F,MATCH($D273,DB_Artwork_Sizes_Export!$B:$B,0)),""))</f>
        <v/>
      </c>
      <c r="W273" s="2" t="str">
        <f t="shared" si="42"/>
        <v/>
      </c>
      <c r="X273" s="2"/>
      <c r="Y273" s="2"/>
      <c r="Z273" s="2"/>
      <c r="AA273" s="2"/>
      <c r="AB273" s="2"/>
      <c r="AC273" s="2"/>
      <c r="AD273" s="2"/>
      <c r="AE273" s="2"/>
      <c r="AF273" s="2" t="str">
        <f t="shared" si="43"/>
        <v/>
      </c>
      <c r="AG273" s="2" t="str">
        <f t="shared" si="44"/>
        <v/>
      </c>
      <c r="AH273" s="2" t="str">
        <f>IF($AG273="","",IFERROR(VLOOKUP($AG273,DB_Categories_Export!$A:$B,2,FALSE()),"INVALID CATEGORY"))</f>
        <v/>
      </c>
      <c r="AI273" s="2" t="str">
        <f t="shared" si="45"/>
        <v/>
      </c>
      <c r="AJ273" s="2" t="str">
        <f t="shared" si="46"/>
        <v/>
      </c>
      <c r="AK273" s="2" t="str">
        <f t="shared" si="47"/>
        <v/>
      </c>
      <c r="AL273" s="2" t="str">
        <f t="shared" si="48"/>
        <v/>
      </c>
      <c r="AM273" s="2" t="str">
        <f t="shared" si="49"/>
        <v/>
      </c>
      <c r="AN273" s="2"/>
      <c r="AO273" s="2"/>
    </row>
    <row r="274" spans="1:41" ht="12" customHeight="1" x14ac:dyDescent="0.3">
      <c r="A274" s="2"/>
      <c r="B274" s="2" t="str">
        <f t="shared" si="40"/>
        <v/>
      </c>
      <c r="C274" s="2" t="str">
        <f t="shared" si="41"/>
        <v/>
      </c>
      <c r="D274" s="2" t="str">
        <f>IF(DB_Artworks_Export!A274="","",DB_Artworks_Export!A274)</f>
        <v/>
      </c>
      <c r="E274" s="2" t="str">
        <f>IF(DB_Artworks_Export!B274="","",DB_Artworks_Export!B274)</f>
        <v/>
      </c>
      <c r="F274" s="2" t="str">
        <f>IF(DB_Artworks_Export!C274="","",DB_Artworks_Export!C274)</f>
        <v/>
      </c>
      <c r="G274" s="2" t="str">
        <f>IF(DB_Artworks_Export!D274="","",DB_Artworks_Export!D274)</f>
        <v/>
      </c>
      <c r="H274" s="2" t="str">
        <f>IF(DB_Artworks_Export!E274="","",DB_Artworks_Export!E274)</f>
        <v/>
      </c>
      <c r="I274" s="2" t="str">
        <f>IF(DB_Artworks_Export!F274="","",DB_Artworks_Export!F274)</f>
        <v/>
      </c>
      <c r="J274" s="2" t="str">
        <f>IF(DB_Artworks_Export!G274="","",DB_Artworks_Export!G274)</f>
        <v/>
      </c>
      <c r="K274" s="2" t="str">
        <f>IF(DB_Artworks_Export!H274="","",DB_Artworks_Export!H274)</f>
        <v/>
      </c>
      <c r="L274" s="2" t="str">
        <f>IF(DB_Artworks_Export!I274="","",DB_Artworks_Export!I274)</f>
        <v/>
      </c>
      <c r="M274" s="2" t="str">
        <f>IF(DB_Artworks_Export!J274="","",DB_Artworks_Export!J274)</f>
        <v/>
      </c>
      <c r="N274" s="2" t="str">
        <f>IF(DB_Artworks_Export!K274="","",DB_Artworks_Export!K274)</f>
        <v/>
      </c>
      <c r="O274" s="2" t="str">
        <f>IF(DB_Artworks_Export!L274="","",DB_Artworks_Export!L274)</f>
        <v/>
      </c>
      <c r="P274" s="2" t="str">
        <f>IF(DB_Artworks_Export!M274="","",DB_Artworks_Export!M274)</f>
        <v/>
      </c>
      <c r="Q274" s="2" t="str">
        <f>IF(DB_Artworks_Export!N274="","",DB_Artworks_Export!N274)</f>
        <v/>
      </c>
      <c r="R274" s="2" t="str">
        <f>IF($D274="","",IF(COUNTIF(DB_Categories_Export!$A:$A,$F274)&gt;0,"OK","INVALID CATEGORY"))</f>
        <v/>
      </c>
      <c r="S274" s="2" t="str">
        <f>IF($D274="","",COUNTIF(DB_Artwork_Sizes_Export!$B:$B,$D274))</f>
        <v/>
      </c>
      <c r="T274" s="2" t="str">
        <f>IF($D274="","",IFERROR(INDEX(DB_Artwork_Sizes_Export!$D:$D,MATCH($D274,DB_Artwork_Sizes_Export!$B:$B,0)),""))</f>
        <v/>
      </c>
      <c r="U274" s="2" t="str">
        <f>IF($D274="","",IFERROR(INDEX(DB_Artwork_Sizes_Export!$E:$E,MATCH($D274,DB_Artwork_Sizes_Export!$B:$B,0)),""))</f>
        <v/>
      </c>
      <c r="V274" s="2" t="str">
        <f>IF($D274="","",IFERROR(INDEX(DB_Artwork_Sizes_Export!$F:$F,MATCH($D274,DB_Artwork_Sizes_Export!$B:$B,0)),""))</f>
        <v/>
      </c>
      <c r="W274" s="2" t="str">
        <f t="shared" si="42"/>
        <v/>
      </c>
      <c r="X274" s="2"/>
      <c r="Y274" s="2"/>
      <c r="Z274" s="2"/>
      <c r="AA274" s="2"/>
      <c r="AB274" s="2"/>
      <c r="AC274" s="2"/>
      <c r="AD274" s="2"/>
      <c r="AE274" s="2"/>
      <c r="AF274" s="2" t="str">
        <f t="shared" si="43"/>
        <v/>
      </c>
      <c r="AG274" s="2" t="str">
        <f t="shared" si="44"/>
        <v/>
      </c>
      <c r="AH274" s="2" t="str">
        <f>IF($AG274="","",IFERROR(VLOOKUP($AG274,DB_Categories_Export!$A:$B,2,FALSE()),"INVALID CATEGORY"))</f>
        <v/>
      </c>
      <c r="AI274" s="2" t="str">
        <f t="shared" si="45"/>
        <v/>
      </c>
      <c r="AJ274" s="2" t="str">
        <f t="shared" si="46"/>
        <v/>
      </c>
      <c r="AK274" s="2" t="str">
        <f t="shared" si="47"/>
        <v/>
      </c>
      <c r="AL274" s="2" t="str">
        <f t="shared" si="48"/>
        <v/>
      </c>
      <c r="AM274" s="2" t="str">
        <f t="shared" si="49"/>
        <v/>
      </c>
      <c r="AN274" s="2"/>
      <c r="AO274" s="2"/>
    </row>
    <row r="275" spans="1:41" ht="12" customHeight="1" x14ac:dyDescent="0.3">
      <c r="A275" s="2"/>
      <c r="B275" s="2" t="str">
        <f t="shared" si="40"/>
        <v/>
      </c>
      <c r="C275" s="2" t="str">
        <f t="shared" si="41"/>
        <v/>
      </c>
      <c r="D275" s="2" t="str">
        <f>IF(DB_Artworks_Export!A275="","",DB_Artworks_Export!A275)</f>
        <v/>
      </c>
      <c r="E275" s="2" t="str">
        <f>IF(DB_Artworks_Export!B275="","",DB_Artworks_Export!B275)</f>
        <v/>
      </c>
      <c r="F275" s="2" t="str">
        <f>IF(DB_Artworks_Export!C275="","",DB_Artworks_Export!C275)</f>
        <v/>
      </c>
      <c r="G275" s="2" t="str">
        <f>IF(DB_Artworks_Export!D275="","",DB_Artworks_Export!D275)</f>
        <v/>
      </c>
      <c r="H275" s="2" t="str">
        <f>IF(DB_Artworks_Export!E275="","",DB_Artworks_Export!E275)</f>
        <v/>
      </c>
      <c r="I275" s="2" t="str">
        <f>IF(DB_Artworks_Export!F275="","",DB_Artworks_Export!F275)</f>
        <v/>
      </c>
      <c r="J275" s="2" t="str">
        <f>IF(DB_Artworks_Export!G275="","",DB_Artworks_Export!G275)</f>
        <v/>
      </c>
      <c r="K275" s="2" t="str">
        <f>IF(DB_Artworks_Export!H275="","",DB_Artworks_Export!H275)</f>
        <v/>
      </c>
      <c r="L275" s="2" t="str">
        <f>IF(DB_Artworks_Export!I275="","",DB_Artworks_Export!I275)</f>
        <v/>
      </c>
      <c r="M275" s="2" t="str">
        <f>IF(DB_Artworks_Export!J275="","",DB_Artworks_Export!J275)</f>
        <v/>
      </c>
      <c r="N275" s="2" t="str">
        <f>IF(DB_Artworks_Export!K275="","",DB_Artworks_Export!K275)</f>
        <v/>
      </c>
      <c r="O275" s="2" t="str">
        <f>IF(DB_Artworks_Export!L275="","",DB_Artworks_Export!L275)</f>
        <v/>
      </c>
      <c r="P275" s="2" t="str">
        <f>IF(DB_Artworks_Export!M275="","",DB_Artworks_Export!M275)</f>
        <v/>
      </c>
      <c r="Q275" s="2" t="str">
        <f>IF(DB_Artworks_Export!N275="","",DB_Artworks_Export!N275)</f>
        <v/>
      </c>
      <c r="R275" s="2" t="str">
        <f>IF($D275="","",IF(COUNTIF(DB_Categories_Export!$A:$A,$F275)&gt;0,"OK","INVALID CATEGORY"))</f>
        <v/>
      </c>
      <c r="S275" s="2" t="str">
        <f>IF($D275="","",COUNTIF(DB_Artwork_Sizes_Export!$B:$B,$D275))</f>
        <v/>
      </c>
      <c r="T275" s="2" t="str">
        <f>IF($D275="","",IFERROR(INDEX(DB_Artwork_Sizes_Export!$D:$D,MATCH($D275,DB_Artwork_Sizes_Export!$B:$B,0)),""))</f>
        <v/>
      </c>
      <c r="U275" s="2" t="str">
        <f>IF($D275="","",IFERROR(INDEX(DB_Artwork_Sizes_Export!$E:$E,MATCH($D275,DB_Artwork_Sizes_Export!$B:$B,0)),""))</f>
        <v/>
      </c>
      <c r="V275" s="2" t="str">
        <f>IF($D275="","",IFERROR(INDEX(DB_Artwork_Sizes_Export!$F:$F,MATCH($D275,DB_Artwork_Sizes_Export!$B:$B,0)),""))</f>
        <v/>
      </c>
      <c r="W275" s="2" t="str">
        <f t="shared" si="42"/>
        <v/>
      </c>
      <c r="X275" s="2"/>
      <c r="Y275" s="2"/>
      <c r="Z275" s="2"/>
      <c r="AA275" s="2"/>
      <c r="AB275" s="2"/>
      <c r="AC275" s="2"/>
      <c r="AD275" s="2"/>
      <c r="AE275" s="2"/>
      <c r="AF275" s="2" t="str">
        <f t="shared" si="43"/>
        <v/>
      </c>
      <c r="AG275" s="2" t="str">
        <f t="shared" si="44"/>
        <v/>
      </c>
      <c r="AH275" s="2" t="str">
        <f>IF($AG275="","",IFERROR(VLOOKUP($AG275,DB_Categories_Export!$A:$B,2,FALSE()),"INVALID CATEGORY"))</f>
        <v/>
      </c>
      <c r="AI275" s="2" t="str">
        <f t="shared" si="45"/>
        <v/>
      </c>
      <c r="AJ275" s="2" t="str">
        <f t="shared" si="46"/>
        <v/>
      </c>
      <c r="AK275" s="2" t="str">
        <f t="shared" si="47"/>
        <v/>
      </c>
      <c r="AL275" s="2" t="str">
        <f t="shared" si="48"/>
        <v/>
      </c>
      <c r="AM275" s="2" t="str">
        <f t="shared" si="49"/>
        <v/>
      </c>
      <c r="AN275" s="2"/>
      <c r="AO275" s="2"/>
    </row>
    <row r="276" spans="1:41" ht="12" customHeight="1" x14ac:dyDescent="0.3">
      <c r="A276" s="2"/>
      <c r="B276" s="2" t="str">
        <f t="shared" si="40"/>
        <v/>
      </c>
      <c r="C276" s="2" t="str">
        <f t="shared" si="41"/>
        <v/>
      </c>
      <c r="D276" s="2" t="str">
        <f>IF(DB_Artworks_Export!A276="","",DB_Artworks_Export!A276)</f>
        <v/>
      </c>
      <c r="E276" s="2" t="str">
        <f>IF(DB_Artworks_Export!B276="","",DB_Artworks_Export!B276)</f>
        <v/>
      </c>
      <c r="F276" s="2" t="str">
        <f>IF(DB_Artworks_Export!C276="","",DB_Artworks_Export!C276)</f>
        <v/>
      </c>
      <c r="G276" s="2" t="str">
        <f>IF(DB_Artworks_Export!D276="","",DB_Artworks_Export!D276)</f>
        <v/>
      </c>
      <c r="H276" s="2" t="str">
        <f>IF(DB_Artworks_Export!E276="","",DB_Artworks_Export!E276)</f>
        <v/>
      </c>
      <c r="I276" s="2" t="str">
        <f>IF(DB_Artworks_Export!F276="","",DB_Artworks_Export!F276)</f>
        <v/>
      </c>
      <c r="J276" s="2" t="str">
        <f>IF(DB_Artworks_Export!G276="","",DB_Artworks_Export!G276)</f>
        <v/>
      </c>
      <c r="K276" s="2" t="str">
        <f>IF(DB_Artworks_Export!H276="","",DB_Artworks_Export!H276)</f>
        <v/>
      </c>
      <c r="L276" s="2" t="str">
        <f>IF(DB_Artworks_Export!I276="","",DB_Artworks_Export!I276)</f>
        <v/>
      </c>
      <c r="M276" s="2" t="str">
        <f>IF(DB_Artworks_Export!J276="","",DB_Artworks_Export!J276)</f>
        <v/>
      </c>
      <c r="N276" s="2" t="str">
        <f>IF(DB_Artworks_Export!K276="","",DB_Artworks_Export!K276)</f>
        <v/>
      </c>
      <c r="O276" s="2" t="str">
        <f>IF(DB_Artworks_Export!L276="","",DB_Artworks_Export!L276)</f>
        <v/>
      </c>
      <c r="P276" s="2" t="str">
        <f>IF(DB_Artworks_Export!M276="","",DB_Artworks_Export!M276)</f>
        <v/>
      </c>
      <c r="Q276" s="2" t="str">
        <f>IF(DB_Artworks_Export!N276="","",DB_Artworks_Export!N276)</f>
        <v/>
      </c>
      <c r="R276" s="2" t="str">
        <f>IF($D276="","",IF(COUNTIF(DB_Categories_Export!$A:$A,$F276)&gt;0,"OK","INVALID CATEGORY"))</f>
        <v/>
      </c>
      <c r="S276" s="2" t="str">
        <f>IF($D276="","",COUNTIF(DB_Artwork_Sizes_Export!$B:$B,$D276))</f>
        <v/>
      </c>
      <c r="T276" s="2" t="str">
        <f>IF($D276="","",IFERROR(INDEX(DB_Artwork_Sizes_Export!$D:$D,MATCH($D276,DB_Artwork_Sizes_Export!$B:$B,0)),""))</f>
        <v/>
      </c>
      <c r="U276" s="2" t="str">
        <f>IF($D276="","",IFERROR(INDEX(DB_Artwork_Sizes_Export!$E:$E,MATCH($D276,DB_Artwork_Sizes_Export!$B:$B,0)),""))</f>
        <v/>
      </c>
      <c r="V276" s="2" t="str">
        <f>IF($D276="","",IFERROR(INDEX(DB_Artwork_Sizes_Export!$F:$F,MATCH($D276,DB_Artwork_Sizes_Export!$B:$B,0)),""))</f>
        <v/>
      </c>
      <c r="W276" s="2" t="str">
        <f t="shared" si="42"/>
        <v/>
      </c>
      <c r="X276" s="2"/>
      <c r="Y276" s="2"/>
      <c r="Z276" s="2"/>
      <c r="AA276" s="2"/>
      <c r="AB276" s="2"/>
      <c r="AC276" s="2"/>
      <c r="AD276" s="2"/>
      <c r="AE276" s="2"/>
      <c r="AF276" s="2" t="str">
        <f t="shared" si="43"/>
        <v/>
      </c>
      <c r="AG276" s="2" t="str">
        <f t="shared" si="44"/>
        <v/>
      </c>
      <c r="AH276" s="2" t="str">
        <f>IF($AG276="","",IFERROR(VLOOKUP($AG276,DB_Categories_Export!$A:$B,2,FALSE()),"INVALID CATEGORY"))</f>
        <v/>
      </c>
      <c r="AI276" s="2" t="str">
        <f t="shared" si="45"/>
        <v/>
      </c>
      <c r="AJ276" s="2" t="str">
        <f t="shared" si="46"/>
        <v/>
      </c>
      <c r="AK276" s="2" t="str">
        <f t="shared" si="47"/>
        <v/>
      </c>
      <c r="AL276" s="2" t="str">
        <f t="shared" si="48"/>
        <v/>
      </c>
      <c r="AM276" s="2" t="str">
        <f t="shared" si="49"/>
        <v/>
      </c>
      <c r="AN276" s="2"/>
      <c r="AO276" s="2"/>
    </row>
    <row r="277" spans="1:41" ht="12" customHeight="1" x14ac:dyDescent="0.3">
      <c r="A277" s="2"/>
      <c r="B277" s="2" t="str">
        <f t="shared" si="40"/>
        <v/>
      </c>
      <c r="C277" s="2" t="str">
        <f t="shared" si="41"/>
        <v/>
      </c>
      <c r="D277" s="2" t="str">
        <f>IF(DB_Artworks_Export!A277="","",DB_Artworks_Export!A277)</f>
        <v/>
      </c>
      <c r="E277" s="2" t="str">
        <f>IF(DB_Artworks_Export!B277="","",DB_Artworks_Export!B277)</f>
        <v/>
      </c>
      <c r="F277" s="2" t="str">
        <f>IF(DB_Artworks_Export!C277="","",DB_Artworks_Export!C277)</f>
        <v/>
      </c>
      <c r="G277" s="2" t="str">
        <f>IF(DB_Artworks_Export!D277="","",DB_Artworks_Export!D277)</f>
        <v/>
      </c>
      <c r="H277" s="2" t="str">
        <f>IF(DB_Artworks_Export!E277="","",DB_Artworks_Export!E277)</f>
        <v/>
      </c>
      <c r="I277" s="2" t="str">
        <f>IF(DB_Artworks_Export!F277="","",DB_Artworks_Export!F277)</f>
        <v/>
      </c>
      <c r="J277" s="2" t="str">
        <f>IF(DB_Artworks_Export!G277="","",DB_Artworks_Export!G277)</f>
        <v/>
      </c>
      <c r="K277" s="2" t="str">
        <f>IF(DB_Artworks_Export!H277="","",DB_Artworks_Export!H277)</f>
        <v/>
      </c>
      <c r="L277" s="2" t="str">
        <f>IF(DB_Artworks_Export!I277="","",DB_Artworks_Export!I277)</f>
        <v/>
      </c>
      <c r="M277" s="2" t="str">
        <f>IF(DB_Artworks_Export!J277="","",DB_Artworks_Export!J277)</f>
        <v/>
      </c>
      <c r="N277" s="2" t="str">
        <f>IF(DB_Artworks_Export!K277="","",DB_Artworks_Export!K277)</f>
        <v/>
      </c>
      <c r="O277" s="2" t="str">
        <f>IF(DB_Artworks_Export!L277="","",DB_Artworks_Export!L277)</f>
        <v/>
      </c>
      <c r="P277" s="2" t="str">
        <f>IF(DB_Artworks_Export!M277="","",DB_Artworks_Export!M277)</f>
        <v/>
      </c>
      <c r="Q277" s="2" t="str">
        <f>IF(DB_Artworks_Export!N277="","",DB_Artworks_Export!N277)</f>
        <v/>
      </c>
      <c r="R277" s="2" t="str">
        <f>IF($D277="","",IF(COUNTIF(DB_Categories_Export!$A:$A,$F277)&gt;0,"OK","INVALID CATEGORY"))</f>
        <v/>
      </c>
      <c r="S277" s="2" t="str">
        <f>IF($D277="","",COUNTIF(DB_Artwork_Sizes_Export!$B:$B,$D277))</f>
        <v/>
      </c>
      <c r="T277" s="2" t="str">
        <f>IF($D277="","",IFERROR(INDEX(DB_Artwork_Sizes_Export!$D:$D,MATCH($D277,DB_Artwork_Sizes_Export!$B:$B,0)),""))</f>
        <v/>
      </c>
      <c r="U277" s="2" t="str">
        <f>IF($D277="","",IFERROR(INDEX(DB_Artwork_Sizes_Export!$E:$E,MATCH($D277,DB_Artwork_Sizes_Export!$B:$B,0)),""))</f>
        <v/>
      </c>
      <c r="V277" s="2" t="str">
        <f>IF($D277="","",IFERROR(INDEX(DB_Artwork_Sizes_Export!$F:$F,MATCH($D277,DB_Artwork_Sizes_Export!$B:$B,0)),""))</f>
        <v/>
      </c>
      <c r="W277" s="2" t="str">
        <f t="shared" si="42"/>
        <v/>
      </c>
      <c r="X277" s="2"/>
      <c r="Y277" s="2"/>
      <c r="Z277" s="2"/>
      <c r="AA277" s="2"/>
      <c r="AB277" s="2"/>
      <c r="AC277" s="2"/>
      <c r="AD277" s="2"/>
      <c r="AE277" s="2"/>
      <c r="AF277" s="2" t="str">
        <f t="shared" si="43"/>
        <v/>
      </c>
      <c r="AG277" s="2" t="str">
        <f t="shared" si="44"/>
        <v/>
      </c>
      <c r="AH277" s="2" t="str">
        <f>IF($AG277="","",IFERROR(VLOOKUP($AG277,DB_Categories_Export!$A:$B,2,FALSE()),"INVALID CATEGORY"))</f>
        <v/>
      </c>
      <c r="AI277" s="2" t="str">
        <f t="shared" si="45"/>
        <v/>
      </c>
      <c r="AJ277" s="2" t="str">
        <f t="shared" si="46"/>
        <v/>
      </c>
      <c r="AK277" s="2" t="str">
        <f t="shared" si="47"/>
        <v/>
      </c>
      <c r="AL277" s="2" t="str">
        <f t="shared" si="48"/>
        <v/>
      </c>
      <c r="AM277" s="2" t="str">
        <f t="shared" si="49"/>
        <v/>
      </c>
      <c r="AN277" s="2"/>
      <c r="AO277" s="2"/>
    </row>
    <row r="278" spans="1:41" ht="12" customHeight="1" x14ac:dyDescent="0.3">
      <c r="A278" s="2"/>
      <c r="B278" s="2" t="str">
        <f t="shared" si="40"/>
        <v/>
      </c>
      <c r="C278" s="2" t="str">
        <f t="shared" si="41"/>
        <v/>
      </c>
      <c r="D278" s="2" t="str">
        <f>IF(DB_Artworks_Export!A278="","",DB_Artworks_Export!A278)</f>
        <v/>
      </c>
      <c r="E278" s="2" t="str">
        <f>IF(DB_Artworks_Export!B278="","",DB_Artworks_Export!B278)</f>
        <v/>
      </c>
      <c r="F278" s="2" t="str">
        <f>IF(DB_Artworks_Export!C278="","",DB_Artworks_Export!C278)</f>
        <v/>
      </c>
      <c r="G278" s="2" t="str">
        <f>IF(DB_Artworks_Export!D278="","",DB_Artworks_Export!D278)</f>
        <v/>
      </c>
      <c r="H278" s="2" t="str">
        <f>IF(DB_Artworks_Export!E278="","",DB_Artworks_Export!E278)</f>
        <v/>
      </c>
      <c r="I278" s="2" t="str">
        <f>IF(DB_Artworks_Export!F278="","",DB_Artworks_Export!F278)</f>
        <v/>
      </c>
      <c r="J278" s="2" t="str">
        <f>IF(DB_Artworks_Export!G278="","",DB_Artworks_Export!G278)</f>
        <v/>
      </c>
      <c r="K278" s="2" t="str">
        <f>IF(DB_Artworks_Export!H278="","",DB_Artworks_Export!H278)</f>
        <v/>
      </c>
      <c r="L278" s="2" t="str">
        <f>IF(DB_Artworks_Export!I278="","",DB_Artworks_Export!I278)</f>
        <v/>
      </c>
      <c r="M278" s="2" t="str">
        <f>IF(DB_Artworks_Export!J278="","",DB_Artworks_Export!J278)</f>
        <v/>
      </c>
      <c r="N278" s="2" t="str">
        <f>IF(DB_Artworks_Export!K278="","",DB_Artworks_Export!K278)</f>
        <v/>
      </c>
      <c r="O278" s="2" t="str">
        <f>IF(DB_Artworks_Export!L278="","",DB_Artworks_Export!L278)</f>
        <v/>
      </c>
      <c r="P278" s="2" t="str">
        <f>IF(DB_Artworks_Export!M278="","",DB_Artworks_Export!M278)</f>
        <v/>
      </c>
      <c r="Q278" s="2" t="str">
        <f>IF(DB_Artworks_Export!N278="","",DB_Artworks_Export!N278)</f>
        <v/>
      </c>
      <c r="R278" s="2" t="str">
        <f>IF($D278="","",IF(COUNTIF(DB_Categories_Export!$A:$A,$F278)&gt;0,"OK","INVALID CATEGORY"))</f>
        <v/>
      </c>
      <c r="S278" s="2" t="str">
        <f>IF($D278="","",COUNTIF(DB_Artwork_Sizes_Export!$B:$B,$D278))</f>
        <v/>
      </c>
      <c r="T278" s="2" t="str">
        <f>IF($D278="","",IFERROR(INDEX(DB_Artwork_Sizes_Export!$D:$D,MATCH($D278,DB_Artwork_Sizes_Export!$B:$B,0)),""))</f>
        <v/>
      </c>
      <c r="U278" s="2" t="str">
        <f>IF($D278="","",IFERROR(INDEX(DB_Artwork_Sizes_Export!$E:$E,MATCH($D278,DB_Artwork_Sizes_Export!$B:$B,0)),""))</f>
        <v/>
      </c>
      <c r="V278" s="2" t="str">
        <f>IF($D278="","",IFERROR(INDEX(DB_Artwork_Sizes_Export!$F:$F,MATCH($D278,DB_Artwork_Sizes_Export!$B:$B,0)),""))</f>
        <v/>
      </c>
      <c r="W278" s="2" t="str">
        <f t="shared" si="42"/>
        <v/>
      </c>
      <c r="X278" s="2"/>
      <c r="Y278" s="2"/>
      <c r="Z278" s="2"/>
      <c r="AA278" s="2"/>
      <c r="AB278" s="2"/>
      <c r="AC278" s="2"/>
      <c r="AD278" s="2"/>
      <c r="AE278" s="2"/>
      <c r="AF278" s="2" t="str">
        <f t="shared" si="43"/>
        <v/>
      </c>
      <c r="AG278" s="2" t="str">
        <f t="shared" si="44"/>
        <v/>
      </c>
      <c r="AH278" s="2" t="str">
        <f>IF($AG278="","",IFERROR(VLOOKUP($AG278,DB_Categories_Export!$A:$B,2,FALSE()),"INVALID CATEGORY"))</f>
        <v/>
      </c>
      <c r="AI278" s="2" t="str">
        <f t="shared" si="45"/>
        <v/>
      </c>
      <c r="AJ278" s="2" t="str">
        <f t="shared" si="46"/>
        <v/>
      </c>
      <c r="AK278" s="2" t="str">
        <f t="shared" si="47"/>
        <v/>
      </c>
      <c r="AL278" s="2" t="str">
        <f t="shared" si="48"/>
        <v/>
      </c>
      <c r="AM278" s="2" t="str">
        <f t="shared" si="49"/>
        <v/>
      </c>
      <c r="AN278" s="2"/>
      <c r="AO278" s="2"/>
    </row>
    <row r="279" spans="1:41" ht="12" customHeight="1" x14ac:dyDescent="0.3">
      <c r="A279" s="2"/>
      <c r="B279" s="2" t="str">
        <f t="shared" si="40"/>
        <v/>
      </c>
      <c r="C279" s="2" t="str">
        <f t="shared" si="41"/>
        <v/>
      </c>
      <c r="D279" s="2" t="str">
        <f>IF(DB_Artworks_Export!A279="","",DB_Artworks_Export!A279)</f>
        <v/>
      </c>
      <c r="E279" s="2" t="str">
        <f>IF(DB_Artworks_Export!B279="","",DB_Artworks_Export!B279)</f>
        <v/>
      </c>
      <c r="F279" s="2" t="str">
        <f>IF(DB_Artworks_Export!C279="","",DB_Artworks_Export!C279)</f>
        <v/>
      </c>
      <c r="G279" s="2" t="str">
        <f>IF(DB_Artworks_Export!D279="","",DB_Artworks_Export!D279)</f>
        <v/>
      </c>
      <c r="H279" s="2" t="str">
        <f>IF(DB_Artworks_Export!E279="","",DB_Artworks_Export!E279)</f>
        <v/>
      </c>
      <c r="I279" s="2" t="str">
        <f>IF(DB_Artworks_Export!F279="","",DB_Artworks_Export!F279)</f>
        <v/>
      </c>
      <c r="J279" s="2" t="str">
        <f>IF(DB_Artworks_Export!G279="","",DB_Artworks_Export!G279)</f>
        <v/>
      </c>
      <c r="K279" s="2" t="str">
        <f>IF(DB_Artworks_Export!H279="","",DB_Artworks_Export!H279)</f>
        <v/>
      </c>
      <c r="L279" s="2" t="str">
        <f>IF(DB_Artworks_Export!I279="","",DB_Artworks_Export!I279)</f>
        <v/>
      </c>
      <c r="M279" s="2" t="str">
        <f>IF(DB_Artworks_Export!J279="","",DB_Artworks_Export!J279)</f>
        <v/>
      </c>
      <c r="N279" s="2" t="str">
        <f>IF(DB_Artworks_Export!K279="","",DB_Artworks_Export!K279)</f>
        <v/>
      </c>
      <c r="O279" s="2" t="str">
        <f>IF(DB_Artworks_Export!L279="","",DB_Artworks_Export!L279)</f>
        <v/>
      </c>
      <c r="P279" s="2" t="str">
        <f>IF(DB_Artworks_Export!M279="","",DB_Artworks_Export!M279)</f>
        <v/>
      </c>
      <c r="Q279" s="2" t="str">
        <f>IF(DB_Artworks_Export!N279="","",DB_Artworks_Export!N279)</f>
        <v/>
      </c>
      <c r="R279" s="2" t="str">
        <f>IF($D279="","",IF(COUNTIF(DB_Categories_Export!$A:$A,$F279)&gt;0,"OK","INVALID CATEGORY"))</f>
        <v/>
      </c>
      <c r="S279" s="2" t="str">
        <f>IF($D279="","",COUNTIF(DB_Artwork_Sizes_Export!$B:$B,$D279))</f>
        <v/>
      </c>
      <c r="T279" s="2" t="str">
        <f>IF($D279="","",IFERROR(INDEX(DB_Artwork_Sizes_Export!$D:$D,MATCH($D279,DB_Artwork_Sizes_Export!$B:$B,0)),""))</f>
        <v/>
      </c>
      <c r="U279" s="2" t="str">
        <f>IF($D279="","",IFERROR(INDEX(DB_Artwork_Sizes_Export!$E:$E,MATCH($D279,DB_Artwork_Sizes_Export!$B:$B,0)),""))</f>
        <v/>
      </c>
      <c r="V279" s="2" t="str">
        <f>IF($D279="","",IFERROR(INDEX(DB_Artwork_Sizes_Export!$F:$F,MATCH($D279,DB_Artwork_Sizes_Export!$B:$B,0)),""))</f>
        <v/>
      </c>
      <c r="W279" s="2" t="str">
        <f t="shared" si="42"/>
        <v/>
      </c>
      <c r="X279" s="2"/>
      <c r="Y279" s="2"/>
      <c r="Z279" s="2"/>
      <c r="AA279" s="2"/>
      <c r="AB279" s="2"/>
      <c r="AC279" s="2"/>
      <c r="AD279" s="2"/>
      <c r="AE279" s="2"/>
      <c r="AF279" s="2" t="str">
        <f t="shared" si="43"/>
        <v/>
      </c>
      <c r="AG279" s="2" t="str">
        <f t="shared" si="44"/>
        <v/>
      </c>
      <c r="AH279" s="2" t="str">
        <f>IF($AG279="","",IFERROR(VLOOKUP($AG279,DB_Categories_Export!$A:$B,2,FALSE()),"INVALID CATEGORY"))</f>
        <v/>
      </c>
      <c r="AI279" s="2" t="str">
        <f t="shared" si="45"/>
        <v/>
      </c>
      <c r="AJ279" s="2" t="str">
        <f t="shared" si="46"/>
        <v/>
      </c>
      <c r="AK279" s="2" t="str">
        <f t="shared" si="47"/>
        <v/>
      </c>
      <c r="AL279" s="2" t="str">
        <f t="shared" si="48"/>
        <v/>
      </c>
      <c r="AM279" s="2" t="str">
        <f t="shared" si="49"/>
        <v/>
      </c>
      <c r="AN279" s="2"/>
      <c r="AO279" s="2"/>
    </row>
    <row r="280" spans="1:41" ht="12" customHeight="1" x14ac:dyDescent="0.3">
      <c r="A280" s="2"/>
      <c r="B280" s="2" t="str">
        <f t="shared" si="40"/>
        <v/>
      </c>
      <c r="C280" s="2" t="str">
        <f t="shared" si="41"/>
        <v/>
      </c>
      <c r="D280" s="2" t="str">
        <f>IF(DB_Artworks_Export!A280="","",DB_Artworks_Export!A280)</f>
        <v/>
      </c>
      <c r="E280" s="2" t="str">
        <f>IF(DB_Artworks_Export!B280="","",DB_Artworks_Export!B280)</f>
        <v/>
      </c>
      <c r="F280" s="2" t="str">
        <f>IF(DB_Artworks_Export!C280="","",DB_Artworks_Export!C280)</f>
        <v/>
      </c>
      <c r="G280" s="2" t="str">
        <f>IF(DB_Artworks_Export!D280="","",DB_Artworks_Export!D280)</f>
        <v/>
      </c>
      <c r="H280" s="2" t="str">
        <f>IF(DB_Artworks_Export!E280="","",DB_Artworks_Export!E280)</f>
        <v/>
      </c>
      <c r="I280" s="2" t="str">
        <f>IF(DB_Artworks_Export!F280="","",DB_Artworks_Export!F280)</f>
        <v/>
      </c>
      <c r="J280" s="2" t="str">
        <f>IF(DB_Artworks_Export!G280="","",DB_Artworks_Export!G280)</f>
        <v/>
      </c>
      <c r="K280" s="2" t="str">
        <f>IF(DB_Artworks_Export!H280="","",DB_Artworks_Export!H280)</f>
        <v/>
      </c>
      <c r="L280" s="2" t="str">
        <f>IF(DB_Artworks_Export!I280="","",DB_Artworks_Export!I280)</f>
        <v/>
      </c>
      <c r="M280" s="2" t="str">
        <f>IF(DB_Artworks_Export!J280="","",DB_Artworks_Export!J280)</f>
        <v/>
      </c>
      <c r="N280" s="2" t="str">
        <f>IF(DB_Artworks_Export!K280="","",DB_Artworks_Export!K280)</f>
        <v/>
      </c>
      <c r="O280" s="2" t="str">
        <f>IF(DB_Artworks_Export!L280="","",DB_Artworks_Export!L280)</f>
        <v/>
      </c>
      <c r="P280" s="2" t="str">
        <f>IF(DB_Artworks_Export!M280="","",DB_Artworks_Export!M280)</f>
        <v/>
      </c>
      <c r="Q280" s="2" t="str">
        <f>IF(DB_Artworks_Export!N280="","",DB_Artworks_Export!N280)</f>
        <v/>
      </c>
      <c r="R280" s="2" t="str">
        <f>IF($D280="","",IF(COUNTIF(DB_Categories_Export!$A:$A,$F280)&gt;0,"OK","INVALID CATEGORY"))</f>
        <v/>
      </c>
      <c r="S280" s="2" t="str">
        <f>IF($D280="","",COUNTIF(DB_Artwork_Sizes_Export!$B:$B,$D280))</f>
        <v/>
      </c>
      <c r="T280" s="2" t="str">
        <f>IF($D280="","",IFERROR(INDEX(DB_Artwork_Sizes_Export!$D:$D,MATCH($D280,DB_Artwork_Sizes_Export!$B:$B,0)),""))</f>
        <v/>
      </c>
      <c r="U280" s="2" t="str">
        <f>IF($D280="","",IFERROR(INDEX(DB_Artwork_Sizes_Export!$E:$E,MATCH($D280,DB_Artwork_Sizes_Export!$B:$B,0)),""))</f>
        <v/>
      </c>
      <c r="V280" s="2" t="str">
        <f>IF($D280="","",IFERROR(INDEX(DB_Artwork_Sizes_Export!$F:$F,MATCH($D280,DB_Artwork_Sizes_Export!$B:$B,0)),""))</f>
        <v/>
      </c>
      <c r="W280" s="2" t="str">
        <f t="shared" si="42"/>
        <v/>
      </c>
      <c r="X280" s="2"/>
      <c r="Y280" s="2"/>
      <c r="Z280" s="2"/>
      <c r="AA280" s="2"/>
      <c r="AB280" s="2"/>
      <c r="AC280" s="2"/>
      <c r="AD280" s="2"/>
      <c r="AE280" s="2"/>
      <c r="AF280" s="2" t="str">
        <f t="shared" si="43"/>
        <v/>
      </c>
      <c r="AG280" s="2" t="str">
        <f t="shared" si="44"/>
        <v/>
      </c>
      <c r="AH280" s="2" t="str">
        <f>IF($AG280="","",IFERROR(VLOOKUP($AG280,DB_Categories_Export!$A:$B,2,FALSE()),"INVALID CATEGORY"))</f>
        <v/>
      </c>
      <c r="AI280" s="2" t="str">
        <f t="shared" si="45"/>
        <v/>
      </c>
      <c r="AJ280" s="2" t="str">
        <f t="shared" si="46"/>
        <v/>
      </c>
      <c r="AK280" s="2" t="str">
        <f t="shared" si="47"/>
        <v/>
      </c>
      <c r="AL280" s="2" t="str">
        <f t="shared" si="48"/>
        <v/>
      </c>
      <c r="AM280" s="2" t="str">
        <f t="shared" si="49"/>
        <v/>
      </c>
      <c r="AN280" s="2"/>
      <c r="AO280" s="2"/>
    </row>
    <row r="281" spans="1:41" ht="12" customHeight="1" x14ac:dyDescent="0.3">
      <c r="A281" s="2"/>
      <c r="B281" s="2" t="str">
        <f t="shared" si="40"/>
        <v/>
      </c>
      <c r="C281" s="2" t="str">
        <f t="shared" si="41"/>
        <v/>
      </c>
      <c r="D281" s="2" t="str">
        <f>IF(DB_Artworks_Export!A281="","",DB_Artworks_Export!A281)</f>
        <v/>
      </c>
      <c r="E281" s="2" t="str">
        <f>IF(DB_Artworks_Export!B281="","",DB_Artworks_Export!B281)</f>
        <v/>
      </c>
      <c r="F281" s="2" t="str">
        <f>IF(DB_Artworks_Export!C281="","",DB_Artworks_Export!C281)</f>
        <v/>
      </c>
      <c r="G281" s="2" t="str">
        <f>IF(DB_Artworks_Export!D281="","",DB_Artworks_Export!D281)</f>
        <v/>
      </c>
      <c r="H281" s="2" t="str">
        <f>IF(DB_Artworks_Export!E281="","",DB_Artworks_Export!E281)</f>
        <v/>
      </c>
      <c r="I281" s="2" t="str">
        <f>IF(DB_Artworks_Export!F281="","",DB_Artworks_Export!F281)</f>
        <v/>
      </c>
      <c r="J281" s="2" t="str">
        <f>IF(DB_Artworks_Export!G281="","",DB_Artworks_Export!G281)</f>
        <v/>
      </c>
      <c r="K281" s="2" t="str">
        <f>IF(DB_Artworks_Export!H281="","",DB_Artworks_Export!H281)</f>
        <v/>
      </c>
      <c r="L281" s="2" t="str">
        <f>IF(DB_Artworks_Export!I281="","",DB_Artworks_Export!I281)</f>
        <v/>
      </c>
      <c r="M281" s="2" t="str">
        <f>IF(DB_Artworks_Export!J281="","",DB_Artworks_Export!J281)</f>
        <v/>
      </c>
      <c r="N281" s="2" t="str">
        <f>IF(DB_Artworks_Export!K281="","",DB_Artworks_Export!K281)</f>
        <v/>
      </c>
      <c r="O281" s="2" t="str">
        <f>IF(DB_Artworks_Export!L281="","",DB_Artworks_Export!L281)</f>
        <v/>
      </c>
      <c r="P281" s="2" t="str">
        <f>IF(DB_Artworks_Export!M281="","",DB_Artworks_Export!M281)</f>
        <v/>
      </c>
      <c r="Q281" s="2" t="str">
        <f>IF(DB_Artworks_Export!N281="","",DB_Artworks_Export!N281)</f>
        <v/>
      </c>
      <c r="R281" s="2" t="str">
        <f>IF($D281="","",IF(COUNTIF(DB_Categories_Export!$A:$A,$F281)&gt;0,"OK","INVALID CATEGORY"))</f>
        <v/>
      </c>
      <c r="S281" s="2" t="str">
        <f>IF($D281="","",COUNTIF(DB_Artwork_Sizes_Export!$B:$B,$D281))</f>
        <v/>
      </c>
      <c r="T281" s="2" t="str">
        <f>IF($D281="","",IFERROR(INDEX(DB_Artwork_Sizes_Export!$D:$D,MATCH($D281,DB_Artwork_Sizes_Export!$B:$B,0)),""))</f>
        <v/>
      </c>
      <c r="U281" s="2" t="str">
        <f>IF($D281="","",IFERROR(INDEX(DB_Artwork_Sizes_Export!$E:$E,MATCH($D281,DB_Artwork_Sizes_Export!$B:$B,0)),""))</f>
        <v/>
      </c>
      <c r="V281" s="2" t="str">
        <f>IF($D281="","",IFERROR(INDEX(DB_Artwork_Sizes_Export!$F:$F,MATCH($D281,DB_Artwork_Sizes_Export!$B:$B,0)),""))</f>
        <v/>
      </c>
      <c r="W281" s="2" t="str">
        <f t="shared" si="42"/>
        <v/>
      </c>
      <c r="X281" s="2"/>
      <c r="Y281" s="2"/>
      <c r="Z281" s="2"/>
      <c r="AA281" s="2"/>
      <c r="AB281" s="2"/>
      <c r="AC281" s="2"/>
      <c r="AD281" s="2"/>
      <c r="AE281" s="2"/>
      <c r="AF281" s="2" t="str">
        <f t="shared" si="43"/>
        <v/>
      </c>
      <c r="AG281" s="2" t="str">
        <f t="shared" si="44"/>
        <v/>
      </c>
      <c r="AH281" s="2" t="str">
        <f>IF($AG281="","",IFERROR(VLOOKUP($AG281,DB_Categories_Export!$A:$B,2,FALSE()),"INVALID CATEGORY"))</f>
        <v/>
      </c>
      <c r="AI281" s="2" t="str">
        <f t="shared" si="45"/>
        <v/>
      </c>
      <c r="AJ281" s="2" t="str">
        <f t="shared" si="46"/>
        <v/>
      </c>
      <c r="AK281" s="2" t="str">
        <f t="shared" si="47"/>
        <v/>
      </c>
      <c r="AL281" s="2" t="str">
        <f t="shared" si="48"/>
        <v/>
      </c>
      <c r="AM281" s="2" t="str">
        <f t="shared" si="49"/>
        <v/>
      </c>
      <c r="AN281" s="2"/>
      <c r="AO281" s="2"/>
    </row>
    <row r="282" spans="1:41" ht="12" customHeight="1" x14ac:dyDescent="0.3">
      <c r="A282" s="2"/>
      <c r="B282" s="2" t="str">
        <f t="shared" si="40"/>
        <v/>
      </c>
      <c r="C282" s="2" t="str">
        <f t="shared" si="41"/>
        <v/>
      </c>
      <c r="D282" s="2" t="str">
        <f>IF(DB_Artworks_Export!A282="","",DB_Artworks_Export!A282)</f>
        <v/>
      </c>
      <c r="E282" s="2" t="str">
        <f>IF(DB_Artworks_Export!B282="","",DB_Artworks_Export!B282)</f>
        <v/>
      </c>
      <c r="F282" s="2" t="str">
        <f>IF(DB_Artworks_Export!C282="","",DB_Artworks_Export!C282)</f>
        <v/>
      </c>
      <c r="G282" s="2" t="str">
        <f>IF(DB_Artworks_Export!D282="","",DB_Artworks_Export!D282)</f>
        <v/>
      </c>
      <c r="H282" s="2" t="str">
        <f>IF(DB_Artworks_Export!E282="","",DB_Artworks_Export!E282)</f>
        <v/>
      </c>
      <c r="I282" s="2" t="str">
        <f>IF(DB_Artworks_Export!F282="","",DB_Artworks_Export!F282)</f>
        <v/>
      </c>
      <c r="J282" s="2" t="str">
        <f>IF(DB_Artworks_Export!G282="","",DB_Artworks_Export!G282)</f>
        <v/>
      </c>
      <c r="K282" s="2" t="str">
        <f>IF(DB_Artworks_Export!H282="","",DB_Artworks_Export!H282)</f>
        <v/>
      </c>
      <c r="L282" s="2" t="str">
        <f>IF(DB_Artworks_Export!I282="","",DB_Artworks_Export!I282)</f>
        <v/>
      </c>
      <c r="M282" s="2" t="str">
        <f>IF(DB_Artworks_Export!J282="","",DB_Artworks_Export!J282)</f>
        <v/>
      </c>
      <c r="N282" s="2" t="str">
        <f>IF(DB_Artworks_Export!K282="","",DB_Artworks_Export!K282)</f>
        <v/>
      </c>
      <c r="O282" s="2" t="str">
        <f>IF(DB_Artworks_Export!L282="","",DB_Artworks_Export!L282)</f>
        <v/>
      </c>
      <c r="P282" s="2" t="str">
        <f>IF(DB_Artworks_Export!M282="","",DB_Artworks_Export!M282)</f>
        <v/>
      </c>
      <c r="Q282" s="2" t="str">
        <f>IF(DB_Artworks_Export!N282="","",DB_Artworks_Export!N282)</f>
        <v/>
      </c>
      <c r="R282" s="2" t="str">
        <f>IF($D282="","",IF(COUNTIF(DB_Categories_Export!$A:$A,$F282)&gt;0,"OK","INVALID CATEGORY"))</f>
        <v/>
      </c>
      <c r="S282" s="2" t="str">
        <f>IF($D282="","",COUNTIF(DB_Artwork_Sizes_Export!$B:$B,$D282))</f>
        <v/>
      </c>
      <c r="T282" s="2" t="str">
        <f>IF($D282="","",IFERROR(INDEX(DB_Artwork_Sizes_Export!$D:$D,MATCH($D282,DB_Artwork_Sizes_Export!$B:$B,0)),""))</f>
        <v/>
      </c>
      <c r="U282" s="2" t="str">
        <f>IF($D282="","",IFERROR(INDEX(DB_Artwork_Sizes_Export!$E:$E,MATCH($D282,DB_Artwork_Sizes_Export!$B:$B,0)),""))</f>
        <v/>
      </c>
      <c r="V282" s="2" t="str">
        <f>IF($D282="","",IFERROR(INDEX(DB_Artwork_Sizes_Export!$F:$F,MATCH($D282,DB_Artwork_Sizes_Export!$B:$B,0)),""))</f>
        <v/>
      </c>
      <c r="W282" s="2" t="str">
        <f t="shared" si="42"/>
        <v/>
      </c>
      <c r="X282" s="2"/>
      <c r="Y282" s="2"/>
      <c r="Z282" s="2"/>
      <c r="AA282" s="2"/>
      <c r="AB282" s="2"/>
      <c r="AC282" s="2"/>
      <c r="AD282" s="2"/>
      <c r="AE282" s="2"/>
      <c r="AF282" s="2" t="str">
        <f t="shared" si="43"/>
        <v/>
      </c>
      <c r="AG282" s="2" t="str">
        <f t="shared" si="44"/>
        <v/>
      </c>
      <c r="AH282" s="2" t="str">
        <f>IF($AG282="","",IFERROR(VLOOKUP($AG282,DB_Categories_Export!$A:$B,2,FALSE()),"INVALID CATEGORY"))</f>
        <v/>
      </c>
      <c r="AI282" s="2" t="str">
        <f t="shared" si="45"/>
        <v/>
      </c>
      <c r="AJ282" s="2" t="str">
        <f t="shared" si="46"/>
        <v/>
      </c>
      <c r="AK282" s="2" t="str">
        <f t="shared" si="47"/>
        <v/>
      </c>
      <c r="AL282" s="2" t="str">
        <f t="shared" si="48"/>
        <v/>
      </c>
      <c r="AM282" s="2" t="str">
        <f t="shared" si="49"/>
        <v/>
      </c>
      <c r="AN282" s="2"/>
      <c r="AO282" s="2"/>
    </row>
    <row r="283" spans="1:41" ht="12" customHeight="1" x14ac:dyDescent="0.3">
      <c r="A283" s="2"/>
      <c r="B283" s="2" t="str">
        <f t="shared" si="40"/>
        <v/>
      </c>
      <c r="C283" s="2" t="str">
        <f t="shared" si="41"/>
        <v/>
      </c>
      <c r="D283" s="2" t="str">
        <f>IF(DB_Artworks_Export!A283="","",DB_Artworks_Export!A283)</f>
        <v/>
      </c>
      <c r="E283" s="2" t="str">
        <f>IF(DB_Artworks_Export!B283="","",DB_Artworks_Export!B283)</f>
        <v/>
      </c>
      <c r="F283" s="2" t="str">
        <f>IF(DB_Artworks_Export!C283="","",DB_Artworks_Export!C283)</f>
        <v/>
      </c>
      <c r="G283" s="2" t="str">
        <f>IF(DB_Artworks_Export!D283="","",DB_Artworks_Export!D283)</f>
        <v/>
      </c>
      <c r="H283" s="2" t="str">
        <f>IF(DB_Artworks_Export!E283="","",DB_Artworks_Export!E283)</f>
        <v/>
      </c>
      <c r="I283" s="2" t="str">
        <f>IF(DB_Artworks_Export!F283="","",DB_Artworks_Export!F283)</f>
        <v/>
      </c>
      <c r="J283" s="2" t="str">
        <f>IF(DB_Artworks_Export!G283="","",DB_Artworks_Export!G283)</f>
        <v/>
      </c>
      <c r="K283" s="2" t="str">
        <f>IF(DB_Artworks_Export!H283="","",DB_Artworks_Export!H283)</f>
        <v/>
      </c>
      <c r="L283" s="2" t="str">
        <f>IF(DB_Artworks_Export!I283="","",DB_Artworks_Export!I283)</f>
        <v/>
      </c>
      <c r="M283" s="2" t="str">
        <f>IF(DB_Artworks_Export!J283="","",DB_Artworks_Export!J283)</f>
        <v/>
      </c>
      <c r="N283" s="2" t="str">
        <f>IF(DB_Artworks_Export!K283="","",DB_Artworks_Export!K283)</f>
        <v/>
      </c>
      <c r="O283" s="2" t="str">
        <f>IF(DB_Artworks_Export!L283="","",DB_Artworks_Export!L283)</f>
        <v/>
      </c>
      <c r="P283" s="2" t="str">
        <f>IF(DB_Artworks_Export!M283="","",DB_Artworks_Export!M283)</f>
        <v/>
      </c>
      <c r="Q283" s="2" t="str">
        <f>IF(DB_Artworks_Export!N283="","",DB_Artworks_Export!N283)</f>
        <v/>
      </c>
      <c r="R283" s="2" t="str">
        <f>IF($D283="","",IF(COUNTIF(DB_Categories_Export!$A:$A,$F283)&gt;0,"OK","INVALID CATEGORY"))</f>
        <v/>
      </c>
      <c r="S283" s="2" t="str">
        <f>IF($D283="","",COUNTIF(DB_Artwork_Sizes_Export!$B:$B,$D283))</f>
        <v/>
      </c>
      <c r="T283" s="2" t="str">
        <f>IF($D283="","",IFERROR(INDEX(DB_Artwork_Sizes_Export!$D:$D,MATCH($D283,DB_Artwork_Sizes_Export!$B:$B,0)),""))</f>
        <v/>
      </c>
      <c r="U283" s="2" t="str">
        <f>IF($D283="","",IFERROR(INDEX(DB_Artwork_Sizes_Export!$E:$E,MATCH($D283,DB_Artwork_Sizes_Export!$B:$B,0)),""))</f>
        <v/>
      </c>
      <c r="V283" s="2" t="str">
        <f>IF($D283="","",IFERROR(INDEX(DB_Artwork_Sizes_Export!$F:$F,MATCH($D283,DB_Artwork_Sizes_Export!$B:$B,0)),""))</f>
        <v/>
      </c>
      <c r="W283" s="2" t="str">
        <f t="shared" si="42"/>
        <v/>
      </c>
      <c r="X283" s="2"/>
      <c r="Y283" s="2"/>
      <c r="Z283" s="2"/>
      <c r="AA283" s="2"/>
      <c r="AB283" s="2"/>
      <c r="AC283" s="2"/>
      <c r="AD283" s="2"/>
      <c r="AE283" s="2"/>
      <c r="AF283" s="2" t="str">
        <f t="shared" si="43"/>
        <v/>
      </c>
      <c r="AG283" s="2" t="str">
        <f t="shared" si="44"/>
        <v/>
      </c>
      <c r="AH283" s="2" t="str">
        <f>IF($AG283="","",IFERROR(VLOOKUP($AG283,DB_Categories_Export!$A:$B,2,FALSE()),"INVALID CATEGORY"))</f>
        <v/>
      </c>
      <c r="AI283" s="2" t="str">
        <f t="shared" si="45"/>
        <v/>
      </c>
      <c r="AJ283" s="2" t="str">
        <f t="shared" si="46"/>
        <v/>
      </c>
      <c r="AK283" s="2" t="str">
        <f t="shared" si="47"/>
        <v/>
      </c>
      <c r="AL283" s="2" t="str">
        <f t="shared" si="48"/>
        <v/>
      </c>
      <c r="AM283" s="2" t="str">
        <f t="shared" si="49"/>
        <v/>
      </c>
      <c r="AN283" s="2"/>
      <c r="AO283" s="2"/>
    </row>
    <row r="284" spans="1:41" ht="12" customHeight="1" x14ac:dyDescent="0.3">
      <c r="A284" s="2"/>
      <c r="B284" s="2" t="str">
        <f t="shared" si="40"/>
        <v/>
      </c>
      <c r="C284" s="2" t="str">
        <f t="shared" si="41"/>
        <v/>
      </c>
      <c r="D284" s="2" t="str">
        <f>IF(DB_Artworks_Export!A284="","",DB_Artworks_Export!A284)</f>
        <v/>
      </c>
      <c r="E284" s="2" t="str">
        <f>IF(DB_Artworks_Export!B284="","",DB_Artworks_Export!B284)</f>
        <v/>
      </c>
      <c r="F284" s="2" t="str">
        <f>IF(DB_Artworks_Export!C284="","",DB_Artworks_Export!C284)</f>
        <v/>
      </c>
      <c r="G284" s="2" t="str">
        <f>IF(DB_Artworks_Export!D284="","",DB_Artworks_Export!D284)</f>
        <v/>
      </c>
      <c r="H284" s="2" t="str">
        <f>IF(DB_Artworks_Export!E284="","",DB_Artworks_Export!E284)</f>
        <v/>
      </c>
      <c r="I284" s="2" t="str">
        <f>IF(DB_Artworks_Export!F284="","",DB_Artworks_Export!F284)</f>
        <v/>
      </c>
      <c r="J284" s="2" t="str">
        <f>IF(DB_Artworks_Export!G284="","",DB_Artworks_Export!G284)</f>
        <v/>
      </c>
      <c r="K284" s="2" t="str">
        <f>IF(DB_Artworks_Export!H284="","",DB_Artworks_Export!H284)</f>
        <v/>
      </c>
      <c r="L284" s="2" t="str">
        <f>IF(DB_Artworks_Export!I284="","",DB_Artworks_Export!I284)</f>
        <v/>
      </c>
      <c r="M284" s="2" t="str">
        <f>IF(DB_Artworks_Export!J284="","",DB_Artworks_Export!J284)</f>
        <v/>
      </c>
      <c r="N284" s="2" t="str">
        <f>IF(DB_Artworks_Export!K284="","",DB_Artworks_Export!K284)</f>
        <v/>
      </c>
      <c r="O284" s="2" t="str">
        <f>IF(DB_Artworks_Export!L284="","",DB_Artworks_Export!L284)</f>
        <v/>
      </c>
      <c r="P284" s="2" t="str">
        <f>IF(DB_Artworks_Export!M284="","",DB_Artworks_Export!M284)</f>
        <v/>
      </c>
      <c r="Q284" s="2" t="str">
        <f>IF(DB_Artworks_Export!N284="","",DB_Artworks_Export!N284)</f>
        <v/>
      </c>
      <c r="R284" s="2" t="str">
        <f>IF($D284="","",IF(COUNTIF(DB_Categories_Export!$A:$A,$F284)&gt;0,"OK","INVALID CATEGORY"))</f>
        <v/>
      </c>
      <c r="S284" s="2" t="str">
        <f>IF($D284="","",COUNTIF(DB_Artwork_Sizes_Export!$B:$B,$D284))</f>
        <v/>
      </c>
      <c r="T284" s="2" t="str">
        <f>IF($D284="","",IFERROR(INDEX(DB_Artwork_Sizes_Export!$D:$D,MATCH($D284,DB_Artwork_Sizes_Export!$B:$B,0)),""))</f>
        <v/>
      </c>
      <c r="U284" s="2" t="str">
        <f>IF($D284="","",IFERROR(INDEX(DB_Artwork_Sizes_Export!$E:$E,MATCH($D284,DB_Artwork_Sizes_Export!$B:$B,0)),""))</f>
        <v/>
      </c>
      <c r="V284" s="2" t="str">
        <f>IF($D284="","",IFERROR(INDEX(DB_Artwork_Sizes_Export!$F:$F,MATCH($D284,DB_Artwork_Sizes_Export!$B:$B,0)),""))</f>
        <v/>
      </c>
      <c r="W284" s="2" t="str">
        <f t="shared" si="42"/>
        <v/>
      </c>
      <c r="X284" s="2"/>
      <c r="Y284" s="2"/>
      <c r="Z284" s="2"/>
      <c r="AA284" s="2"/>
      <c r="AB284" s="2"/>
      <c r="AC284" s="2"/>
      <c r="AD284" s="2"/>
      <c r="AE284" s="2"/>
      <c r="AF284" s="2" t="str">
        <f t="shared" si="43"/>
        <v/>
      </c>
      <c r="AG284" s="2" t="str">
        <f t="shared" si="44"/>
        <v/>
      </c>
      <c r="AH284" s="2" t="str">
        <f>IF($AG284="","",IFERROR(VLOOKUP($AG284,DB_Categories_Export!$A:$B,2,FALSE()),"INVALID CATEGORY"))</f>
        <v/>
      </c>
      <c r="AI284" s="2" t="str">
        <f t="shared" si="45"/>
        <v/>
      </c>
      <c r="AJ284" s="2" t="str">
        <f t="shared" si="46"/>
        <v/>
      </c>
      <c r="AK284" s="2" t="str">
        <f t="shared" si="47"/>
        <v/>
      </c>
      <c r="AL284" s="2" t="str">
        <f t="shared" si="48"/>
        <v/>
      </c>
      <c r="AM284" s="2" t="str">
        <f t="shared" si="49"/>
        <v/>
      </c>
      <c r="AN284" s="2"/>
      <c r="AO284" s="2"/>
    </row>
    <row r="285" spans="1:41" ht="12" customHeight="1" x14ac:dyDescent="0.3">
      <c r="A285" s="2"/>
      <c r="B285" s="2" t="str">
        <f t="shared" si="40"/>
        <v/>
      </c>
      <c r="C285" s="2" t="str">
        <f t="shared" si="41"/>
        <v/>
      </c>
      <c r="D285" s="2" t="str">
        <f>IF(DB_Artworks_Export!A285="","",DB_Artworks_Export!A285)</f>
        <v/>
      </c>
      <c r="E285" s="2" t="str">
        <f>IF(DB_Artworks_Export!B285="","",DB_Artworks_Export!B285)</f>
        <v/>
      </c>
      <c r="F285" s="2" t="str">
        <f>IF(DB_Artworks_Export!C285="","",DB_Artworks_Export!C285)</f>
        <v/>
      </c>
      <c r="G285" s="2" t="str">
        <f>IF(DB_Artworks_Export!D285="","",DB_Artworks_Export!D285)</f>
        <v/>
      </c>
      <c r="H285" s="2" t="str">
        <f>IF(DB_Artworks_Export!E285="","",DB_Artworks_Export!E285)</f>
        <v/>
      </c>
      <c r="I285" s="2" t="str">
        <f>IF(DB_Artworks_Export!F285="","",DB_Artworks_Export!F285)</f>
        <v/>
      </c>
      <c r="J285" s="2" t="str">
        <f>IF(DB_Artworks_Export!G285="","",DB_Artworks_Export!G285)</f>
        <v/>
      </c>
      <c r="K285" s="2" t="str">
        <f>IF(DB_Artworks_Export!H285="","",DB_Artworks_Export!H285)</f>
        <v/>
      </c>
      <c r="L285" s="2" t="str">
        <f>IF(DB_Artworks_Export!I285="","",DB_Artworks_Export!I285)</f>
        <v/>
      </c>
      <c r="M285" s="2" t="str">
        <f>IF(DB_Artworks_Export!J285="","",DB_Artworks_Export!J285)</f>
        <v/>
      </c>
      <c r="N285" s="2" t="str">
        <f>IF(DB_Artworks_Export!K285="","",DB_Artworks_Export!K285)</f>
        <v/>
      </c>
      <c r="O285" s="2" t="str">
        <f>IF(DB_Artworks_Export!L285="","",DB_Artworks_Export!L285)</f>
        <v/>
      </c>
      <c r="P285" s="2" t="str">
        <f>IF(DB_Artworks_Export!M285="","",DB_Artworks_Export!M285)</f>
        <v/>
      </c>
      <c r="Q285" s="2" t="str">
        <f>IF(DB_Artworks_Export!N285="","",DB_Artworks_Export!N285)</f>
        <v/>
      </c>
      <c r="R285" s="2" t="str">
        <f>IF($D285="","",IF(COUNTIF(DB_Categories_Export!$A:$A,$F285)&gt;0,"OK","INVALID CATEGORY"))</f>
        <v/>
      </c>
      <c r="S285" s="2" t="str">
        <f>IF($D285="","",COUNTIF(DB_Artwork_Sizes_Export!$B:$B,$D285))</f>
        <v/>
      </c>
      <c r="T285" s="2" t="str">
        <f>IF($D285="","",IFERROR(INDEX(DB_Artwork_Sizes_Export!$D:$D,MATCH($D285,DB_Artwork_Sizes_Export!$B:$B,0)),""))</f>
        <v/>
      </c>
      <c r="U285" s="2" t="str">
        <f>IF($D285="","",IFERROR(INDEX(DB_Artwork_Sizes_Export!$E:$E,MATCH($D285,DB_Artwork_Sizes_Export!$B:$B,0)),""))</f>
        <v/>
      </c>
      <c r="V285" s="2" t="str">
        <f>IF($D285="","",IFERROR(INDEX(DB_Artwork_Sizes_Export!$F:$F,MATCH($D285,DB_Artwork_Sizes_Export!$B:$B,0)),""))</f>
        <v/>
      </c>
      <c r="W285" s="2" t="str">
        <f t="shared" si="42"/>
        <v/>
      </c>
      <c r="X285" s="2"/>
      <c r="Y285" s="2"/>
      <c r="Z285" s="2"/>
      <c r="AA285" s="2"/>
      <c r="AB285" s="2"/>
      <c r="AC285" s="2"/>
      <c r="AD285" s="2"/>
      <c r="AE285" s="2"/>
      <c r="AF285" s="2" t="str">
        <f t="shared" si="43"/>
        <v/>
      </c>
      <c r="AG285" s="2" t="str">
        <f t="shared" si="44"/>
        <v/>
      </c>
      <c r="AH285" s="2" t="str">
        <f>IF($AG285="","",IFERROR(VLOOKUP($AG285,DB_Categories_Export!$A:$B,2,FALSE()),"INVALID CATEGORY"))</f>
        <v/>
      </c>
      <c r="AI285" s="2" t="str">
        <f t="shared" si="45"/>
        <v/>
      </c>
      <c r="AJ285" s="2" t="str">
        <f t="shared" si="46"/>
        <v/>
      </c>
      <c r="AK285" s="2" t="str">
        <f t="shared" si="47"/>
        <v/>
      </c>
      <c r="AL285" s="2" t="str">
        <f t="shared" si="48"/>
        <v/>
      </c>
      <c r="AM285" s="2" t="str">
        <f t="shared" si="49"/>
        <v/>
      </c>
      <c r="AN285" s="2"/>
      <c r="AO285" s="2"/>
    </row>
    <row r="286" spans="1:41" ht="12" customHeight="1" x14ac:dyDescent="0.3">
      <c r="A286" s="2"/>
      <c r="B286" s="2" t="str">
        <f t="shared" si="40"/>
        <v/>
      </c>
      <c r="C286" s="2" t="str">
        <f t="shared" si="41"/>
        <v/>
      </c>
      <c r="D286" s="2" t="str">
        <f>IF(DB_Artworks_Export!A286="","",DB_Artworks_Export!A286)</f>
        <v/>
      </c>
      <c r="E286" s="2" t="str">
        <f>IF(DB_Artworks_Export!B286="","",DB_Artworks_Export!B286)</f>
        <v/>
      </c>
      <c r="F286" s="2" t="str">
        <f>IF(DB_Artworks_Export!C286="","",DB_Artworks_Export!C286)</f>
        <v/>
      </c>
      <c r="G286" s="2" t="str">
        <f>IF(DB_Artworks_Export!D286="","",DB_Artworks_Export!D286)</f>
        <v/>
      </c>
      <c r="H286" s="2" t="str">
        <f>IF(DB_Artworks_Export!E286="","",DB_Artworks_Export!E286)</f>
        <v/>
      </c>
      <c r="I286" s="2" t="str">
        <f>IF(DB_Artworks_Export!F286="","",DB_Artworks_Export!F286)</f>
        <v/>
      </c>
      <c r="J286" s="2" t="str">
        <f>IF(DB_Artworks_Export!G286="","",DB_Artworks_Export!G286)</f>
        <v/>
      </c>
      <c r="K286" s="2" t="str">
        <f>IF(DB_Artworks_Export!H286="","",DB_Artworks_Export!H286)</f>
        <v/>
      </c>
      <c r="L286" s="2" t="str">
        <f>IF(DB_Artworks_Export!I286="","",DB_Artworks_Export!I286)</f>
        <v/>
      </c>
      <c r="M286" s="2" t="str">
        <f>IF(DB_Artworks_Export!J286="","",DB_Artworks_Export!J286)</f>
        <v/>
      </c>
      <c r="N286" s="2" t="str">
        <f>IF(DB_Artworks_Export!K286="","",DB_Artworks_Export!K286)</f>
        <v/>
      </c>
      <c r="O286" s="2" t="str">
        <f>IF(DB_Artworks_Export!L286="","",DB_Artworks_Export!L286)</f>
        <v/>
      </c>
      <c r="P286" s="2" t="str">
        <f>IF(DB_Artworks_Export!M286="","",DB_Artworks_Export!M286)</f>
        <v/>
      </c>
      <c r="Q286" s="2" t="str">
        <f>IF(DB_Artworks_Export!N286="","",DB_Artworks_Export!N286)</f>
        <v/>
      </c>
      <c r="R286" s="2" t="str">
        <f>IF($D286="","",IF(COUNTIF(DB_Categories_Export!$A:$A,$F286)&gt;0,"OK","INVALID CATEGORY"))</f>
        <v/>
      </c>
      <c r="S286" s="2" t="str">
        <f>IF($D286="","",COUNTIF(DB_Artwork_Sizes_Export!$B:$B,$D286))</f>
        <v/>
      </c>
      <c r="T286" s="2" t="str">
        <f>IF($D286="","",IFERROR(INDEX(DB_Artwork_Sizes_Export!$D:$D,MATCH($D286,DB_Artwork_Sizes_Export!$B:$B,0)),""))</f>
        <v/>
      </c>
      <c r="U286" s="2" t="str">
        <f>IF($D286="","",IFERROR(INDEX(DB_Artwork_Sizes_Export!$E:$E,MATCH($D286,DB_Artwork_Sizes_Export!$B:$B,0)),""))</f>
        <v/>
      </c>
      <c r="V286" s="2" t="str">
        <f>IF($D286="","",IFERROR(INDEX(DB_Artwork_Sizes_Export!$F:$F,MATCH($D286,DB_Artwork_Sizes_Export!$B:$B,0)),""))</f>
        <v/>
      </c>
      <c r="W286" s="2" t="str">
        <f t="shared" si="42"/>
        <v/>
      </c>
      <c r="X286" s="2"/>
      <c r="Y286" s="2"/>
      <c r="Z286" s="2"/>
      <c r="AA286" s="2"/>
      <c r="AB286" s="2"/>
      <c r="AC286" s="2"/>
      <c r="AD286" s="2"/>
      <c r="AE286" s="2"/>
      <c r="AF286" s="2" t="str">
        <f t="shared" si="43"/>
        <v/>
      </c>
      <c r="AG286" s="2" t="str">
        <f t="shared" si="44"/>
        <v/>
      </c>
      <c r="AH286" s="2" t="str">
        <f>IF($AG286="","",IFERROR(VLOOKUP($AG286,DB_Categories_Export!$A:$B,2,FALSE()),"INVALID CATEGORY"))</f>
        <v/>
      </c>
      <c r="AI286" s="2" t="str">
        <f t="shared" si="45"/>
        <v/>
      </c>
      <c r="AJ286" s="2" t="str">
        <f t="shared" si="46"/>
        <v/>
      </c>
      <c r="AK286" s="2" t="str">
        <f t="shared" si="47"/>
        <v/>
      </c>
      <c r="AL286" s="2" t="str">
        <f t="shared" si="48"/>
        <v/>
      </c>
      <c r="AM286" s="2" t="str">
        <f t="shared" si="49"/>
        <v/>
      </c>
      <c r="AN286" s="2"/>
      <c r="AO286" s="2"/>
    </row>
    <row r="287" spans="1:41" ht="12" customHeight="1" x14ac:dyDescent="0.3">
      <c r="A287" s="2"/>
      <c r="B287" s="2" t="str">
        <f t="shared" si="40"/>
        <v/>
      </c>
      <c r="C287" s="2" t="str">
        <f t="shared" si="41"/>
        <v/>
      </c>
      <c r="D287" s="2" t="str">
        <f>IF(DB_Artworks_Export!A287="","",DB_Artworks_Export!A287)</f>
        <v/>
      </c>
      <c r="E287" s="2" t="str">
        <f>IF(DB_Artworks_Export!B287="","",DB_Artworks_Export!B287)</f>
        <v/>
      </c>
      <c r="F287" s="2" t="str">
        <f>IF(DB_Artworks_Export!C287="","",DB_Artworks_Export!C287)</f>
        <v/>
      </c>
      <c r="G287" s="2" t="str">
        <f>IF(DB_Artworks_Export!D287="","",DB_Artworks_Export!D287)</f>
        <v/>
      </c>
      <c r="H287" s="2" t="str">
        <f>IF(DB_Artworks_Export!E287="","",DB_Artworks_Export!E287)</f>
        <v/>
      </c>
      <c r="I287" s="2" t="str">
        <f>IF(DB_Artworks_Export!F287="","",DB_Artworks_Export!F287)</f>
        <v/>
      </c>
      <c r="J287" s="2" t="str">
        <f>IF(DB_Artworks_Export!G287="","",DB_Artworks_Export!G287)</f>
        <v/>
      </c>
      <c r="K287" s="2" t="str">
        <f>IF(DB_Artworks_Export!H287="","",DB_Artworks_Export!H287)</f>
        <v/>
      </c>
      <c r="L287" s="2" t="str">
        <f>IF(DB_Artworks_Export!I287="","",DB_Artworks_Export!I287)</f>
        <v/>
      </c>
      <c r="M287" s="2" t="str">
        <f>IF(DB_Artworks_Export!J287="","",DB_Artworks_Export!J287)</f>
        <v/>
      </c>
      <c r="N287" s="2" t="str">
        <f>IF(DB_Artworks_Export!K287="","",DB_Artworks_Export!K287)</f>
        <v/>
      </c>
      <c r="O287" s="2" t="str">
        <f>IF(DB_Artworks_Export!L287="","",DB_Artworks_Export!L287)</f>
        <v/>
      </c>
      <c r="P287" s="2" t="str">
        <f>IF(DB_Artworks_Export!M287="","",DB_Artworks_Export!M287)</f>
        <v/>
      </c>
      <c r="Q287" s="2" t="str">
        <f>IF(DB_Artworks_Export!N287="","",DB_Artworks_Export!N287)</f>
        <v/>
      </c>
      <c r="R287" s="2" t="str">
        <f>IF($D287="","",IF(COUNTIF(DB_Categories_Export!$A:$A,$F287)&gt;0,"OK","INVALID CATEGORY"))</f>
        <v/>
      </c>
      <c r="S287" s="2" t="str">
        <f>IF($D287="","",COUNTIF(DB_Artwork_Sizes_Export!$B:$B,$D287))</f>
        <v/>
      </c>
      <c r="T287" s="2" t="str">
        <f>IF($D287="","",IFERROR(INDEX(DB_Artwork_Sizes_Export!$D:$D,MATCH($D287,DB_Artwork_Sizes_Export!$B:$B,0)),""))</f>
        <v/>
      </c>
      <c r="U287" s="2" t="str">
        <f>IF($D287="","",IFERROR(INDEX(DB_Artwork_Sizes_Export!$E:$E,MATCH($D287,DB_Artwork_Sizes_Export!$B:$B,0)),""))</f>
        <v/>
      </c>
      <c r="V287" s="2" t="str">
        <f>IF($D287="","",IFERROR(INDEX(DB_Artwork_Sizes_Export!$F:$F,MATCH($D287,DB_Artwork_Sizes_Export!$B:$B,0)),""))</f>
        <v/>
      </c>
      <c r="W287" s="2" t="str">
        <f t="shared" si="42"/>
        <v/>
      </c>
      <c r="X287" s="2"/>
      <c r="Y287" s="2"/>
      <c r="Z287" s="2"/>
      <c r="AA287" s="2"/>
      <c r="AB287" s="2"/>
      <c r="AC287" s="2"/>
      <c r="AD287" s="2"/>
      <c r="AE287" s="2"/>
      <c r="AF287" s="2" t="str">
        <f t="shared" si="43"/>
        <v/>
      </c>
      <c r="AG287" s="2" t="str">
        <f t="shared" si="44"/>
        <v/>
      </c>
      <c r="AH287" s="2" t="str">
        <f>IF($AG287="","",IFERROR(VLOOKUP($AG287,DB_Categories_Export!$A:$B,2,FALSE()),"INVALID CATEGORY"))</f>
        <v/>
      </c>
      <c r="AI287" s="2" t="str">
        <f t="shared" si="45"/>
        <v/>
      </c>
      <c r="AJ287" s="2" t="str">
        <f t="shared" si="46"/>
        <v/>
      </c>
      <c r="AK287" s="2" t="str">
        <f t="shared" si="47"/>
        <v/>
      </c>
      <c r="AL287" s="2" t="str">
        <f t="shared" si="48"/>
        <v/>
      </c>
      <c r="AM287" s="2" t="str">
        <f t="shared" si="49"/>
        <v/>
      </c>
      <c r="AN287" s="2"/>
      <c r="AO287" s="2"/>
    </row>
    <row r="288" spans="1:41" ht="12" customHeight="1" x14ac:dyDescent="0.3">
      <c r="A288" s="2"/>
      <c r="B288" s="2" t="str">
        <f t="shared" si="40"/>
        <v/>
      </c>
      <c r="C288" s="2" t="str">
        <f t="shared" si="41"/>
        <v/>
      </c>
      <c r="D288" s="2" t="str">
        <f>IF(DB_Artworks_Export!A288="","",DB_Artworks_Export!A288)</f>
        <v/>
      </c>
      <c r="E288" s="2" t="str">
        <f>IF(DB_Artworks_Export!B288="","",DB_Artworks_Export!B288)</f>
        <v/>
      </c>
      <c r="F288" s="2" t="str">
        <f>IF(DB_Artworks_Export!C288="","",DB_Artworks_Export!C288)</f>
        <v/>
      </c>
      <c r="G288" s="2" t="str">
        <f>IF(DB_Artworks_Export!D288="","",DB_Artworks_Export!D288)</f>
        <v/>
      </c>
      <c r="H288" s="2" t="str">
        <f>IF(DB_Artworks_Export!E288="","",DB_Artworks_Export!E288)</f>
        <v/>
      </c>
      <c r="I288" s="2" t="str">
        <f>IF(DB_Artworks_Export!F288="","",DB_Artworks_Export!F288)</f>
        <v/>
      </c>
      <c r="J288" s="2" t="str">
        <f>IF(DB_Artworks_Export!G288="","",DB_Artworks_Export!G288)</f>
        <v/>
      </c>
      <c r="K288" s="2" t="str">
        <f>IF(DB_Artworks_Export!H288="","",DB_Artworks_Export!H288)</f>
        <v/>
      </c>
      <c r="L288" s="2" t="str">
        <f>IF(DB_Artworks_Export!I288="","",DB_Artworks_Export!I288)</f>
        <v/>
      </c>
      <c r="M288" s="2" t="str">
        <f>IF(DB_Artworks_Export!J288="","",DB_Artworks_Export!J288)</f>
        <v/>
      </c>
      <c r="N288" s="2" t="str">
        <f>IF(DB_Artworks_Export!K288="","",DB_Artworks_Export!K288)</f>
        <v/>
      </c>
      <c r="O288" s="2" t="str">
        <f>IF(DB_Artworks_Export!L288="","",DB_Artworks_Export!L288)</f>
        <v/>
      </c>
      <c r="P288" s="2" t="str">
        <f>IF(DB_Artworks_Export!M288="","",DB_Artworks_Export!M288)</f>
        <v/>
      </c>
      <c r="Q288" s="2" t="str">
        <f>IF(DB_Artworks_Export!N288="","",DB_Artworks_Export!N288)</f>
        <v/>
      </c>
      <c r="R288" s="2" t="str">
        <f>IF($D288="","",IF(COUNTIF(DB_Categories_Export!$A:$A,$F288)&gt;0,"OK","INVALID CATEGORY"))</f>
        <v/>
      </c>
      <c r="S288" s="2" t="str">
        <f>IF($D288="","",COUNTIF(DB_Artwork_Sizes_Export!$B:$B,$D288))</f>
        <v/>
      </c>
      <c r="T288" s="2" t="str">
        <f>IF($D288="","",IFERROR(INDEX(DB_Artwork_Sizes_Export!$D:$D,MATCH($D288,DB_Artwork_Sizes_Export!$B:$B,0)),""))</f>
        <v/>
      </c>
      <c r="U288" s="2" t="str">
        <f>IF($D288="","",IFERROR(INDEX(DB_Artwork_Sizes_Export!$E:$E,MATCH($D288,DB_Artwork_Sizes_Export!$B:$B,0)),""))</f>
        <v/>
      </c>
      <c r="V288" s="2" t="str">
        <f>IF($D288="","",IFERROR(INDEX(DB_Artwork_Sizes_Export!$F:$F,MATCH($D288,DB_Artwork_Sizes_Export!$B:$B,0)),""))</f>
        <v/>
      </c>
      <c r="W288" s="2" t="str">
        <f t="shared" si="42"/>
        <v/>
      </c>
      <c r="X288" s="2"/>
      <c r="Y288" s="2"/>
      <c r="Z288" s="2"/>
      <c r="AA288" s="2"/>
      <c r="AB288" s="2"/>
      <c r="AC288" s="2"/>
      <c r="AD288" s="2"/>
      <c r="AE288" s="2"/>
      <c r="AF288" s="2" t="str">
        <f t="shared" si="43"/>
        <v/>
      </c>
      <c r="AG288" s="2" t="str">
        <f t="shared" si="44"/>
        <v/>
      </c>
      <c r="AH288" s="2" t="str">
        <f>IF($AG288="","",IFERROR(VLOOKUP($AG288,DB_Categories_Export!$A:$B,2,FALSE()),"INVALID CATEGORY"))</f>
        <v/>
      </c>
      <c r="AI288" s="2" t="str">
        <f t="shared" si="45"/>
        <v/>
      </c>
      <c r="AJ288" s="2" t="str">
        <f t="shared" si="46"/>
        <v/>
      </c>
      <c r="AK288" s="2" t="str">
        <f t="shared" si="47"/>
        <v/>
      </c>
      <c r="AL288" s="2" t="str">
        <f t="shared" si="48"/>
        <v/>
      </c>
      <c r="AM288" s="2" t="str">
        <f t="shared" si="49"/>
        <v/>
      </c>
      <c r="AN288" s="2"/>
      <c r="AO288" s="2"/>
    </row>
    <row r="289" spans="1:41" ht="12" customHeight="1" x14ac:dyDescent="0.3">
      <c r="A289" s="2"/>
      <c r="B289" s="2" t="str">
        <f t="shared" si="40"/>
        <v/>
      </c>
      <c r="C289" s="2" t="str">
        <f t="shared" si="41"/>
        <v/>
      </c>
      <c r="D289" s="2" t="str">
        <f>IF(DB_Artworks_Export!A289="","",DB_Artworks_Export!A289)</f>
        <v/>
      </c>
      <c r="E289" s="2" t="str">
        <f>IF(DB_Artworks_Export!B289="","",DB_Artworks_Export!B289)</f>
        <v/>
      </c>
      <c r="F289" s="2" t="str">
        <f>IF(DB_Artworks_Export!C289="","",DB_Artworks_Export!C289)</f>
        <v/>
      </c>
      <c r="G289" s="2" t="str">
        <f>IF(DB_Artworks_Export!D289="","",DB_Artworks_Export!D289)</f>
        <v/>
      </c>
      <c r="H289" s="2" t="str">
        <f>IF(DB_Artworks_Export!E289="","",DB_Artworks_Export!E289)</f>
        <v/>
      </c>
      <c r="I289" s="2" t="str">
        <f>IF(DB_Artworks_Export!F289="","",DB_Artworks_Export!F289)</f>
        <v/>
      </c>
      <c r="J289" s="2" t="str">
        <f>IF(DB_Artworks_Export!G289="","",DB_Artworks_Export!G289)</f>
        <v/>
      </c>
      <c r="K289" s="2" t="str">
        <f>IF(DB_Artworks_Export!H289="","",DB_Artworks_Export!H289)</f>
        <v/>
      </c>
      <c r="L289" s="2" t="str">
        <f>IF(DB_Artworks_Export!I289="","",DB_Artworks_Export!I289)</f>
        <v/>
      </c>
      <c r="M289" s="2" t="str">
        <f>IF(DB_Artworks_Export!J289="","",DB_Artworks_Export!J289)</f>
        <v/>
      </c>
      <c r="N289" s="2" t="str">
        <f>IF(DB_Artworks_Export!K289="","",DB_Artworks_Export!K289)</f>
        <v/>
      </c>
      <c r="O289" s="2" t="str">
        <f>IF(DB_Artworks_Export!L289="","",DB_Artworks_Export!L289)</f>
        <v/>
      </c>
      <c r="P289" s="2" t="str">
        <f>IF(DB_Artworks_Export!M289="","",DB_Artworks_Export!M289)</f>
        <v/>
      </c>
      <c r="Q289" s="2" t="str">
        <f>IF(DB_Artworks_Export!N289="","",DB_Artworks_Export!N289)</f>
        <v/>
      </c>
      <c r="R289" s="2" t="str">
        <f>IF($D289="","",IF(COUNTIF(DB_Categories_Export!$A:$A,$F289)&gt;0,"OK","INVALID CATEGORY"))</f>
        <v/>
      </c>
      <c r="S289" s="2" t="str">
        <f>IF($D289="","",COUNTIF(DB_Artwork_Sizes_Export!$B:$B,$D289))</f>
        <v/>
      </c>
      <c r="T289" s="2" t="str">
        <f>IF($D289="","",IFERROR(INDEX(DB_Artwork_Sizes_Export!$D:$D,MATCH($D289,DB_Artwork_Sizes_Export!$B:$B,0)),""))</f>
        <v/>
      </c>
      <c r="U289" s="2" t="str">
        <f>IF($D289="","",IFERROR(INDEX(DB_Artwork_Sizes_Export!$E:$E,MATCH($D289,DB_Artwork_Sizes_Export!$B:$B,0)),""))</f>
        <v/>
      </c>
      <c r="V289" s="2" t="str">
        <f>IF($D289="","",IFERROR(INDEX(DB_Artwork_Sizes_Export!$F:$F,MATCH($D289,DB_Artwork_Sizes_Export!$B:$B,0)),""))</f>
        <v/>
      </c>
      <c r="W289" s="2" t="str">
        <f t="shared" si="42"/>
        <v/>
      </c>
      <c r="X289" s="2"/>
      <c r="Y289" s="2"/>
      <c r="Z289" s="2"/>
      <c r="AA289" s="2"/>
      <c r="AB289" s="2"/>
      <c r="AC289" s="2"/>
      <c r="AD289" s="2"/>
      <c r="AE289" s="2"/>
      <c r="AF289" s="2" t="str">
        <f t="shared" si="43"/>
        <v/>
      </c>
      <c r="AG289" s="2" t="str">
        <f t="shared" si="44"/>
        <v/>
      </c>
      <c r="AH289" s="2" t="str">
        <f>IF($AG289="","",IFERROR(VLOOKUP($AG289,DB_Categories_Export!$A:$B,2,FALSE()),"INVALID CATEGORY"))</f>
        <v/>
      </c>
      <c r="AI289" s="2" t="str">
        <f t="shared" si="45"/>
        <v/>
      </c>
      <c r="AJ289" s="2" t="str">
        <f t="shared" si="46"/>
        <v/>
      </c>
      <c r="AK289" s="2" t="str">
        <f t="shared" si="47"/>
        <v/>
      </c>
      <c r="AL289" s="2" t="str">
        <f t="shared" si="48"/>
        <v/>
      </c>
      <c r="AM289" s="2" t="str">
        <f t="shared" si="49"/>
        <v/>
      </c>
      <c r="AN289" s="2"/>
      <c r="AO289" s="2"/>
    </row>
    <row r="290" spans="1:41" ht="12" customHeight="1" x14ac:dyDescent="0.3">
      <c r="A290" s="2"/>
      <c r="B290" s="2" t="str">
        <f t="shared" si="40"/>
        <v/>
      </c>
      <c r="C290" s="2" t="str">
        <f t="shared" si="41"/>
        <v/>
      </c>
      <c r="D290" s="2" t="str">
        <f>IF(DB_Artworks_Export!A290="","",DB_Artworks_Export!A290)</f>
        <v/>
      </c>
      <c r="E290" s="2" t="str">
        <f>IF(DB_Artworks_Export!B290="","",DB_Artworks_Export!B290)</f>
        <v/>
      </c>
      <c r="F290" s="2" t="str">
        <f>IF(DB_Artworks_Export!C290="","",DB_Artworks_Export!C290)</f>
        <v/>
      </c>
      <c r="G290" s="2" t="str">
        <f>IF(DB_Artworks_Export!D290="","",DB_Artworks_Export!D290)</f>
        <v/>
      </c>
      <c r="H290" s="2" t="str">
        <f>IF(DB_Artworks_Export!E290="","",DB_Artworks_Export!E290)</f>
        <v/>
      </c>
      <c r="I290" s="2" t="str">
        <f>IF(DB_Artworks_Export!F290="","",DB_Artworks_Export!F290)</f>
        <v/>
      </c>
      <c r="J290" s="2" t="str">
        <f>IF(DB_Artworks_Export!G290="","",DB_Artworks_Export!G290)</f>
        <v/>
      </c>
      <c r="K290" s="2" t="str">
        <f>IF(DB_Artworks_Export!H290="","",DB_Artworks_Export!H290)</f>
        <v/>
      </c>
      <c r="L290" s="2" t="str">
        <f>IF(DB_Artworks_Export!I290="","",DB_Artworks_Export!I290)</f>
        <v/>
      </c>
      <c r="M290" s="2" t="str">
        <f>IF(DB_Artworks_Export!J290="","",DB_Artworks_Export!J290)</f>
        <v/>
      </c>
      <c r="N290" s="2" t="str">
        <f>IF(DB_Artworks_Export!K290="","",DB_Artworks_Export!K290)</f>
        <v/>
      </c>
      <c r="O290" s="2" t="str">
        <f>IF(DB_Artworks_Export!L290="","",DB_Artworks_Export!L290)</f>
        <v/>
      </c>
      <c r="P290" s="2" t="str">
        <f>IF(DB_Artworks_Export!M290="","",DB_Artworks_Export!M290)</f>
        <v/>
      </c>
      <c r="Q290" s="2" t="str">
        <f>IF(DB_Artworks_Export!N290="","",DB_Artworks_Export!N290)</f>
        <v/>
      </c>
      <c r="R290" s="2" t="str">
        <f>IF($D290="","",IF(COUNTIF(DB_Categories_Export!$A:$A,$F290)&gt;0,"OK","INVALID CATEGORY"))</f>
        <v/>
      </c>
      <c r="S290" s="2" t="str">
        <f>IF($D290="","",COUNTIF(DB_Artwork_Sizes_Export!$B:$B,$D290))</f>
        <v/>
      </c>
      <c r="T290" s="2" t="str">
        <f>IF($D290="","",IFERROR(INDEX(DB_Artwork_Sizes_Export!$D:$D,MATCH($D290,DB_Artwork_Sizes_Export!$B:$B,0)),""))</f>
        <v/>
      </c>
      <c r="U290" s="2" t="str">
        <f>IF($D290="","",IFERROR(INDEX(DB_Artwork_Sizes_Export!$E:$E,MATCH($D290,DB_Artwork_Sizes_Export!$B:$B,0)),""))</f>
        <v/>
      </c>
      <c r="V290" s="2" t="str">
        <f>IF($D290="","",IFERROR(INDEX(DB_Artwork_Sizes_Export!$F:$F,MATCH($D290,DB_Artwork_Sizes_Export!$B:$B,0)),""))</f>
        <v/>
      </c>
      <c r="W290" s="2" t="str">
        <f t="shared" si="42"/>
        <v/>
      </c>
      <c r="X290" s="2"/>
      <c r="Y290" s="2"/>
      <c r="Z290" s="2"/>
      <c r="AA290" s="2"/>
      <c r="AB290" s="2"/>
      <c r="AC290" s="2"/>
      <c r="AD290" s="2"/>
      <c r="AE290" s="2"/>
      <c r="AF290" s="2" t="str">
        <f t="shared" si="43"/>
        <v/>
      </c>
      <c r="AG290" s="2" t="str">
        <f t="shared" si="44"/>
        <v/>
      </c>
      <c r="AH290" s="2" t="str">
        <f>IF($AG290="","",IFERROR(VLOOKUP($AG290,DB_Categories_Export!$A:$B,2,FALSE()),"INVALID CATEGORY"))</f>
        <v/>
      </c>
      <c r="AI290" s="2" t="str">
        <f t="shared" si="45"/>
        <v/>
      </c>
      <c r="AJ290" s="2" t="str">
        <f t="shared" si="46"/>
        <v/>
      </c>
      <c r="AK290" s="2" t="str">
        <f t="shared" si="47"/>
        <v/>
      </c>
      <c r="AL290" s="2" t="str">
        <f t="shared" si="48"/>
        <v/>
      </c>
      <c r="AM290" s="2" t="str">
        <f t="shared" si="49"/>
        <v/>
      </c>
      <c r="AN290" s="2"/>
      <c r="AO290" s="2"/>
    </row>
    <row r="291" spans="1:41" ht="12" customHeight="1" x14ac:dyDescent="0.3">
      <c r="A291" s="2"/>
      <c r="B291" s="2" t="str">
        <f t="shared" si="40"/>
        <v/>
      </c>
      <c r="C291" s="2" t="str">
        <f t="shared" si="41"/>
        <v/>
      </c>
      <c r="D291" s="2" t="str">
        <f>IF(DB_Artworks_Export!A291="","",DB_Artworks_Export!A291)</f>
        <v/>
      </c>
      <c r="E291" s="2" t="str">
        <f>IF(DB_Artworks_Export!B291="","",DB_Artworks_Export!B291)</f>
        <v/>
      </c>
      <c r="F291" s="2" t="str">
        <f>IF(DB_Artworks_Export!C291="","",DB_Artworks_Export!C291)</f>
        <v/>
      </c>
      <c r="G291" s="2" t="str">
        <f>IF(DB_Artworks_Export!D291="","",DB_Artworks_Export!D291)</f>
        <v/>
      </c>
      <c r="H291" s="2" t="str">
        <f>IF(DB_Artworks_Export!E291="","",DB_Artworks_Export!E291)</f>
        <v/>
      </c>
      <c r="I291" s="2" t="str">
        <f>IF(DB_Artworks_Export!F291="","",DB_Artworks_Export!F291)</f>
        <v/>
      </c>
      <c r="J291" s="2" t="str">
        <f>IF(DB_Artworks_Export!G291="","",DB_Artworks_Export!G291)</f>
        <v/>
      </c>
      <c r="K291" s="2" t="str">
        <f>IF(DB_Artworks_Export!H291="","",DB_Artworks_Export!H291)</f>
        <v/>
      </c>
      <c r="L291" s="2" t="str">
        <f>IF(DB_Artworks_Export!I291="","",DB_Artworks_Export!I291)</f>
        <v/>
      </c>
      <c r="M291" s="2" t="str">
        <f>IF(DB_Artworks_Export!J291="","",DB_Artworks_Export!J291)</f>
        <v/>
      </c>
      <c r="N291" s="2" t="str">
        <f>IF(DB_Artworks_Export!K291="","",DB_Artworks_Export!K291)</f>
        <v/>
      </c>
      <c r="O291" s="2" t="str">
        <f>IF(DB_Artworks_Export!L291="","",DB_Artworks_Export!L291)</f>
        <v/>
      </c>
      <c r="P291" s="2" t="str">
        <f>IF(DB_Artworks_Export!M291="","",DB_Artworks_Export!M291)</f>
        <v/>
      </c>
      <c r="Q291" s="2" t="str">
        <f>IF(DB_Artworks_Export!N291="","",DB_Artworks_Export!N291)</f>
        <v/>
      </c>
      <c r="R291" s="2" t="str">
        <f>IF($D291="","",IF(COUNTIF(DB_Categories_Export!$A:$A,$F291)&gt;0,"OK","INVALID CATEGORY"))</f>
        <v/>
      </c>
      <c r="S291" s="2" t="str">
        <f>IF($D291="","",COUNTIF(DB_Artwork_Sizes_Export!$B:$B,$D291))</f>
        <v/>
      </c>
      <c r="T291" s="2" t="str">
        <f>IF($D291="","",IFERROR(INDEX(DB_Artwork_Sizes_Export!$D:$D,MATCH($D291,DB_Artwork_Sizes_Export!$B:$B,0)),""))</f>
        <v/>
      </c>
      <c r="U291" s="2" t="str">
        <f>IF($D291="","",IFERROR(INDEX(DB_Artwork_Sizes_Export!$E:$E,MATCH($D291,DB_Artwork_Sizes_Export!$B:$B,0)),""))</f>
        <v/>
      </c>
      <c r="V291" s="2" t="str">
        <f>IF($D291="","",IFERROR(INDEX(DB_Artwork_Sizes_Export!$F:$F,MATCH($D291,DB_Artwork_Sizes_Export!$B:$B,0)),""))</f>
        <v/>
      </c>
      <c r="W291" s="2" t="str">
        <f t="shared" si="42"/>
        <v/>
      </c>
      <c r="X291" s="2"/>
      <c r="Y291" s="2"/>
      <c r="Z291" s="2"/>
      <c r="AA291" s="2"/>
      <c r="AB291" s="2"/>
      <c r="AC291" s="2"/>
      <c r="AD291" s="2"/>
      <c r="AE291" s="2"/>
      <c r="AF291" s="2" t="str">
        <f t="shared" si="43"/>
        <v/>
      </c>
      <c r="AG291" s="2" t="str">
        <f t="shared" si="44"/>
        <v/>
      </c>
      <c r="AH291" s="2" t="str">
        <f>IF($AG291="","",IFERROR(VLOOKUP($AG291,DB_Categories_Export!$A:$B,2,FALSE()),"INVALID CATEGORY"))</f>
        <v/>
      </c>
      <c r="AI291" s="2" t="str">
        <f t="shared" si="45"/>
        <v/>
      </c>
      <c r="AJ291" s="2" t="str">
        <f t="shared" si="46"/>
        <v/>
      </c>
      <c r="AK291" s="2" t="str">
        <f t="shared" si="47"/>
        <v/>
      </c>
      <c r="AL291" s="2" t="str">
        <f t="shared" si="48"/>
        <v/>
      </c>
      <c r="AM291" s="2" t="str">
        <f t="shared" si="49"/>
        <v/>
      </c>
      <c r="AN291" s="2"/>
      <c r="AO291" s="2"/>
    </row>
    <row r="292" spans="1:41" ht="12" customHeight="1" x14ac:dyDescent="0.3">
      <c r="A292" s="2"/>
      <c r="B292" s="2" t="str">
        <f t="shared" si="40"/>
        <v/>
      </c>
      <c r="C292" s="2" t="str">
        <f t="shared" si="41"/>
        <v/>
      </c>
      <c r="D292" s="2" t="str">
        <f>IF(DB_Artworks_Export!A292="","",DB_Artworks_Export!A292)</f>
        <v/>
      </c>
      <c r="E292" s="2" t="str">
        <f>IF(DB_Artworks_Export!B292="","",DB_Artworks_Export!B292)</f>
        <v/>
      </c>
      <c r="F292" s="2" t="str">
        <f>IF(DB_Artworks_Export!C292="","",DB_Artworks_Export!C292)</f>
        <v/>
      </c>
      <c r="G292" s="2" t="str">
        <f>IF(DB_Artworks_Export!D292="","",DB_Artworks_Export!D292)</f>
        <v/>
      </c>
      <c r="H292" s="2" t="str">
        <f>IF(DB_Artworks_Export!E292="","",DB_Artworks_Export!E292)</f>
        <v/>
      </c>
      <c r="I292" s="2" t="str">
        <f>IF(DB_Artworks_Export!F292="","",DB_Artworks_Export!F292)</f>
        <v/>
      </c>
      <c r="J292" s="2" t="str">
        <f>IF(DB_Artworks_Export!G292="","",DB_Artworks_Export!G292)</f>
        <v/>
      </c>
      <c r="K292" s="2" t="str">
        <f>IF(DB_Artworks_Export!H292="","",DB_Artworks_Export!H292)</f>
        <v/>
      </c>
      <c r="L292" s="2" t="str">
        <f>IF(DB_Artworks_Export!I292="","",DB_Artworks_Export!I292)</f>
        <v/>
      </c>
      <c r="M292" s="2" t="str">
        <f>IF(DB_Artworks_Export!J292="","",DB_Artworks_Export!J292)</f>
        <v/>
      </c>
      <c r="N292" s="2" t="str">
        <f>IF(DB_Artworks_Export!K292="","",DB_Artworks_Export!K292)</f>
        <v/>
      </c>
      <c r="O292" s="2" t="str">
        <f>IF(DB_Artworks_Export!L292="","",DB_Artworks_Export!L292)</f>
        <v/>
      </c>
      <c r="P292" s="2" t="str">
        <f>IF(DB_Artworks_Export!M292="","",DB_Artworks_Export!M292)</f>
        <v/>
      </c>
      <c r="Q292" s="2" t="str">
        <f>IF(DB_Artworks_Export!N292="","",DB_Artworks_Export!N292)</f>
        <v/>
      </c>
      <c r="R292" s="2" t="str">
        <f>IF($D292="","",IF(COUNTIF(DB_Categories_Export!$A:$A,$F292)&gt;0,"OK","INVALID CATEGORY"))</f>
        <v/>
      </c>
      <c r="S292" s="2" t="str">
        <f>IF($D292="","",COUNTIF(DB_Artwork_Sizes_Export!$B:$B,$D292))</f>
        <v/>
      </c>
      <c r="T292" s="2" t="str">
        <f>IF($D292="","",IFERROR(INDEX(DB_Artwork_Sizes_Export!$D:$D,MATCH($D292,DB_Artwork_Sizes_Export!$B:$B,0)),""))</f>
        <v/>
      </c>
      <c r="U292" s="2" t="str">
        <f>IF($D292="","",IFERROR(INDEX(DB_Artwork_Sizes_Export!$E:$E,MATCH($D292,DB_Artwork_Sizes_Export!$B:$B,0)),""))</f>
        <v/>
      </c>
      <c r="V292" s="2" t="str">
        <f>IF($D292="","",IFERROR(INDEX(DB_Artwork_Sizes_Export!$F:$F,MATCH($D292,DB_Artwork_Sizes_Export!$B:$B,0)),""))</f>
        <v/>
      </c>
      <c r="W292" s="2" t="str">
        <f t="shared" si="42"/>
        <v/>
      </c>
      <c r="X292" s="2"/>
      <c r="Y292" s="2"/>
      <c r="Z292" s="2"/>
      <c r="AA292" s="2"/>
      <c r="AB292" s="2"/>
      <c r="AC292" s="2"/>
      <c r="AD292" s="2"/>
      <c r="AE292" s="2"/>
      <c r="AF292" s="2" t="str">
        <f t="shared" si="43"/>
        <v/>
      </c>
      <c r="AG292" s="2" t="str">
        <f t="shared" si="44"/>
        <v/>
      </c>
      <c r="AH292" s="2" t="str">
        <f>IF($AG292="","",IFERROR(VLOOKUP($AG292,DB_Categories_Export!$A:$B,2,FALSE()),"INVALID CATEGORY"))</f>
        <v/>
      </c>
      <c r="AI292" s="2" t="str">
        <f t="shared" si="45"/>
        <v/>
      </c>
      <c r="AJ292" s="2" t="str">
        <f t="shared" si="46"/>
        <v/>
      </c>
      <c r="AK292" s="2" t="str">
        <f t="shared" si="47"/>
        <v/>
      </c>
      <c r="AL292" s="2" t="str">
        <f t="shared" si="48"/>
        <v/>
      </c>
      <c r="AM292" s="2" t="str">
        <f t="shared" si="49"/>
        <v/>
      </c>
      <c r="AN292" s="2"/>
      <c r="AO292" s="2"/>
    </row>
    <row r="293" spans="1:41" ht="12" customHeight="1" x14ac:dyDescent="0.3">
      <c r="A293" s="2"/>
      <c r="B293" s="2" t="str">
        <f t="shared" si="40"/>
        <v/>
      </c>
      <c r="C293" s="2" t="str">
        <f t="shared" si="41"/>
        <v/>
      </c>
      <c r="D293" s="2" t="str">
        <f>IF(DB_Artworks_Export!A293="","",DB_Artworks_Export!A293)</f>
        <v/>
      </c>
      <c r="E293" s="2" t="str">
        <f>IF(DB_Artworks_Export!B293="","",DB_Artworks_Export!B293)</f>
        <v/>
      </c>
      <c r="F293" s="2" t="str">
        <f>IF(DB_Artworks_Export!C293="","",DB_Artworks_Export!C293)</f>
        <v/>
      </c>
      <c r="G293" s="2" t="str">
        <f>IF(DB_Artworks_Export!D293="","",DB_Artworks_Export!D293)</f>
        <v/>
      </c>
      <c r="H293" s="2" t="str">
        <f>IF(DB_Artworks_Export!E293="","",DB_Artworks_Export!E293)</f>
        <v/>
      </c>
      <c r="I293" s="2" t="str">
        <f>IF(DB_Artworks_Export!F293="","",DB_Artworks_Export!F293)</f>
        <v/>
      </c>
      <c r="J293" s="2" t="str">
        <f>IF(DB_Artworks_Export!G293="","",DB_Artworks_Export!G293)</f>
        <v/>
      </c>
      <c r="K293" s="2" t="str">
        <f>IF(DB_Artworks_Export!H293="","",DB_Artworks_Export!H293)</f>
        <v/>
      </c>
      <c r="L293" s="2" t="str">
        <f>IF(DB_Artworks_Export!I293="","",DB_Artworks_Export!I293)</f>
        <v/>
      </c>
      <c r="M293" s="2" t="str">
        <f>IF(DB_Artworks_Export!J293="","",DB_Artworks_Export!J293)</f>
        <v/>
      </c>
      <c r="N293" s="2" t="str">
        <f>IF(DB_Artworks_Export!K293="","",DB_Artworks_Export!K293)</f>
        <v/>
      </c>
      <c r="O293" s="2" t="str">
        <f>IF(DB_Artworks_Export!L293="","",DB_Artworks_Export!L293)</f>
        <v/>
      </c>
      <c r="P293" s="2" t="str">
        <f>IF(DB_Artworks_Export!M293="","",DB_Artworks_Export!M293)</f>
        <v/>
      </c>
      <c r="Q293" s="2" t="str">
        <f>IF(DB_Artworks_Export!N293="","",DB_Artworks_Export!N293)</f>
        <v/>
      </c>
      <c r="R293" s="2" t="str">
        <f>IF($D293="","",IF(COUNTIF(DB_Categories_Export!$A:$A,$F293)&gt;0,"OK","INVALID CATEGORY"))</f>
        <v/>
      </c>
      <c r="S293" s="2" t="str">
        <f>IF($D293="","",COUNTIF(DB_Artwork_Sizes_Export!$B:$B,$D293))</f>
        <v/>
      </c>
      <c r="T293" s="2" t="str">
        <f>IF($D293="","",IFERROR(INDEX(DB_Artwork_Sizes_Export!$D:$D,MATCH($D293,DB_Artwork_Sizes_Export!$B:$B,0)),""))</f>
        <v/>
      </c>
      <c r="U293" s="2" t="str">
        <f>IF($D293="","",IFERROR(INDEX(DB_Artwork_Sizes_Export!$E:$E,MATCH($D293,DB_Artwork_Sizes_Export!$B:$B,0)),""))</f>
        <v/>
      </c>
      <c r="V293" s="2" t="str">
        <f>IF($D293="","",IFERROR(INDEX(DB_Artwork_Sizes_Export!$F:$F,MATCH($D293,DB_Artwork_Sizes_Export!$B:$B,0)),""))</f>
        <v/>
      </c>
      <c r="W293" s="2" t="str">
        <f t="shared" si="42"/>
        <v/>
      </c>
      <c r="X293" s="2"/>
      <c r="Y293" s="2"/>
      <c r="Z293" s="2"/>
      <c r="AA293" s="2"/>
      <c r="AB293" s="2"/>
      <c r="AC293" s="2"/>
      <c r="AD293" s="2"/>
      <c r="AE293" s="2"/>
      <c r="AF293" s="2" t="str">
        <f t="shared" si="43"/>
        <v/>
      </c>
      <c r="AG293" s="2" t="str">
        <f t="shared" si="44"/>
        <v/>
      </c>
      <c r="AH293" s="2" t="str">
        <f>IF($AG293="","",IFERROR(VLOOKUP($AG293,DB_Categories_Export!$A:$B,2,FALSE()),"INVALID CATEGORY"))</f>
        <v/>
      </c>
      <c r="AI293" s="2" t="str">
        <f t="shared" si="45"/>
        <v/>
      </c>
      <c r="AJ293" s="2" t="str">
        <f t="shared" si="46"/>
        <v/>
      </c>
      <c r="AK293" s="2" t="str">
        <f t="shared" si="47"/>
        <v/>
      </c>
      <c r="AL293" s="2" t="str">
        <f t="shared" si="48"/>
        <v/>
      </c>
      <c r="AM293" s="2" t="str">
        <f t="shared" si="49"/>
        <v/>
      </c>
      <c r="AN293" s="2"/>
      <c r="AO293" s="2"/>
    </row>
    <row r="294" spans="1:41" ht="12" customHeight="1" x14ac:dyDescent="0.3">
      <c r="A294" s="2"/>
      <c r="B294" s="2" t="str">
        <f t="shared" si="40"/>
        <v/>
      </c>
      <c r="C294" s="2" t="str">
        <f t="shared" si="41"/>
        <v/>
      </c>
      <c r="D294" s="2" t="str">
        <f>IF(DB_Artworks_Export!A294="","",DB_Artworks_Export!A294)</f>
        <v/>
      </c>
      <c r="E294" s="2" t="str">
        <f>IF(DB_Artworks_Export!B294="","",DB_Artworks_Export!B294)</f>
        <v/>
      </c>
      <c r="F294" s="2" t="str">
        <f>IF(DB_Artworks_Export!C294="","",DB_Artworks_Export!C294)</f>
        <v/>
      </c>
      <c r="G294" s="2" t="str">
        <f>IF(DB_Artworks_Export!D294="","",DB_Artworks_Export!D294)</f>
        <v/>
      </c>
      <c r="H294" s="2" t="str">
        <f>IF(DB_Artworks_Export!E294="","",DB_Artworks_Export!E294)</f>
        <v/>
      </c>
      <c r="I294" s="2" t="str">
        <f>IF(DB_Artworks_Export!F294="","",DB_Artworks_Export!F294)</f>
        <v/>
      </c>
      <c r="J294" s="2" t="str">
        <f>IF(DB_Artworks_Export!G294="","",DB_Artworks_Export!G294)</f>
        <v/>
      </c>
      <c r="K294" s="2" t="str">
        <f>IF(DB_Artworks_Export!H294="","",DB_Artworks_Export!H294)</f>
        <v/>
      </c>
      <c r="L294" s="2" t="str">
        <f>IF(DB_Artworks_Export!I294="","",DB_Artworks_Export!I294)</f>
        <v/>
      </c>
      <c r="M294" s="2" t="str">
        <f>IF(DB_Artworks_Export!J294="","",DB_Artworks_Export!J294)</f>
        <v/>
      </c>
      <c r="N294" s="2" t="str">
        <f>IF(DB_Artworks_Export!K294="","",DB_Artworks_Export!K294)</f>
        <v/>
      </c>
      <c r="O294" s="2" t="str">
        <f>IF(DB_Artworks_Export!L294="","",DB_Artworks_Export!L294)</f>
        <v/>
      </c>
      <c r="P294" s="2" t="str">
        <f>IF(DB_Artworks_Export!M294="","",DB_Artworks_Export!M294)</f>
        <v/>
      </c>
      <c r="Q294" s="2" t="str">
        <f>IF(DB_Artworks_Export!N294="","",DB_Artworks_Export!N294)</f>
        <v/>
      </c>
      <c r="R294" s="2" t="str">
        <f>IF($D294="","",IF(COUNTIF(DB_Categories_Export!$A:$A,$F294)&gt;0,"OK","INVALID CATEGORY"))</f>
        <v/>
      </c>
      <c r="S294" s="2" t="str">
        <f>IF($D294="","",COUNTIF(DB_Artwork_Sizes_Export!$B:$B,$D294))</f>
        <v/>
      </c>
      <c r="T294" s="2" t="str">
        <f>IF($D294="","",IFERROR(INDEX(DB_Artwork_Sizes_Export!$D:$D,MATCH($D294,DB_Artwork_Sizes_Export!$B:$B,0)),""))</f>
        <v/>
      </c>
      <c r="U294" s="2" t="str">
        <f>IF($D294="","",IFERROR(INDEX(DB_Artwork_Sizes_Export!$E:$E,MATCH($D294,DB_Artwork_Sizes_Export!$B:$B,0)),""))</f>
        <v/>
      </c>
      <c r="V294" s="2" t="str">
        <f>IF($D294="","",IFERROR(INDEX(DB_Artwork_Sizes_Export!$F:$F,MATCH($D294,DB_Artwork_Sizes_Export!$B:$B,0)),""))</f>
        <v/>
      </c>
      <c r="W294" s="2" t="str">
        <f t="shared" si="42"/>
        <v/>
      </c>
      <c r="X294" s="2"/>
      <c r="Y294" s="2"/>
      <c r="Z294" s="2"/>
      <c r="AA294" s="2"/>
      <c r="AB294" s="2"/>
      <c r="AC294" s="2"/>
      <c r="AD294" s="2"/>
      <c r="AE294" s="2"/>
      <c r="AF294" s="2" t="str">
        <f t="shared" si="43"/>
        <v/>
      </c>
      <c r="AG294" s="2" t="str">
        <f t="shared" si="44"/>
        <v/>
      </c>
      <c r="AH294" s="2" t="str">
        <f>IF($AG294="","",IFERROR(VLOOKUP($AG294,DB_Categories_Export!$A:$B,2,FALSE()),"INVALID CATEGORY"))</f>
        <v/>
      </c>
      <c r="AI294" s="2" t="str">
        <f t="shared" si="45"/>
        <v/>
      </c>
      <c r="AJ294" s="2" t="str">
        <f t="shared" si="46"/>
        <v/>
      </c>
      <c r="AK294" s="2" t="str">
        <f t="shared" si="47"/>
        <v/>
      </c>
      <c r="AL294" s="2" t="str">
        <f t="shared" si="48"/>
        <v/>
      </c>
      <c r="AM294" s="2" t="str">
        <f t="shared" si="49"/>
        <v/>
      </c>
      <c r="AN294" s="2"/>
      <c r="AO294" s="2"/>
    </row>
    <row r="295" spans="1:41" ht="12" customHeight="1" x14ac:dyDescent="0.3">
      <c r="A295" s="2"/>
      <c r="B295" s="2" t="str">
        <f t="shared" si="40"/>
        <v/>
      </c>
      <c r="C295" s="2" t="str">
        <f t="shared" si="41"/>
        <v/>
      </c>
      <c r="D295" s="2" t="str">
        <f>IF(DB_Artworks_Export!A295="","",DB_Artworks_Export!A295)</f>
        <v/>
      </c>
      <c r="E295" s="2" t="str">
        <f>IF(DB_Artworks_Export!B295="","",DB_Artworks_Export!B295)</f>
        <v/>
      </c>
      <c r="F295" s="2" t="str">
        <f>IF(DB_Artworks_Export!C295="","",DB_Artworks_Export!C295)</f>
        <v/>
      </c>
      <c r="G295" s="2" t="str">
        <f>IF(DB_Artworks_Export!D295="","",DB_Artworks_Export!D295)</f>
        <v/>
      </c>
      <c r="H295" s="2" t="str">
        <f>IF(DB_Artworks_Export!E295="","",DB_Artworks_Export!E295)</f>
        <v/>
      </c>
      <c r="I295" s="2" t="str">
        <f>IF(DB_Artworks_Export!F295="","",DB_Artworks_Export!F295)</f>
        <v/>
      </c>
      <c r="J295" s="2" t="str">
        <f>IF(DB_Artworks_Export!G295="","",DB_Artworks_Export!G295)</f>
        <v/>
      </c>
      <c r="K295" s="2" t="str">
        <f>IF(DB_Artworks_Export!H295="","",DB_Artworks_Export!H295)</f>
        <v/>
      </c>
      <c r="L295" s="2" t="str">
        <f>IF(DB_Artworks_Export!I295="","",DB_Artworks_Export!I295)</f>
        <v/>
      </c>
      <c r="M295" s="2" t="str">
        <f>IF(DB_Artworks_Export!J295="","",DB_Artworks_Export!J295)</f>
        <v/>
      </c>
      <c r="N295" s="2" t="str">
        <f>IF(DB_Artworks_Export!K295="","",DB_Artworks_Export!K295)</f>
        <v/>
      </c>
      <c r="O295" s="2" t="str">
        <f>IF(DB_Artworks_Export!L295="","",DB_Artworks_Export!L295)</f>
        <v/>
      </c>
      <c r="P295" s="2" t="str">
        <f>IF(DB_Artworks_Export!M295="","",DB_Artworks_Export!M295)</f>
        <v/>
      </c>
      <c r="Q295" s="2" t="str">
        <f>IF(DB_Artworks_Export!N295="","",DB_Artworks_Export!N295)</f>
        <v/>
      </c>
      <c r="R295" s="2" t="str">
        <f>IF($D295="","",IF(COUNTIF(DB_Categories_Export!$A:$A,$F295)&gt;0,"OK","INVALID CATEGORY"))</f>
        <v/>
      </c>
      <c r="S295" s="2" t="str">
        <f>IF($D295="","",COUNTIF(DB_Artwork_Sizes_Export!$B:$B,$D295))</f>
        <v/>
      </c>
      <c r="T295" s="2" t="str">
        <f>IF($D295="","",IFERROR(INDEX(DB_Artwork_Sizes_Export!$D:$D,MATCH($D295,DB_Artwork_Sizes_Export!$B:$B,0)),""))</f>
        <v/>
      </c>
      <c r="U295" s="2" t="str">
        <f>IF($D295="","",IFERROR(INDEX(DB_Artwork_Sizes_Export!$E:$E,MATCH($D295,DB_Artwork_Sizes_Export!$B:$B,0)),""))</f>
        <v/>
      </c>
      <c r="V295" s="2" t="str">
        <f>IF($D295="","",IFERROR(INDEX(DB_Artwork_Sizes_Export!$F:$F,MATCH($D295,DB_Artwork_Sizes_Export!$B:$B,0)),""))</f>
        <v/>
      </c>
      <c r="W295" s="2" t="str">
        <f t="shared" si="42"/>
        <v/>
      </c>
      <c r="X295" s="2"/>
      <c r="Y295" s="2"/>
      <c r="Z295" s="2"/>
      <c r="AA295" s="2"/>
      <c r="AB295" s="2"/>
      <c r="AC295" s="2"/>
      <c r="AD295" s="2"/>
      <c r="AE295" s="2"/>
      <c r="AF295" s="2" t="str">
        <f t="shared" si="43"/>
        <v/>
      </c>
      <c r="AG295" s="2" t="str">
        <f t="shared" si="44"/>
        <v/>
      </c>
      <c r="AH295" s="2" t="str">
        <f>IF($AG295="","",IFERROR(VLOOKUP($AG295,DB_Categories_Export!$A:$B,2,FALSE()),"INVALID CATEGORY"))</f>
        <v/>
      </c>
      <c r="AI295" s="2" t="str">
        <f t="shared" si="45"/>
        <v/>
      </c>
      <c r="AJ295" s="2" t="str">
        <f t="shared" si="46"/>
        <v/>
      </c>
      <c r="AK295" s="2" t="str">
        <f t="shared" si="47"/>
        <v/>
      </c>
      <c r="AL295" s="2" t="str">
        <f t="shared" si="48"/>
        <v/>
      </c>
      <c r="AM295" s="2" t="str">
        <f t="shared" si="49"/>
        <v/>
      </c>
      <c r="AN295" s="2"/>
      <c r="AO295" s="2"/>
    </row>
    <row r="296" spans="1:41" ht="12" customHeight="1" x14ac:dyDescent="0.3">
      <c r="A296" s="2"/>
      <c r="B296" s="2" t="str">
        <f t="shared" si="40"/>
        <v/>
      </c>
      <c r="C296" s="2" t="str">
        <f t="shared" si="41"/>
        <v/>
      </c>
      <c r="D296" s="2" t="str">
        <f>IF(DB_Artworks_Export!A296="","",DB_Artworks_Export!A296)</f>
        <v/>
      </c>
      <c r="E296" s="2" t="str">
        <f>IF(DB_Artworks_Export!B296="","",DB_Artworks_Export!B296)</f>
        <v/>
      </c>
      <c r="F296" s="2" t="str">
        <f>IF(DB_Artworks_Export!C296="","",DB_Artworks_Export!C296)</f>
        <v/>
      </c>
      <c r="G296" s="2" t="str">
        <f>IF(DB_Artworks_Export!D296="","",DB_Artworks_Export!D296)</f>
        <v/>
      </c>
      <c r="H296" s="2" t="str">
        <f>IF(DB_Artworks_Export!E296="","",DB_Artworks_Export!E296)</f>
        <v/>
      </c>
      <c r="I296" s="2" t="str">
        <f>IF(DB_Artworks_Export!F296="","",DB_Artworks_Export!F296)</f>
        <v/>
      </c>
      <c r="J296" s="2" t="str">
        <f>IF(DB_Artworks_Export!G296="","",DB_Artworks_Export!G296)</f>
        <v/>
      </c>
      <c r="K296" s="2" t="str">
        <f>IF(DB_Artworks_Export!H296="","",DB_Artworks_Export!H296)</f>
        <v/>
      </c>
      <c r="L296" s="2" t="str">
        <f>IF(DB_Artworks_Export!I296="","",DB_Artworks_Export!I296)</f>
        <v/>
      </c>
      <c r="M296" s="2" t="str">
        <f>IF(DB_Artworks_Export!J296="","",DB_Artworks_Export!J296)</f>
        <v/>
      </c>
      <c r="N296" s="2" t="str">
        <f>IF(DB_Artworks_Export!K296="","",DB_Artworks_Export!K296)</f>
        <v/>
      </c>
      <c r="O296" s="2" t="str">
        <f>IF(DB_Artworks_Export!L296="","",DB_Artworks_Export!L296)</f>
        <v/>
      </c>
      <c r="P296" s="2" t="str">
        <f>IF(DB_Artworks_Export!M296="","",DB_Artworks_Export!M296)</f>
        <v/>
      </c>
      <c r="Q296" s="2" t="str">
        <f>IF(DB_Artworks_Export!N296="","",DB_Artworks_Export!N296)</f>
        <v/>
      </c>
      <c r="R296" s="2" t="str">
        <f>IF($D296="","",IF(COUNTIF(DB_Categories_Export!$A:$A,$F296)&gt;0,"OK","INVALID CATEGORY"))</f>
        <v/>
      </c>
      <c r="S296" s="2" t="str">
        <f>IF($D296="","",COUNTIF(DB_Artwork_Sizes_Export!$B:$B,$D296))</f>
        <v/>
      </c>
      <c r="T296" s="2" t="str">
        <f>IF($D296="","",IFERROR(INDEX(DB_Artwork_Sizes_Export!$D:$D,MATCH($D296,DB_Artwork_Sizes_Export!$B:$B,0)),""))</f>
        <v/>
      </c>
      <c r="U296" s="2" t="str">
        <f>IF($D296="","",IFERROR(INDEX(DB_Artwork_Sizes_Export!$E:$E,MATCH($D296,DB_Artwork_Sizes_Export!$B:$B,0)),""))</f>
        <v/>
      </c>
      <c r="V296" s="2" t="str">
        <f>IF($D296="","",IFERROR(INDEX(DB_Artwork_Sizes_Export!$F:$F,MATCH($D296,DB_Artwork_Sizes_Export!$B:$B,0)),""))</f>
        <v/>
      </c>
      <c r="W296" s="2" t="str">
        <f t="shared" si="42"/>
        <v/>
      </c>
      <c r="X296" s="2"/>
      <c r="Y296" s="2"/>
      <c r="Z296" s="2"/>
      <c r="AA296" s="2"/>
      <c r="AB296" s="2"/>
      <c r="AC296" s="2"/>
      <c r="AD296" s="2"/>
      <c r="AE296" s="2"/>
      <c r="AF296" s="2" t="str">
        <f t="shared" si="43"/>
        <v/>
      </c>
      <c r="AG296" s="2" t="str">
        <f t="shared" si="44"/>
        <v/>
      </c>
      <c r="AH296" s="2" t="str">
        <f>IF($AG296="","",IFERROR(VLOOKUP($AG296,DB_Categories_Export!$A:$B,2,FALSE()),"INVALID CATEGORY"))</f>
        <v/>
      </c>
      <c r="AI296" s="2" t="str">
        <f t="shared" si="45"/>
        <v/>
      </c>
      <c r="AJ296" s="2" t="str">
        <f t="shared" si="46"/>
        <v/>
      </c>
      <c r="AK296" s="2" t="str">
        <f t="shared" si="47"/>
        <v/>
      </c>
      <c r="AL296" s="2" t="str">
        <f t="shared" si="48"/>
        <v/>
      </c>
      <c r="AM296" s="2" t="str">
        <f t="shared" si="49"/>
        <v/>
      </c>
      <c r="AN296" s="2"/>
      <c r="AO296" s="2"/>
    </row>
    <row r="297" spans="1:41" ht="12" customHeight="1" x14ac:dyDescent="0.3">
      <c r="A297" s="2"/>
      <c r="B297" s="2" t="str">
        <f t="shared" si="40"/>
        <v/>
      </c>
      <c r="C297" s="2" t="str">
        <f t="shared" si="41"/>
        <v/>
      </c>
      <c r="D297" s="2" t="str">
        <f>IF(DB_Artworks_Export!A297="","",DB_Artworks_Export!A297)</f>
        <v/>
      </c>
      <c r="E297" s="2" t="str">
        <f>IF(DB_Artworks_Export!B297="","",DB_Artworks_Export!B297)</f>
        <v/>
      </c>
      <c r="F297" s="2" t="str">
        <f>IF(DB_Artworks_Export!C297="","",DB_Artworks_Export!C297)</f>
        <v/>
      </c>
      <c r="G297" s="2" t="str">
        <f>IF(DB_Artworks_Export!D297="","",DB_Artworks_Export!D297)</f>
        <v/>
      </c>
      <c r="H297" s="2" t="str">
        <f>IF(DB_Artworks_Export!E297="","",DB_Artworks_Export!E297)</f>
        <v/>
      </c>
      <c r="I297" s="2" t="str">
        <f>IF(DB_Artworks_Export!F297="","",DB_Artworks_Export!F297)</f>
        <v/>
      </c>
      <c r="J297" s="2" t="str">
        <f>IF(DB_Artworks_Export!G297="","",DB_Artworks_Export!G297)</f>
        <v/>
      </c>
      <c r="K297" s="2" t="str">
        <f>IF(DB_Artworks_Export!H297="","",DB_Artworks_Export!H297)</f>
        <v/>
      </c>
      <c r="L297" s="2" t="str">
        <f>IF(DB_Artworks_Export!I297="","",DB_Artworks_Export!I297)</f>
        <v/>
      </c>
      <c r="M297" s="2" t="str">
        <f>IF(DB_Artworks_Export!J297="","",DB_Artworks_Export!J297)</f>
        <v/>
      </c>
      <c r="N297" s="2" t="str">
        <f>IF(DB_Artworks_Export!K297="","",DB_Artworks_Export!K297)</f>
        <v/>
      </c>
      <c r="O297" s="2" t="str">
        <f>IF(DB_Artworks_Export!L297="","",DB_Artworks_Export!L297)</f>
        <v/>
      </c>
      <c r="P297" s="2" t="str">
        <f>IF(DB_Artworks_Export!M297="","",DB_Artworks_Export!M297)</f>
        <v/>
      </c>
      <c r="Q297" s="2" t="str">
        <f>IF(DB_Artworks_Export!N297="","",DB_Artworks_Export!N297)</f>
        <v/>
      </c>
      <c r="R297" s="2" t="str">
        <f>IF($D297="","",IF(COUNTIF(DB_Categories_Export!$A:$A,$F297)&gt;0,"OK","INVALID CATEGORY"))</f>
        <v/>
      </c>
      <c r="S297" s="2" t="str">
        <f>IF($D297="","",COUNTIF(DB_Artwork_Sizes_Export!$B:$B,$D297))</f>
        <v/>
      </c>
      <c r="T297" s="2" t="str">
        <f>IF($D297="","",IFERROR(INDEX(DB_Artwork_Sizes_Export!$D:$D,MATCH($D297,DB_Artwork_Sizes_Export!$B:$B,0)),""))</f>
        <v/>
      </c>
      <c r="U297" s="2" t="str">
        <f>IF($D297="","",IFERROR(INDEX(DB_Artwork_Sizes_Export!$E:$E,MATCH($D297,DB_Artwork_Sizes_Export!$B:$B,0)),""))</f>
        <v/>
      </c>
      <c r="V297" s="2" t="str">
        <f>IF($D297="","",IFERROR(INDEX(DB_Artwork_Sizes_Export!$F:$F,MATCH($D297,DB_Artwork_Sizes_Export!$B:$B,0)),""))</f>
        <v/>
      </c>
      <c r="W297" s="2" t="str">
        <f t="shared" si="42"/>
        <v/>
      </c>
      <c r="X297" s="2"/>
      <c r="Y297" s="2"/>
      <c r="Z297" s="2"/>
      <c r="AA297" s="2"/>
      <c r="AB297" s="2"/>
      <c r="AC297" s="2"/>
      <c r="AD297" s="2"/>
      <c r="AE297" s="2"/>
      <c r="AF297" s="2" t="str">
        <f t="shared" si="43"/>
        <v/>
      </c>
      <c r="AG297" s="2" t="str">
        <f t="shared" si="44"/>
        <v/>
      </c>
      <c r="AH297" s="2" t="str">
        <f>IF($AG297="","",IFERROR(VLOOKUP($AG297,DB_Categories_Export!$A:$B,2,FALSE()),"INVALID CATEGORY"))</f>
        <v/>
      </c>
      <c r="AI297" s="2" t="str">
        <f t="shared" si="45"/>
        <v/>
      </c>
      <c r="AJ297" s="2" t="str">
        <f t="shared" si="46"/>
        <v/>
      </c>
      <c r="AK297" s="2" t="str">
        <f t="shared" si="47"/>
        <v/>
      </c>
      <c r="AL297" s="2" t="str">
        <f t="shared" si="48"/>
        <v/>
      </c>
      <c r="AM297" s="2" t="str">
        <f t="shared" si="49"/>
        <v/>
      </c>
      <c r="AN297" s="2"/>
      <c r="AO297" s="2"/>
    </row>
    <row r="298" spans="1:41" ht="12" customHeight="1" x14ac:dyDescent="0.3">
      <c r="A298" s="2"/>
      <c r="B298" s="2" t="str">
        <f t="shared" si="40"/>
        <v/>
      </c>
      <c r="C298" s="2" t="str">
        <f t="shared" si="41"/>
        <v/>
      </c>
      <c r="D298" s="2" t="str">
        <f>IF(DB_Artworks_Export!A298="","",DB_Artworks_Export!A298)</f>
        <v/>
      </c>
      <c r="E298" s="2" t="str">
        <f>IF(DB_Artworks_Export!B298="","",DB_Artworks_Export!B298)</f>
        <v/>
      </c>
      <c r="F298" s="2" t="str">
        <f>IF(DB_Artworks_Export!C298="","",DB_Artworks_Export!C298)</f>
        <v/>
      </c>
      <c r="G298" s="2" t="str">
        <f>IF(DB_Artworks_Export!D298="","",DB_Artworks_Export!D298)</f>
        <v/>
      </c>
      <c r="H298" s="2" t="str">
        <f>IF(DB_Artworks_Export!E298="","",DB_Artworks_Export!E298)</f>
        <v/>
      </c>
      <c r="I298" s="2" t="str">
        <f>IF(DB_Artworks_Export!F298="","",DB_Artworks_Export!F298)</f>
        <v/>
      </c>
      <c r="J298" s="2" t="str">
        <f>IF(DB_Artworks_Export!G298="","",DB_Artworks_Export!G298)</f>
        <v/>
      </c>
      <c r="K298" s="2" t="str">
        <f>IF(DB_Artworks_Export!H298="","",DB_Artworks_Export!H298)</f>
        <v/>
      </c>
      <c r="L298" s="2" t="str">
        <f>IF(DB_Artworks_Export!I298="","",DB_Artworks_Export!I298)</f>
        <v/>
      </c>
      <c r="M298" s="2" t="str">
        <f>IF(DB_Artworks_Export!J298="","",DB_Artworks_Export!J298)</f>
        <v/>
      </c>
      <c r="N298" s="2" t="str">
        <f>IF(DB_Artworks_Export!K298="","",DB_Artworks_Export!K298)</f>
        <v/>
      </c>
      <c r="O298" s="2" t="str">
        <f>IF(DB_Artworks_Export!L298="","",DB_Artworks_Export!L298)</f>
        <v/>
      </c>
      <c r="P298" s="2" t="str">
        <f>IF(DB_Artworks_Export!M298="","",DB_Artworks_Export!M298)</f>
        <v/>
      </c>
      <c r="Q298" s="2" t="str">
        <f>IF(DB_Artworks_Export!N298="","",DB_Artworks_Export!N298)</f>
        <v/>
      </c>
      <c r="R298" s="2" t="str">
        <f>IF($D298="","",IF(COUNTIF(DB_Categories_Export!$A:$A,$F298)&gt;0,"OK","INVALID CATEGORY"))</f>
        <v/>
      </c>
      <c r="S298" s="2" t="str">
        <f>IF($D298="","",COUNTIF(DB_Artwork_Sizes_Export!$B:$B,$D298))</f>
        <v/>
      </c>
      <c r="T298" s="2" t="str">
        <f>IF($D298="","",IFERROR(INDEX(DB_Artwork_Sizes_Export!$D:$D,MATCH($D298,DB_Artwork_Sizes_Export!$B:$B,0)),""))</f>
        <v/>
      </c>
      <c r="U298" s="2" t="str">
        <f>IF($D298="","",IFERROR(INDEX(DB_Artwork_Sizes_Export!$E:$E,MATCH($D298,DB_Artwork_Sizes_Export!$B:$B,0)),""))</f>
        <v/>
      </c>
      <c r="V298" s="2" t="str">
        <f>IF($D298="","",IFERROR(INDEX(DB_Artwork_Sizes_Export!$F:$F,MATCH($D298,DB_Artwork_Sizes_Export!$B:$B,0)),""))</f>
        <v/>
      </c>
      <c r="W298" s="2" t="str">
        <f t="shared" si="42"/>
        <v/>
      </c>
      <c r="X298" s="2"/>
      <c r="Y298" s="2"/>
      <c r="Z298" s="2"/>
      <c r="AA298" s="2"/>
      <c r="AB298" s="2"/>
      <c r="AC298" s="2"/>
      <c r="AD298" s="2"/>
      <c r="AE298" s="2"/>
      <c r="AF298" s="2" t="str">
        <f t="shared" si="43"/>
        <v/>
      </c>
      <c r="AG298" s="2" t="str">
        <f t="shared" si="44"/>
        <v/>
      </c>
      <c r="AH298" s="2" t="str">
        <f>IF($AG298="","",IFERROR(VLOOKUP($AG298,DB_Categories_Export!$A:$B,2,FALSE()),"INVALID CATEGORY"))</f>
        <v/>
      </c>
      <c r="AI298" s="2" t="str">
        <f t="shared" si="45"/>
        <v/>
      </c>
      <c r="AJ298" s="2" t="str">
        <f t="shared" si="46"/>
        <v/>
      </c>
      <c r="AK298" s="2" t="str">
        <f t="shared" si="47"/>
        <v/>
      </c>
      <c r="AL298" s="2" t="str">
        <f t="shared" si="48"/>
        <v/>
      </c>
      <c r="AM298" s="2" t="str">
        <f t="shared" si="49"/>
        <v/>
      </c>
      <c r="AN298" s="2"/>
      <c r="AO298" s="2"/>
    </row>
    <row r="299" spans="1:41" ht="12" customHeight="1" x14ac:dyDescent="0.3">
      <c r="A299" s="2"/>
      <c r="B299" s="2" t="str">
        <f t="shared" si="40"/>
        <v/>
      </c>
      <c r="C299" s="2" t="str">
        <f t="shared" si="41"/>
        <v/>
      </c>
      <c r="D299" s="2" t="str">
        <f>IF(DB_Artworks_Export!A299="","",DB_Artworks_Export!A299)</f>
        <v/>
      </c>
      <c r="E299" s="2" t="str">
        <f>IF(DB_Artworks_Export!B299="","",DB_Artworks_Export!B299)</f>
        <v/>
      </c>
      <c r="F299" s="2" t="str">
        <f>IF(DB_Artworks_Export!C299="","",DB_Artworks_Export!C299)</f>
        <v/>
      </c>
      <c r="G299" s="2" t="str">
        <f>IF(DB_Artworks_Export!D299="","",DB_Artworks_Export!D299)</f>
        <v/>
      </c>
      <c r="H299" s="2" t="str">
        <f>IF(DB_Artworks_Export!E299="","",DB_Artworks_Export!E299)</f>
        <v/>
      </c>
      <c r="I299" s="2" t="str">
        <f>IF(DB_Artworks_Export!F299="","",DB_Artworks_Export!F299)</f>
        <v/>
      </c>
      <c r="J299" s="2" t="str">
        <f>IF(DB_Artworks_Export!G299="","",DB_Artworks_Export!G299)</f>
        <v/>
      </c>
      <c r="K299" s="2" t="str">
        <f>IF(DB_Artworks_Export!H299="","",DB_Artworks_Export!H299)</f>
        <v/>
      </c>
      <c r="L299" s="2" t="str">
        <f>IF(DB_Artworks_Export!I299="","",DB_Artworks_Export!I299)</f>
        <v/>
      </c>
      <c r="M299" s="2" t="str">
        <f>IF(DB_Artworks_Export!J299="","",DB_Artworks_Export!J299)</f>
        <v/>
      </c>
      <c r="N299" s="2" t="str">
        <f>IF(DB_Artworks_Export!K299="","",DB_Artworks_Export!K299)</f>
        <v/>
      </c>
      <c r="O299" s="2" t="str">
        <f>IF(DB_Artworks_Export!L299="","",DB_Artworks_Export!L299)</f>
        <v/>
      </c>
      <c r="P299" s="2" t="str">
        <f>IF(DB_Artworks_Export!M299="","",DB_Artworks_Export!M299)</f>
        <v/>
      </c>
      <c r="Q299" s="2" t="str">
        <f>IF(DB_Artworks_Export!N299="","",DB_Artworks_Export!N299)</f>
        <v/>
      </c>
      <c r="R299" s="2" t="str">
        <f>IF($D299="","",IF(COUNTIF(DB_Categories_Export!$A:$A,$F299)&gt;0,"OK","INVALID CATEGORY"))</f>
        <v/>
      </c>
      <c r="S299" s="2" t="str">
        <f>IF($D299="","",COUNTIF(DB_Artwork_Sizes_Export!$B:$B,$D299))</f>
        <v/>
      </c>
      <c r="T299" s="2" t="str">
        <f>IF($D299="","",IFERROR(INDEX(DB_Artwork_Sizes_Export!$D:$D,MATCH($D299,DB_Artwork_Sizes_Export!$B:$B,0)),""))</f>
        <v/>
      </c>
      <c r="U299" s="2" t="str">
        <f>IF($D299="","",IFERROR(INDEX(DB_Artwork_Sizes_Export!$E:$E,MATCH($D299,DB_Artwork_Sizes_Export!$B:$B,0)),""))</f>
        <v/>
      </c>
      <c r="V299" s="2" t="str">
        <f>IF($D299="","",IFERROR(INDEX(DB_Artwork_Sizes_Export!$F:$F,MATCH($D299,DB_Artwork_Sizes_Export!$B:$B,0)),""))</f>
        <v/>
      </c>
      <c r="W299" s="2" t="str">
        <f t="shared" si="42"/>
        <v/>
      </c>
      <c r="X299" s="2"/>
      <c r="Y299" s="2"/>
      <c r="Z299" s="2"/>
      <c r="AA299" s="2"/>
      <c r="AB299" s="2"/>
      <c r="AC299" s="2"/>
      <c r="AD299" s="2"/>
      <c r="AE299" s="2"/>
      <c r="AF299" s="2" t="str">
        <f t="shared" si="43"/>
        <v/>
      </c>
      <c r="AG299" s="2" t="str">
        <f t="shared" si="44"/>
        <v/>
      </c>
      <c r="AH299" s="2" t="str">
        <f>IF($AG299="","",IFERROR(VLOOKUP($AG299,DB_Categories_Export!$A:$B,2,FALSE()),"INVALID CATEGORY"))</f>
        <v/>
      </c>
      <c r="AI299" s="2" t="str">
        <f t="shared" si="45"/>
        <v/>
      </c>
      <c r="AJ299" s="2" t="str">
        <f t="shared" si="46"/>
        <v/>
      </c>
      <c r="AK299" s="2" t="str">
        <f t="shared" si="47"/>
        <v/>
      </c>
      <c r="AL299" s="2" t="str">
        <f t="shared" si="48"/>
        <v/>
      </c>
      <c r="AM299" s="2" t="str">
        <f t="shared" si="49"/>
        <v/>
      </c>
      <c r="AN299" s="2"/>
      <c r="AO299" s="2"/>
    </row>
    <row r="300" spans="1:41" ht="12" customHeight="1" x14ac:dyDescent="0.3">
      <c r="A300" s="2"/>
      <c r="B300" s="2" t="str">
        <f t="shared" si="40"/>
        <v/>
      </c>
      <c r="C300" s="2" t="str">
        <f t="shared" si="41"/>
        <v/>
      </c>
      <c r="D300" s="2" t="str">
        <f>IF(DB_Artworks_Export!A300="","",DB_Artworks_Export!A300)</f>
        <v/>
      </c>
      <c r="E300" s="2" t="str">
        <f>IF(DB_Artworks_Export!B300="","",DB_Artworks_Export!B300)</f>
        <v/>
      </c>
      <c r="F300" s="2" t="str">
        <f>IF(DB_Artworks_Export!C300="","",DB_Artworks_Export!C300)</f>
        <v/>
      </c>
      <c r="G300" s="2" t="str">
        <f>IF(DB_Artworks_Export!D300="","",DB_Artworks_Export!D300)</f>
        <v/>
      </c>
      <c r="H300" s="2" t="str">
        <f>IF(DB_Artworks_Export!E300="","",DB_Artworks_Export!E300)</f>
        <v/>
      </c>
      <c r="I300" s="2" t="str">
        <f>IF(DB_Artworks_Export!F300="","",DB_Artworks_Export!F300)</f>
        <v/>
      </c>
      <c r="J300" s="2" t="str">
        <f>IF(DB_Artworks_Export!G300="","",DB_Artworks_Export!G300)</f>
        <v/>
      </c>
      <c r="K300" s="2" t="str">
        <f>IF(DB_Artworks_Export!H300="","",DB_Artworks_Export!H300)</f>
        <v/>
      </c>
      <c r="L300" s="2" t="str">
        <f>IF(DB_Artworks_Export!I300="","",DB_Artworks_Export!I300)</f>
        <v/>
      </c>
      <c r="M300" s="2" t="str">
        <f>IF(DB_Artworks_Export!J300="","",DB_Artworks_Export!J300)</f>
        <v/>
      </c>
      <c r="N300" s="2" t="str">
        <f>IF(DB_Artworks_Export!K300="","",DB_Artworks_Export!K300)</f>
        <v/>
      </c>
      <c r="O300" s="2" t="str">
        <f>IF(DB_Artworks_Export!L300="","",DB_Artworks_Export!L300)</f>
        <v/>
      </c>
      <c r="P300" s="2" t="str">
        <f>IF(DB_Artworks_Export!M300="","",DB_Artworks_Export!M300)</f>
        <v/>
      </c>
      <c r="Q300" s="2" t="str">
        <f>IF(DB_Artworks_Export!N300="","",DB_Artworks_Export!N300)</f>
        <v/>
      </c>
      <c r="R300" s="2" t="str">
        <f>IF($D300="","",IF(COUNTIF(DB_Categories_Export!$A:$A,$F300)&gt;0,"OK","INVALID CATEGORY"))</f>
        <v/>
      </c>
      <c r="S300" s="2" t="str">
        <f>IF($D300="","",COUNTIF(DB_Artwork_Sizes_Export!$B:$B,$D300))</f>
        <v/>
      </c>
      <c r="T300" s="2" t="str">
        <f>IF($D300="","",IFERROR(INDEX(DB_Artwork_Sizes_Export!$D:$D,MATCH($D300,DB_Artwork_Sizes_Export!$B:$B,0)),""))</f>
        <v/>
      </c>
      <c r="U300" s="2" t="str">
        <f>IF($D300="","",IFERROR(INDEX(DB_Artwork_Sizes_Export!$E:$E,MATCH($D300,DB_Artwork_Sizes_Export!$B:$B,0)),""))</f>
        <v/>
      </c>
      <c r="V300" s="2" t="str">
        <f>IF($D300="","",IFERROR(INDEX(DB_Artwork_Sizes_Export!$F:$F,MATCH($D300,DB_Artwork_Sizes_Export!$B:$B,0)),""))</f>
        <v/>
      </c>
      <c r="W300" s="2" t="str">
        <f t="shared" si="42"/>
        <v/>
      </c>
      <c r="X300" s="2"/>
      <c r="Y300" s="2"/>
      <c r="Z300" s="2"/>
      <c r="AA300" s="2"/>
      <c r="AB300" s="2"/>
      <c r="AC300" s="2"/>
      <c r="AD300" s="2"/>
      <c r="AE300" s="2"/>
      <c r="AF300" s="2" t="str">
        <f t="shared" si="43"/>
        <v/>
      </c>
      <c r="AG300" s="2" t="str">
        <f t="shared" si="44"/>
        <v/>
      </c>
      <c r="AH300" s="2" t="str">
        <f>IF($AG300="","",IFERROR(VLOOKUP($AG300,DB_Categories_Export!$A:$B,2,FALSE()),"INVALID CATEGORY"))</f>
        <v/>
      </c>
      <c r="AI300" s="2" t="str">
        <f t="shared" si="45"/>
        <v/>
      </c>
      <c r="AJ300" s="2" t="str">
        <f t="shared" si="46"/>
        <v/>
      </c>
      <c r="AK300" s="2" t="str">
        <f t="shared" si="47"/>
        <v/>
      </c>
      <c r="AL300" s="2" t="str">
        <f t="shared" si="48"/>
        <v/>
      </c>
      <c r="AM300" s="2" t="str">
        <f t="shared" si="49"/>
        <v/>
      </c>
      <c r="AN300" s="2"/>
      <c r="AO300" s="2"/>
    </row>
    <row r="301" spans="1:41" ht="12" customHeight="1" x14ac:dyDescent="0.3">
      <c r="A301" s="2"/>
      <c r="B301" s="2" t="str">
        <f t="shared" si="40"/>
        <v/>
      </c>
      <c r="C301" s="2" t="str">
        <f t="shared" si="41"/>
        <v/>
      </c>
      <c r="D301" s="2" t="str">
        <f>IF(DB_Artworks_Export!A301="","",DB_Artworks_Export!A301)</f>
        <v/>
      </c>
      <c r="E301" s="2" t="str">
        <f>IF(DB_Artworks_Export!B301="","",DB_Artworks_Export!B301)</f>
        <v/>
      </c>
      <c r="F301" s="2" t="str">
        <f>IF(DB_Artworks_Export!C301="","",DB_Artworks_Export!C301)</f>
        <v/>
      </c>
      <c r="G301" s="2" t="str">
        <f>IF(DB_Artworks_Export!D301="","",DB_Artworks_Export!D301)</f>
        <v/>
      </c>
      <c r="H301" s="2" t="str">
        <f>IF(DB_Artworks_Export!E301="","",DB_Artworks_Export!E301)</f>
        <v/>
      </c>
      <c r="I301" s="2" t="str">
        <f>IF(DB_Artworks_Export!F301="","",DB_Artworks_Export!F301)</f>
        <v/>
      </c>
      <c r="J301" s="2" t="str">
        <f>IF(DB_Artworks_Export!G301="","",DB_Artworks_Export!G301)</f>
        <v/>
      </c>
      <c r="K301" s="2" t="str">
        <f>IF(DB_Artworks_Export!H301="","",DB_Artworks_Export!H301)</f>
        <v/>
      </c>
      <c r="L301" s="2" t="str">
        <f>IF(DB_Artworks_Export!I301="","",DB_Artworks_Export!I301)</f>
        <v/>
      </c>
      <c r="M301" s="2" t="str">
        <f>IF(DB_Artworks_Export!J301="","",DB_Artworks_Export!J301)</f>
        <v/>
      </c>
      <c r="N301" s="2" t="str">
        <f>IF(DB_Artworks_Export!K301="","",DB_Artworks_Export!K301)</f>
        <v/>
      </c>
      <c r="O301" s="2" t="str">
        <f>IF(DB_Artworks_Export!L301="","",DB_Artworks_Export!L301)</f>
        <v/>
      </c>
      <c r="P301" s="2" t="str">
        <f>IF(DB_Artworks_Export!M301="","",DB_Artworks_Export!M301)</f>
        <v/>
      </c>
      <c r="Q301" s="2" t="str">
        <f>IF(DB_Artworks_Export!N301="","",DB_Artworks_Export!N301)</f>
        <v/>
      </c>
      <c r="R301" s="2" t="str">
        <f>IF($D301="","",IF(COUNTIF(DB_Categories_Export!$A:$A,$F301)&gt;0,"OK","INVALID CATEGORY"))</f>
        <v/>
      </c>
      <c r="S301" s="2" t="str">
        <f>IF($D301="","",COUNTIF(DB_Artwork_Sizes_Export!$B:$B,$D301))</f>
        <v/>
      </c>
      <c r="T301" s="2" t="str">
        <f>IF($D301="","",IFERROR(INDEX(DB_Artwork_Sizes_Export!$D:$D,MATCH($D301,DB_Artwork_Sizes_Export!$B:$B,0)),""))</f>
        <v/>
      </c>
      <c r="U301" s="2" t="str">
        <f>IF($D301="","",IFERROR(INDEX(DB_Artwork_Sizes_Export!$E:$E,MATCH($D301,DB_Artwork_Sizes_Export!$B:$B,0)),""))</f>
        <v/>
      </c>
      <c r="V301" s="2" t="str">
        <f>IF($D301="","",IFERROR(INDEX(DB_Artwork_Sizes_Export!$F:$F,MATCH($D301,DB_Artwork_Sizes_Export!$B:$B,0)),""))</f>
        <v/>
      </c>
      <c r="W301" s="2" t="str">
        <f t="shared" si="42"/>
        <v/>
      </c>
      <c r="X301" s="2"/>
      <c r="Y301" s="2"/>
      <c r="Z301" s="2"/>
      <c r="AA301" s="2"/>
      <c r="AB301" s="2"/>
      <c r="AC301" s="2"/>
      <c r="AD301" s="2"/>
      <c r="AE301" s="2"/>
      <c r="AF301" s="2" t="str">
        <f t="shared" si="43"/>
        <v/>
      </c>
      <c r="AG301" s="2" t="str">
        <f t="shared" si="44"/>
        <v/>
      </c>
      <c r="AH301" s="2" t="str">
        <f>IF($AG301="","",IFERROR(VLOOKUP($AG301,DB_Categories_Export!$A:$B,2,FALSE()),"INVALID CATEGORY"))</f>
        <v/>
      </c>
      <c r="AI301" s="2" t="str">
        <f t="shared" si="45"/>
        <v/>
      </c>
      <c r="AJ301" s="2" t="str">
        <f t="shared" si="46"/>
        <v/>
      </c>
      <c r="AK301" s="2" t="str">
        <f t="shared" si="47"/>
        <v/>
      </c>
      <c r="AL301" s="2" t="str">
        <f t="shared" si="48"/>
        <v/>
      </c>
      <c r="AM301" s="2" t="str">
        <f t="shared" si="49"/>
        <v/>
      </c>
      <c r="AN301" s="2"/>
      <c r="AO301" s="2"/>
    </row>
    <row r="302" spans="1:41" ht="12" customHeight="1" x14ac:dyDescent="0.3">
      <c r="A302" s="2"/>
      <c r="B302" s="2" t="str">
        <f t="shared" si="40"/>
        <v/>
      </c>
      <c r="C302" s="2" t="str">
        <f t="shared" si="41"/>
        <v/>
      </c>
      <c r="D302" s="2" t="str">
        <f>IF(DB_Artworks_Export!A302="","",DB_Artworks_Export!A302)</f>
        <v/>
      </c>
      <c r="E302" s="2" t="str">
        <f>IF(DB_Artworks_Export!B302="","",DB_Artworks_Export!B302)</f>
        <v/>
      </c>
      <c r="F302" s="2" t="str">
        <f>IF(DB_Artworks_Export!C302="","",DB_Artworks_Export!C302)</f>
        <v/>
      </c>
      <c r="G302" s="2" t="str">
        <f>IF(DB_Artworks_Export!D302="","",DB_Artworks_Export!D302)</f>
        <v/>
      </c>
      <c r="H302" s="2" t="str">
        <f>IF(DB_Artworks_Export!E302="","",DB_Artworks_Export!E302)</f>
        <v/>
      </c>
      <c r="I302" s="2" t="str">
        <f>IF(DB_Artworks_Export!F302="","",DB_Artworks_Export!F302)</f>
        <v/>
      </c>
      <c r="J302" s="2" t="str">
        <f>IF(DB_Artworks_Export!G302="","",DB_Artworks_Export!G302)</f>
        <v/>
      </c>
      <c r="K302" s="2" t="str">
        <f>IF(DB_Artworks_Export!H302="","",DB_Artworks_Export!H302)</f>
        <v/>
      </c>
      <c r="L302" s="2" t="str">
        <f>IF(DB_Artworks_Export!I302="","",DB_Artworks_Export!I302)</f>
        <v/>
      </c>
      <c r="M302" s="2" t="str">
        <f>IF(DB_Artworks_Export!J302="","",DB_Artworks_Export!J302)</f>
        <v/>
      </c>
      <c r="N302" s="2" t="str">
        <f>IF(DB_Artworks_Export!K302="","",DB_Artworks_Export!K302)</f>
        <v/>
      </c>
      <c r="O302" s="2" t="str">
        <f>IF(DB_Artworks_Export!L302="","",DB_Artworks_Export!L302)</f>
        <v/>
      </c>
      <c r="P302" s="2" t="str">
        <f>IF(DB_Artworks_Export!M302="","",DB_Artworks_Export!M302)</f>
        <v/>
      </c>
      <c r="Q302" s="2" t="str">
        <f>IF(DB_Artworks_Export!N302="","",DB_Artworks_Export!N302)</f>
        <v/>
      </c>
      <c r="R302" s="2" t="str">
        <f>IF($D302="","",IF(COUNTIF(DB_Categories_Export!$A:$A,$F302)&gt;0,"OK","INVALID CATEGORY"))</f>
        <v/>
      </c>
      <c r="S302" s="2" t="str">
        <f>IF($D302="","",COUNTIF(DB_Artwork_Sizes_Export!$B:$B,$D302))</f>
        <v/>
      </c>
      <c r="T302" s="2" t="str">
        <f>IF($D302="","",IFERROR(INDEX(DB_Artwork_Sizes_Export!$D:$D,MATCH($D302,DB_Artwork_Sizes_Export!$B:$B,0)),""))</f>
        <v/>
      </c>
      <c r="U302" s="2" t="str">
        <f>IF($D302="","",IFERROR(INDEX(DB_Artwork_Sizes_Export!$E:$E,MATCH($D302,DB_Artwork_Sizes_Export!$B:$B,0)),""))</f>
        <v/>
      </c>
      <c r="V302" s="2" t="str">
        <f>IF($D302="","",IFERROR(INDEX(DB_Artwork_Sizes_Export!$F:$F,MATCH($D302,DB_Artwork_Sizes_Export!$B:$B,0)),""))</f>
        <v/>
      </c>
      <c r="W302" s="2" t="str">
        <f t="shared" si="42"/>
        <v/>
      </c>
      <c r="X302" s="2"/>
      <c r="Y302" s="2"/>
      <c r="Z302" s="2"/>
      <c r="AA302" s="2"/>
      <c r="AB302" s="2"/>
      <c r="AC302" s="2"/>
      <c r="AD302" s="2"/>
      <c r="AE302" s="2"/>
      <c r="AF302" s="2" t="str">
        <f t="shared" si="43"/>
        <v/>
      </c>
      <c r="AG302" s="2" t="str">
        <f t="shared" si="44"/>
        <v/>
      </c>
      <c r="AH302" s="2" t="str">
        <f>IF($AG302="","",IFERROR(VLOOKUP($AG302,DB_Categories_Export!$A:$B,2,FALSE()),"INVALID CATEGORY"))</f>
        <v/>
      </c>
      <c r="AI302" s="2" t="str">
        <f t="shared" si="45"/>
        <v/>
      </c>
      <c r="AJ302" s="2" t="str">
        <f t="shared" si="46"/>
        <v/>
      </c>
      <c r="AK302" s="2" t="str">
        <f t="shared" si="47"/>
        <v/>
      </c>
      <c r="AL302" s="2" t="str">
        <f t="shared" si="48"/>
        <v/>
      </c>
      <c r="AM302" s="2" t="str">
        <f t="shared" si="49"/>
        <v/>
      </c>
      <c r="AN302" s="2"/>
      <c r="AO302" s="2"/>
    </row>
    <row r="303" spans="1:41" ht="12" customHeight="1" x14ac:dyDescent="0.3">
      <c r="A303" s="2"/>
      <c r="B303" s="2" t="str">
        <f t="shared" si="40"/>
        <v/>
      </c>
      <c r="C303" s="2" t="str">
        <f t="shared" si="41"/>
        <v/>
      </c>
      <c r="D303" s="2" t="str">
        <f>IF(DB_Artworks_Export!A303="","",DB_Artworks_Export!A303)</f>
        <v/>
      </c>
      <c r="E303" s="2" t="str">
        <f>IF(DB_Artworks_Export!B303="","",DB_Artworks_Export!B303)</f>
        <v/>
      </c>
      <c r="F303" s="2" t="str">
        <f>IF(DB_Artworks_Export!C303="","",DB_Artworks_Export!C303)</f>
        <v/>
      </c>
      <c r="G303" s="2" t="str">
        <f>IF(DB_Artworks_Export!D303="","",DB_Artworks_Export!D303)</f>
        <v/>
      </c>
      <c r="H303" s="2" t="str">
        <f>IF(DB_Artworks_Export!E303="","",DB_Artworks_Export!E303)</f>
        <v/>
      </c>
      <c r="I303" s="2" t="str">
        <f>IF(DB_Artworks_Export!F303="","",DB_Artworks_Export!F303)</f>
        <v/>
      </c>
      <c r="J303" s="2" t="str">
        <f>IF(DB_Artworks_Export!G303="","",DB_Artworks_Export!G303)</f>
        <v/>
      </c>
      <c r="K303" s="2" t="str">
        <f>IF(DB_Artworks_Export!H303="","",DB_Artworks_Export!H303)</f>
        <v/>
      </c>
      <c r="L303" s="2" t="str">
        <f>IF(DB_Artworks_Export!I303="","",DB_Artworks_Export!I303)</f>
        <v/>
      </c>
      <c r="M303" s="2" t="str">
        <f>IF(DB_Artworks_Export!J303="","",DB_Artworks_Export!J303)</f>
        <v/>
      </c>
      <c r="N303" s="2" t="str">
        <f>IF(DB_Artworks_Export!K303="","",DB_Artworks_Export!K303)</f>
        <v/>
      </c>
      <c r="O303" s="2" t="str">
        <f>IF(DB_Artworks_Export!L303="","",DB_Artworks_Export!L303)</f>
        <v/>
      </c>
      <c r="P303" s="2" t="str">
        <f>IF(DB_Artworks_Export!M303="","",DB_Artworks_Export!M303)</f>
        <v/>
      </c>
      <c r="Q303" s="2" t="str">
        <f>IF(DB_Artworks_Export!N303="","",DB_Artworks_Export!N303)</f>
        <v/>
      </c>
      <c r="R303" s="2" t="str">
        <f>IF($D303="","",IF(COUNTIF(DB_Categories_Export!$A:$A,$F303)&gt;0,"OK","INVALID CATEGORY"))</f>
        <v/>
      </c>
      <c r="S303" s="2" t="str">
        <f>IF($D303="","",COUNTIF(DB_Artwork_Sizes_Export!$B:$B,$D303))</f>
        <v/>
      </c>
      <c r="T303" s="2" t="str">
        <f>IF($D303="","",IFERROR(INDEX(DB_Artwork_Sizes_Export!$D:$D,MATCH($D303,DB_Artwork_Sizes_Export!$B:$B,0)),""))</f>
        <v/>
      </c>
      <c r="U303" s="2" t="str">
        <f>IF($D303="","",IFERROR(INDEX(DB_Artwork_Sizes_Export!$E:$E,MATCH($D303,DB_Artwork_Sizes_Export!$B:$B,0)),""))</f>
        <v/>
      </c>
      <c r="V303" s="2" t="str">
        <f>IF($D303="","",IFERROR(INDEX(DB_Artwork_Sizes_Export!$F:$F,MATCH($D303,DB_Artwork_Sizes_Export!$B:$B,0)),""))</f>
        <v/>
      </c>
      <c r="W303" s="2" t="str">
        <f t="shared" si="42"/>
        <v/>
      </c>
      <c r="X303" s="2"/>
      <c r="Y303" s="2"/>
      <c r="Z303" s="2"/>
      <c r="AA303" s="2"/>
      <c r="AB303" s="2"/>
      <c r="AC303" s="2"/>
      <c r="AD303" s="2"/>
      <c r="AE303" s="2"/>
      <c r="AF303" s="2" t="str">
        <f t="shared" si="43"/>
        <v/>
      </c>
      <c r="AG303" s="2" t="str">
        <f t="shared" si="44"/>
        <v/>
      </c>
      <c r="AH303" s="2" t="str">
        <f>IF($AG303="","",IFERROR(VLOOKUP($AG303,DB_Categories_Export!$A:$B,2,FALSE()),"INVALID CATEGORY"))</f>
        <v/>
      </c>
      <c r="AI303" s="2" t="str">
        <f t="shared" si="45"/>
        <v/>
      </c>
      <c r="AJ303" s="2" t="str">
        <f t="shared" si="46"/>
        <v/>
      </c>
      <c r="AK303" s="2" t="str">
        <f t="shared" si="47"/>
        <v/>
      </c>
      <c r="AL303" s="2" t="str">
        <f t="shared" si="48"/>
        <v/>
      </c>
      <c r="AM303" s="2" t="str">
        <f t="shared" si="49"/>
        <v/>
      </c>
      <c r="AN303" s="2"/>
      <c r="AO303" s="2"/>
    </row>
    <row r="304" spans="1:41" ht="12" customHeight="1" x14ac:dyDescent="0.3">
      <c r="A304" s="2"/>
      <c r="B304" s="2" t="str">
        <f t="shared" si="40"/>
        <v/>
      </c>
      <c r="C304" s="2" t="str">
        <f t="shared" si="41"/>
        <v/>
      </c>
      <c r="D304" s="2" t="str">
        <f>IF(DB_Artworks_Export!A304="","",DB_Artworks_Export!A304)</f>
        <v/>
      </c>
      <c r="E304" s="2" t="str">
        <f>IF(DB_Artworks_Export!B304="","",DB_Artworks_Export!B304)</f>
        <v/>
      </c>
      <c r="F304" s="2" t="str">
        <f>IF(DB_Artworks_Export!C304="","",DB_Artworks_Export!C304)</f>
        <v/>
      </c>
      <c r="G304" s="2" t="str">
        <f>IF(DB_Artworks_Export!D304="","",DB_Artworks_Export!D304)</f>
        <v/>
      </c>
      <c r="H304" s="2" t="str">
        <f>IF(DB_Artworks_Export!E304="","",DB_Artworks_Export!E304)</f>
        <v/>
      </c>
      <c r="I304" s="2" t="str">
        <f>IF(DB_Artworks_Export!F304="","",DB_Artworks_Export!F304)</f>
        <v/>
      </c>
      <c r="J304" s="2" t="str">
        <f>IF(DB_Artworks_Export!G304="","",DB_Artworks_Export!G304)</f>
        <v/>
      </c>
      <c r="K304" s="2" t="str">
        <f>IF(DB_Artworks_Export!H304="","",DB_Artworks_Export!H304)</f>
        <v/>
      </c>
      <c r="L304" s="2" t="str">
        <f>IF(DB_Artworks_Export!I304="","",DB_Artworks_Export!I304)</f>
        <v/>
      </c>
      <c r="M304" s="2" t="str">
        <f>IF(DB_Artworks_Export!J304="","",DB_Artworks_Export!J304)</f>
        <v/>
      </c>
      <c r="N304" s="2" t="str">
        <f>IF(DB_Artworks_Export!K304="","",DB_Artworks_Export!K304)</f>
        <v/>
      </c>
      <c r="O304" s="2" t="str">
        <f>IF(DB_Artworks_Export!L304="","",DB_Artworks_Export!L304)</f>
        <v/>
      </c>
      <c r="P304" s="2" t="str">
        <f>IF(DB_Artworks_Export!M304="","",DB_Artworks_Export!M304)</f>
        <v/>
      </c>
      <c r="Q304" s="2" t="str">
        <f>IF(DB_Artworks_Export!N304="","",DB_Artworks_Export!N304)</f>
        <v/>
      </c>
      <c r="R304" s="2" t="str">
        <f>IF($D304="","",IF(COUNTIF(DB_Categories_Export!$A:$A,$F304)&gt;0,"OK","INVALID CATEGORY"))</f>
        <v/>
      </c>
      <c r="S304" s="2" t="str">
        <f>IF($D304="","",COUNTIF(DB_Artwork_Sizes_Export!$B:$B,$D304))</f>
        <v/>
      </c>
      <c r="T304" s="2" t="str">
        <f>IF($D304="","",IFERROR(INDEX(DB_Artwork_Sizes_Export!$D:$D,MATCH($D304,DB_Artwork_Sizes_Export!$B:$B,0)),""))</f>
        <v/>
      </c>
      <c r="U304" s="2" t="str">
        <f>IF($D304="","",IFERROR(INDEX(DB_Artwork_Sizes_Export!$E:$E,MATCH($D304,DB_Artwork_Sizes_Export!$B:$B,0)),""))</f>
        <v/>
      </c>
      <c r="V304" s="2" t="str">
        <f>IF($D304="","",IFERROR(INDEX(DB_Artwork_Sizes_Export!$F:$F,MATCH($D304,DB_Artwork_Sizes_Export!$B:$B,0)),""))</f>
        <v/>
      </c>
      <c r="W304" s="2" t="str">
        <f t="shared" si="42"/>
        <v/>
      </c>
      <c r="X304" s="2"/>
      <c r="Y304" s="2"/>
      <c r="Z304" s="2"/>
      <c r="AA304" s="2"/>
      <c r="AB304" s="2"/>
      <c r="AC304" s="2"/>
      <c r="AD304" s="2"/>
      <c r="AE304" s="2"/>
      <c r="AF304" s="2" t="str">
        <f t="shared" si="43"/>
        <v/>
      </c>
      <c r="AG304" s="2" t="str">
        <f t="shared" si="44"/>
        <v/>
      </c>
      <c r="AH304" s="2" t="str">
        <f>IF($AG304="","",IFERROR(VLOOKUP($AG304,DB_Categories_Export!$A:$B,2,FALSE()),"INVALID CATEGORY"))</f>
        <v/>
      </c>
      <c r="AI304" s="2" t="str">
        <f t="shared" si="45"/>
        <v/>
      </c>
      <c r="AJ304" s="2" t="str">
        <f t="shared" si="46"/>
        <v/>
      </c>
      <c r="AK304" s="2" t="str">
        <f t="shared" si="47"/>
        <v/>
      </c>
      <c r="AL304" s="2" t="str">
        <f t="shared" si="48"/>
        <v/>
      </c>
      <c r="AM304" s="2" t="str">
        <f t="shared" si="49"/>
        <v/>
      </c>
      <c r="AN304" s="2"/>
      <c r="AO304" s="2"/>
    </row>
    <row r="305" spans="1:41" ht="12" customHeight="1" x14ac:dyDescent="0.3">
      <c r="A305" s="2"/>
      <c r="B305" s="2" t="str">
        <f t="shared" si="40"/>
        <v/>
      </c>
      <c r="C305" s="2" t="str">
        <f t="shared" si="41"/>
        <v/>
      </c>
      <c r="D305" s="2" t="str">
        <f>IF(DB_Artworks_Export!A305="","",DB_Artworks_Export!A305)</f>
        <v/>
      </c>
      <c r="E305" s="2" t="str">
        <f>IF(DB_Artworks_Export!B305="","",DB_Artworks_Export!B305)</f>
        <v/>
      </c>
      <c r="F305" s="2" t="str">
        <f>IF(DB_Artworks_Export!C305="","",DB_Artworks_Export!C305)</f>
        <v/>
      </c>
      <c r="G305" s="2" t="str">
        <f>IF(DB_Artworks_Export!D305="","",DB_Artworks_Export!D305)</f>
        <v/>
      </c>
      <c r="H305" s="2" t="str">
        <f>IF(DB_Artworks_Export!E305="","",DB_Artworks_Export!E305)</f>
        <v/>
      </c>
      <c r="I305" s="2" t="str">
        <f>IF(DB_Artworks_Export!F305="","",DB_Artworks_Export!F305)</f>
        <v/>
      </c>
      <c r="J305" s="2" t="str">
        <f>IF(DB_Artworks_Export!G305="","",DB_Artworks_Export!G305)</f>
        <v/>
      </c>
      <c r="K305" s="2" t="str">
        <f>IF(DB_Artworks_Export!H305="","",DB_Artworks_Export!H305)</f>
        <v/>
      </c>
      <c r="L305" s="2" t="str">
        <f>IF(DB_Artworks_Export!I305="","",DB_Artworks_Export!I305)</f>
        <v/>
      </c>
      <c r="M305" s="2" t="str">
        <f>IF(DB_Artworks_Export!J305="","",DB_Artworks_Export!J305)</f>
        <v/>
      </c>
      <c r="N305" s="2" t="str">
        <f>IF(DB_Artworks_Export!K305="","",DB_Artworks_Export!K305)</f>
        <v/>
      </c>
      <c r="O305" s="2" t="str">
        <f>IF(DB_Artworks_Export!L305="","",DB_Artworks_Export!L305)</f>
        <v/>
      </c>
      <c r="P305" s="2" t="str">
        <f>IF(DB_Artworks_Export!M305="","",DB_Artworks_Export!M305)</f>
        <v/>
      </c>
      <c r="Q305" s="2" t="str">
        <f>IF(DB_Artworks_Export!N305="","",DB_Artworks_Export!N305)</f>
        <v/>
      </c>
      <c r="R305" s="2" t="str">
        <f>IF($D305="","",IF(COUNTIF(DB_Categories_Export!$A:$A,$F305)&gt;0,"OK","INVALID CATEGORY"))</f>
        <v/>
      </c>
      <c r="S305" s="2" t="str">
        <f>IF($D305="","",COUNTIF(DB_Artwork_Sizes_Export!$B:$B,$D305))</f>
        <v/>
      </c>
      <c r="T305" s="2" t="str">
        <f>IF($D305="","",IFERROR(INDEX(DB_Artwork_Sizes_Export!$D:$D,MATCH($D305,DB_Artwork_Sizes_Export!$B:$B,0)),""))</f>
        <v/>
      </c>
      <c r="U305" s="2" t="str">
        <f>IF($D305="","",IFERROR(INDEX(DB_Artwork_Sizes_Export!$E:$E,MATCH($D305,DB_Artwork_Sizes_Export!$B:$B,0)),""))</f>
        <v/>
      </c>
      <c r="V305" s="2" t="str">
        <f>IF($D305="","",IFERROR(INDEX(DB_Artwork_Sizes_Export!$F:$F,MATCH($D305,DB_Artwork_Sizes_Export!$B:$B,0)),""))</f>
        <v/>
      </c>
      <c r="W305" s="2" t="str">
        <f t="shared" si="42"/>
        <v/>
      </c>
      <c r="X305" s="2"/>
      <c r="Y305" s="2"/>
      <c r="Z305" s="2"/>
      <c r="AA305" s="2"/>
      <c r="AB305" s="2"/>
      <c r="AC305" s="2"/>
      <c r="AD305" s="2"/>
      <c r="AE305" s="2"/>
      <c r="AF305" s="2" t="str">
        <f t="shared" si="43"/>
        <v/>
      </c>
      <c r="AG305" s="2" t="str">
        <f t="shared" si="44"/>
        <v/>
      </c>
      <c r="AH305" s="2" t="str">
        <f>IF($AG305="","",IFERROR(VLOOKUP($AG305,DB_Categories_Export!$A:$B,2,FALSE()),"INVALID CATEGORY"))</f>
        <v/>
      </c>
      <c r="AI305" s="2" t="str">
        <f t="shared" si="45"/>
        <v/>
      </c>
      <c r="AJ305" s="2" t="str">
        <f t="shared" si="46"/>
        <v/>
      </c>
      <c r="AK305" s="2" t="str">
        <f t="shared" si="47"/>
        <v/>
      </c>
      <c r="AL305" s="2" t="str">
        <f t="shared" si="48"/>
        <v/>
      </c>
      <c r="AM305" s="2" t="str">
        <f t="shared" si="49"/>
        <v/>
      </c>
      <c r="AN305" s="2"/>
      <c r="AO305" s="2"/>
    </row>
    <row r="306" spans="1:41" ht="12" customHeight="1" x14ac:dyDescent="0.3">
      <c r="A306" s="2"/>
      <c r="B306" s="2" t="str">
        <f t="shared" si="40"/>
        <v/>
      </c>
      <c r="C306" s="2" t="str">
        <f t="shared" si="41"/>
        <v/>
      </c>
      <c r="D306" s="2" t="str">
        <f>IF(DB_Artworks_Export!A306="","",DB_Artworks_Export!A306)</f>
        <v/>
      </c>
      <c r="E306" s="2" t="str">
        <f>IF(DB_Artworks_Export!B306="","",DB_Artworks_Export!B306)</f>
        <v/>
      </c>
      <c r="F306" s="2" t="str">
        <f>IF(DB_Artworks_Export!C306="","",DB_Artworks_Export!C306)</f>
        <v/>
      </c>
      <c r="G306" s="2" t="str">
        <f>IF(DB_Artworks_Export!D306="","",DB_Artworks_Export!D306)</f>
        <v/>
      </c>
      <c r="H306" s="2" t="str">
        <f>IF(DB_Artworks_Export!E306="","",DB_Artworks_Export!E306)</f>
        <v/>
      </c>
      <c r="I306" s="2" t="str">
        <f>IF(DB_Artworks_Export!F306="","",DB_Artworks_Export!F306)</f>
        <v/>
      </c>
      <c r="J306" s="2" t="str">
        <f>IF(DB_Artworks_Export!G306="","",DB_Artworks_Export!G306)</f>
        <v/>
      </c>
      <c r="K306" s="2" t="str">
        <f>IF(DB_Artworks_Export!H306="","",DB_Artworks_Export!H306)</f>
        <v/>
      </c>
      <c r="L306" s="2" t="str">
        <f>IF(DB_Artworks_Export!I306="","",DB_Artworks_Export!I306)</f>
        <v/>
      </c>
      <c r="M306" s="2" t="str">
        <f>IF(DB_Artworks_Export!J306="","",DB_Artworks_Export!J306)</f>
        <v/>
      </c>
      <c r="N306" s="2" t="str">
        <f>IF(DB_Artworks_Export!K306="","",DB_Artworks_Export!K306)</f>
        <v/>
      </c>
      <c r="O306" s="2" t="str">
        <f>IF(DB_Artworks_Export!L306="","",DB_Artworks_Export!L306)</f>
        <v/>
      </c>
      <c r="P306" s="2" t="str">
        <f>IF(DB_Artworks_Export!M306="","",DB_Artworks_Export!M306)</f>
        <v/>
      </c>
      <c r="Q306" s="2" t="str">
        <f>IF(DB_Artworks_Export!N306="","",DB_Artworks_Export!N306)</f>
        <v/>
      </c>
      <c r="R306" s="2" t="str">
        <f>IF($D306="","",IF(COUNTIF(DB_Categories_Export!$A:$A,$F306)&gt;0,"OK","INVALID CATEGORY"))</f>
        <v/>
      </c>
      <c r="S306" s="2" t="str">
        <f>IF($D306="","",COUNTIF(DB_Artwork_Sizes_Export!$B:$B,$D306))</f>
        <v/>
      </c>
      <c r="T306" s="2" t="str">
        <f>IF($D306="","",IFERROR(INDEX(DB_Artwork_Sizes_Export!$D:$D,MATCH($D306,DB_Artwork_Sizes_Export!$B:$B,0)),""))</f>
        <v/>
      </c>
      <c r="U306" s="2" t="str">
        <f>IF($D306="","",IFERROR(INDEX(DB_Artwork_Sizes_Export!$E:$E,MATCH($D306,DB_Artwork_Sizes_Export!$B:$B,0)),""))</f>
        <v/>
      </c>
      <c r="V306" s="2" t="str">
        <f>IF($D306="","",IFERROR(INDEX(DB_Artwork_Sizes_Export!$F:$F,MATCH($D306,DB_Artwork_Sizes_Export!$B:$B,0)),""))</f>
        <v/>
      </c>
      <c r="W306" s="2" t="str">
        <f t="shared" si="42"/>
        <v/>
      </c>
      <c r="X306" s="2"/>
      <c r="Y306" s="2"/>
      <c r="Z306" s="2"/>
      <c r="AA306" s="2"/>
      <c r="AB306" s="2"/>
      <c r="AC306" s="2"/>
      <c r="AD306" s="2"/>
      <c r="AE306" s="2"/>
      <c r="AF306" s="2" t="str">
        <f t="shared" si="43"/>
        <v/>
      </c>
      <c r="AG306" s="2" t="str">
        <f t="shared" si="44"/>
        <v/>
      </c>
      <c r="AH306" s="2" t="str">
        <f>IF($AG306="","",IFERROR(VLOOKUP($AG306,DB_Categories_Export!$A:$B,2,FALSE()),"INVALID CATEGORY"))</f>
        <v/>
      </c>
      <c r="AI306" s="2" t="str">
        <f t="shared" si="45"/>
        <v/>
      </c>
      <c r="AJ306" s="2" t="str">
        <f t="shared" si="46"/>
        <v/>
      </c>
      <c r="AK306" s="2" t="str">
        <f t="shared" si="47"/>
        <v/>
      </c>
      <c r="AL306" s="2" t="str">
        <f t="shared" si="48"/>
        <v/>
      </c>
      <c r="AM306" s="2" t="str">
        <f t="shared" si="49"/>
        <v/>
      </c>
      <c r="AN306" s="2"/>
      <c r="AO306" s="2"/>
    </row>
    <row r="307" spans="1:41" ht="12" customHeight="1" x14ac:dyDescent="0.3">
      <c r="A307" s="2"/>
      <c r="B307" s="2" t="str">
        <f t="shared" si="40"/>
        <v/>
      </c>
      <c r="C307" s="2" t="str">
        <f t="shared" si="41"/>
        <v/>
      </c>
      <c r="D307" s="2" t="str">
        <f>IF(DB_Artworks_Export!A307="","",DB_Artworks_Export!A307)</f>
        <v/>
      </c>
      <c r="E307" s="2" t="str">
        <f>IF(DB_Artworks_Export!B307="","",DB_Artworks_Export!B307)</f>
        <v/>
      </c>
      <c r="F307" s="2" t="str">
        <f>IF(DB_Artworks_Export!C307="","",DB_Artworks_Export!C307)</f>
        <v/>
      </c>
      <c r="G307" s="2" t="str">
        <f>IF(DB_Artworks_Export!D307="","",DB_Artworks_Export!D307)</f>
        <v/>
      </c>
      <c r="H307" s="2" t="str">
        <f>IF(DB_Artworks_Export!E307="","",DB_Artworks_Export!E307)</f>
        <v/>
      </c>
      <c r="I307" s="2" t="str">
        <f>IF(DB_Artworks_Export!F307="","",DB_Artworks_Export!F307)</f>
        <v/>
      </c>
      <c r="J307" s="2" t="str">
        <f>IF(DB_Artworks_Export!G307="","",DB_Artworks_Export!G307)</f>
        <v/>
      </c>
      <c r="K307" s="2" t="str">
        <f>IF(DB_Artworks_Export!H307="","",DB_Artworks_Export!H307)</f>
        <v/>
      </c>
      <c r="L307" s="2" t="str">
        <f>IF(DB_Artworks_Export!I307="","",DB_Artworks_Export!I307)</f>
        <v/>
      </c>
      <c r="M307" s="2" t="str">
        <f>IF(DB_Artworks_Export!J307="","",DB_Artworks_Export!J307)</f>
        <v/>
      </c>
      <c r="N307" s="2" t="str">
        <f>IF(DB_Artworks_Export!K307="","",DB_Artworks_Export!K307)</f>
        <v/>
      </c>
      <c r="O307" s="2" t="str">
        <f>IF(DB_Artworks_Export!L307="","",DB_Artworks_Export!L307)</f>
        <v/>
      </c>
      <c r="P307" s="2" t="str">
        <f>IF(DB_Artworks_Export!M307="","",DB_Artworks_Export!M307)</f>
        <v/>
      </c>
      <c r="Q307" s="2" t="str">
        <f>IF(DB_Artworks_Export!N307="","",DB_Artworks_Export!N307)</f>
        <v/>
      </c>
      <c r="R307" s="2" t="str">
        <f>IF($D307="","",IF(COUNTIF(DB_Categories_Export!$A:$A,$F307)&gt;0,"OK","INVALID CATEGORY"))</f>
        <v/>
      </c>
      <c r="S307" s="2" t="str">
        <f>IF($D307="","",COUNTIF(DB_Artwork_Sizes_Export!$B:$B,$D307))</f>
        <v/>
      </c>
      <c r="T307" s="2" t="str">
        <f>IF($D307="","",IFERROR(INDEX(DB_Artwork_Sizes_Export!$D:$D,MATCH($D307,DB_Artwork_Sizes_Export!$B:$B,0)),""))</f>
        <v/>
      </c>
      <c r="U307" s="2" t="str">
        <f>IF($D307="","",IFERROR(INDEX(DB_Artwork_Sizes_Export!$E:$E,MATCH($D307,DB_Artwork_Sizes_Export!$B:$B,0)),""))</f>
        <v/>
      </c>
      <c r="V307" s="2" t="str">
        <f>IF($D307="","",IFERROR(INDEX(DB_Artwork_Sizes_Export!$F:$F,MATCH($D307,DB_Artwork_Sizes_Export!$B:$B,0)),""))</f>
        <v/>
      </c>
      <c r="W307" s="2" t="str">
        <f t="shared" si="42"/>
        <v/>
      </c>
      <c r="X307" s="2"/>
      <c r="Y307" s="2"/>
      <c r="Z307" s="2"/>
      <c r="AA307" s="2"/>
      <c r="AB307" s="2"/>
      <c r="AC307" s="2"/>
      <c r="AD307" s="2"/>
      <c r="AE307" s="2"/>
      <c r="AF307" s="2" t="str">
        <f t="shared" si="43"/>
        <v/>
      </c>
      <c r="AG307" s="2" t="str">
        <f t="shared" si="44"/>
        <v/>
      </c>
      <c r="AH307" s="2" t="str">
        <f>IF($AG307="","",IFERROR(VLOOKUP($AG307,DB_Categories_Export!$A:$B,2,FALSE()),"INVALID CATEGORY"))</f>
        <v/>
      </c>
      <c r="AI307" s="2" t="str">
        <f t="shared" si="45"/>
        <v/>
      </c>
      <c r="AJ307" s="2" t="str">
        <f t="shared" si="46"/>
        <v/>
      </c>
      <c r="AK307" s="2" t="str">
        <f t="shared" si="47"/>
        <v/>
      </c>
      <c r="AL307" s="2" t="str">
        <f t="shared" si="48"/>
        <v/>
      </c>
      <c r="AM307" s="2" t="str">
        <f t="shared" si="49"/>
        <v/>
      </c>
      <c r="AN307" s="2"/>
      <c r="AO307" s="2"/>
    </row>
    <row r="308" spans="1:41" ht="12" customHeight="1" x14ac:dyDescent="0.3">
      <c r="A308" s="2"/>
      <c r="B308" s="2" t="str">
        <f t="shared" si="40"/>
        <v/>
      </c>
      <c r="C308" s="2" t="str">
        <f t="shared" si="41"/>
        <v/>
      </c>
      <c r="D308" s="2" t="str">
        <f>IF(DB_Artworks_Export!A308="","",DB_Artworks_Export!A308)</f>
        <v/>
      </c>
      <c r="E308" s="2" t="str">
        <f>IF(DB_Artworks_Export!B308="","",DB_Artworks_Export!B308)</f>
        <v/>
      </c>
      <c r="F308" s="2" t="str">
        <f>IF(DB_Artworks_Export!C308="","",DB_Artworks_Export!C308)</f>
        <v/>
      </c>
      <c r="G308" s="2" t="str">
        <f>IF(DB_Artworks_Export!D308="","",DB_Artworks_Export!D308)</f>
        <v/>
      </c>
      <c r="H308" s="2" t="str">
        <f>IF(DB_Artworks_Export!E308="","",DB_Artworks_Export!E308)</f>
        <v/>
      </c>
      <c r="I308" s="2" t="str">
        <f>IF(DB_Artworks_Export!F308="","",DB_Artworks_Export!F308)</f>
        <v/>
      </c>
      <c r="J308" s="2" t="str">
        <f>IF(DB_Artworks_Export!G308="","",DB_Artworks_Export!G308)</f>
        <v/>
      </c>
      <c r="K308" s="2" t="str">
        <f>IF(DB_Artworks_Export!H308="","",DB_Artworks_Export!H308)</f>
        <v/>
      </c>
      <c r="L308" s="2" t="str">
        <f>IF(DB_Artworks_Export!I308="","",DB_Artworks_Export!I308)</f>
        <v/>
      </c>
      <c r="M308" s="2" t="str">
        <f>IF(DB_Artworks_Export!J308="","",DB_Artworks_Export!J308)</f>
        <v/>
      </c>
      <c r="N308" s="2" t="str">
        <f>IF(DB_Artworks_Export!K308="","",DB_Artworks_Export!K308)</f>
        <v/>
      </c>
      <c r="O308" s="2" t="str">
        <f>IF(DB_Artworks_Export!L308="","",DB_Artworks_Export!L308)</f>
        <v/>
      </c>
      <c r="P308" s="2" t="str">
        <f>IF(DB_Artworks_Export!M308="","",DB_Artworks_Export!M308)</f>
        <v/>
      </c>
      <c r="Q308" s="2" t="str">
        <f>IF(DB_Artworks_Export!N308="","",DB_Artworks_Export!N308)</f>
        <v/>
      </c>
      <c r="R308" s="2" t="str">
        <f>IF($D308="","",IF(COUNTIF(DB_Categories_Export!$A:$A,$F308)&gt;0,"OK","INVALID CATEGORY"))</f>
        <v/>
      </c>
      <c r="S308" s="2" t="str">
        <f>IF($D308="","",COUNTIF(DB_Artwork_Sizes_Export!$B:$B,$D308))</f>
        <v/>
      </c>
      <c r="T308" s="2" t="str">
        <f>IF($D308="","",IFERROR(INDEX(DB_Artwork_Sizes_Export!$D:$D,MATCH($D308,DB_Artwork_Sizes_Export!$B:$B,0)),""))</f>
        <v/>
      </c>
      <c r="U308" s="2" t="str">
        <f>IF($D308="","",IFERROR(INDEX(DB_Artwork_Sizes_Export!$E:$E,MATCH($D308,DB_Artwork_Sizes_Export!$B:$B,0)),""))</f>
        <v/>
      </c>
      <c r="V308" s="2" t="str">
        <f>IF($D308="","",IFERROR(INDEX(DB_Artwork_Sizes_Export!$F:$F,MATCH($D308,DB_Artwork_Sizes_Export!$B:$B,0)),""))</f>
        <v/>
      </c>
      <c r="W308" s="2" t="str">
        <f t="shared" si="42"/>
        <v/>
      </c>
      <c r="X308" s="2"/>
      <c r="Y308" s="2"/>
      <c r="Z308" s="2"/>
      <c r="AA308" s="2"/>
      <c r="AB308" s="2"/>
      <c r="AC308" s="2"/>
      <c r="AD308" s="2"/>
      <c r="AE308" s="2"/>
      <c r="AF308" s="2" t="str">
        <f t="shared" si="43"/>
        <v/>
      </c>
      <c r="AG308" s="2" t="str">
        <f t="shared" si="44"/>
        <v/>
      </c>
      <c r="AH308" s="2" t="str">
        <f>IF($AG308="","",IFERROR(VLOOKUP($AG308,DB_Categories_Export!$A:$B,2,FALSE()),"INVALID CATEGORY"))</f>
        <v/>
      </c>
      <c r="AI308" s="2" t="str">
        <f t="shared" si="45"/>
        <v/>
      </c>
      <c r="AJ308" s="2" t="str">
        <f t="shared" si="46"/>
        <v/>
      </c>
      <c r="AK308" s="2" t="str">
        <f t="shared" si="47"/>
        <v/>
      </c>
      <c r="AL308" s="2" t="str">
        <f t="shared" si="48"/>
        <v/>
      </c>
      <c r="AM308" s="2" t="str">
        <f t="shared" si="49"/>
        <v/>
      </c>
      <c r="AN308" s="2"/>
      <c r="AO308" s="2"/>
    </row>
    <row r="309" spans="1:41" ht="12" customHeight="1" x14ac:dyDescent="0.3">
      <c r="A309" s="2"/>
      <c r="B309" s="2" t="str">
        <f t="shared" si="40"/>
        <v/>
      </c>
      <c r="C309" s="2" t="str">
        <f t="shared" si="41"/>
        <v/>
      </c>
      <c r="D309" s="2" t="str">
        <f>IF(DB_Artworks_Export!A309="","",DB_Artworks_Export!A309)</f>
        <v/>
      </c>
      <c r="E309" s="2" t="str">
        <f>IF(DB_Artworks_Export!B309="","",DB_Artworks_Export!B309)</f>
        <v/>
      </c>
      <c r="F309" s="2" t="str">
        <f>IF(DB_Artworks_Export!C309="","",DB_Artworks_Export!C309)</f>
        <v/>
      </c>
      <c r="G309" s="2" t="str">
        <f>IF(DB_Artworks_Export!D309="","",DB_Artworks_Export!D309)</f>
        <v/>
      </c>
      <c r="H309" s="2" t="str">
        <f>IF(DB_Artworks_Export!E309="","",DB_Artworks_Export!E309)</f>
        <v/>
      </c>
      <c r="I309" s="2" t="str">
        <f>IF(DB_Artworks_Export!F309="","",DB_Artworks_Export!F309)</f>
        <v/>
      </c>
      <c r="J309" s="2" t="str">
        <f>IF(DB_Artworks_Export!G309="","",DB_Artworks_Export!G309)</f>
        <v/>
      </c>
      <c r="K309" s="2" t="str">
        <f>IF(DB_Artworks_Export!H309="","",DB_Artworks_Export!H309)</f>
        <v/>
      </c>
      <c r="L309" s="2" t="str">
        <f>IF(DB_Artworks_Export!I309="","",DB_Artworks_Export!I309)</f>
        <v/>
      </c>
      <c r="M309" s="2" t="str">
        <f>IF(DB_Artworks_Export!J309="","",DB_Artworks_Export!J309)</f>
        <v/>
      </c>
      <c r="N309" s="2" t="str">
        <f>IF(DB_Artworks_Export!K309="","",DB_Artworks_Export!K309)</f>
        <v/>
      </c>
      <c r="O309" s="2" t="str">
        <f>IF(DB_Artworks_Export!L309="","",DB_Artworks_Export!L309)</f>
        <v/>
      </c>
      <c r="P309" s="2" t="str">
        <f>IF(DB_Artworks_Export!M309="","",DB_Artworks_Export!M309)</f>
        <v/>
      </c>
      <c r="Q309" s="2" t="str">
        <f>IF(DB_Artworks_Export!N309="","",DB_Artworks_Export!N309)</f>
        <v/>
      </c>
      <c r="R309" s="2" t="str">
        <f>IF($D309="","",IF(COUNTIF(DB_Categories_Export!$A:$A,$F309)&gt;0,"OK","INVALID CATEGORY"))</f>
        <v/>
      </c>
      <c r="S309" s="2" t="str">
        <f>IF($D309="","",COUNTIF(DB_Artwork_Sizes_Export!$B:$B,$D309))</f>
        <v/>
      </c>
      <c r="T309" s="2" t="str">
        <f>IF($D309="","",IFERROR(INDEX(DB_Artwork_Sizes_Export!$D:$D,MATCH($D309,DB_Artwork_Sizes_Export!$B:$B,0)),""))</f>
        <v/>
      </c>
      <c r="U309" s="2" t="str">
        <f>IF($D309="","",IFERROR(INDEX(DB_Artwork_Sizes_Export!$E:$E,MATCH($D309,DB_Artwork_Sizes_Export!$B:$B,0)),""))</f>
        <v/>
      </c>
      <c r="V309" s="2" t="str">
        <f>IF($D309="","",IFERROR(INDEX(DB_Artwork_Sizes_Export!$F:$F,MATCH($D309,DB_Artwork_Sizes_Export!$B:$B,0)),""))</f>
        <v/>
      </c>
      <c r="W309" s="2" t="str">
        <f t="shared" si="42"/>
        <v/>
      </c>
      <c r="X309" s="2"/>
      <c r="Y309" s="2"/>
      <c r="Z309" s="2"/>
      <c r="AA309" s="2"/>
      <c r="AB309" s="2"/>
      <c r="AC309" s="2"/>
      <c r="AD309" s="2"/>
      <c r="AE309" s="2"/>
      <c r="AF309" s="2" t="str">
        <f t="shared" si="43"/>
        <v/>
      </c>
      <c r="AG309" s="2" t="str">
        <f t="shared" si="44"/>
        <v/>
      </c>
      <c r="AH309" s="2" t="str">
        <f>IF($AG309="","",IFERROR(VLOOKUP($AG309,DB_Categories_Export!$A:$B,2,FALSE()),"INVALID CATEGORY"))</f>
        <v/>
      </c>
      <c r="AI309" s="2" t="str">
        <f t="shared" si="45"/>
        <v/>
      </c>
      <c r="AJ309" s="2" t="str">
        <f t="shared" si="46"/>
        <v/>
      </c>
      <c r="AK309" s="2" t="str">
        <f t="shared" si="47"/>
        <v/>
      </c>
      <c r="AL309" s="2" t="str">
        <f t="shared" si="48"/>
        <v/>
      </c>
      <c r="AM309" s="2" t="str">
        <f t="shared" si="49"/>
        <v/>
      </c>
      <c r="AN309" s="2"/>
      <c r="AO309" s="2"/>
    </row>
    <row r="310" spans="1:41" ht="12" customHeight="1" x14ac:dyDescent="0.3">
      <c r="A310" s="2"/>
      <c r="B310" s="2" t="str">
        <f t="shared" si="40"/>
        <v/>
      </c>
      <c r="C310" s="2" t="str">
        <f t="shared" si="41"/>
        <v/>
      </c>
      <c r="D310" s="2" t="str">
        <f>IF(DB_Artworks_Export!A310="","",DB_Artworks_Export!A310)</f>
        <v/>
      </c>
      <c r="E310" s="2" t="str">
        <f>IF(DB_Artworks_Export!B310="","",DB_Artworks_Export!B310)</f>
        <v/>
      </c>
      <c r="F310" s="2" t="str">
        <f>IF(DB_Artworks_Export!C310="","",DB_Artworks_Export!C310)</f>
        <v/>
      </c>
      <c r="G310" s="2" t="str">
        <f>IF(DB_Artworks_Export!D310="","",DB_Artworks_Export!D310)</f>
        <v/>
      </c>
      <c r="H310" s="2" t="str">
        <f>IF(DB_Artworks_Export!E310="","",DB_Artworks_Export!E310)</f>
        <v/>
      </c>
      <c r="I310" s="2" t="str">
        <f>IF(DB_Artworks_Export!F310="","",DB_Artworks_Export!F310)</f>
        <v/>
      </c>
      <c r="J310" s="2" t="str">
        <f>IF(DB_Artworks_Export!G310="","",DB_Artworks_Export!G310)</f>
        <v/>
      </c>
      <c r="K310" s="2" t="str">
        <f>IF(DB_Artworks_Export!H310="","",DB_Artworks_Export!H310)</f>
        <v/>
      </c>
      <c r="L310" s="2" t="str">
        <f>IF(DB_Artworks_Export!I310="","",DB_Artworks_Export!I310)</f>
        <v/>
      </c>
      <c r="M310" s="2" t="str">
        <f>IF(DB_Artworks_Export!J310="","",DB_Artworks_Export!J310)</f>
        <v/>
      </c>
      <c r="N310" s="2" t="str">
        <f>IF(DB_Artworks_Export!K310="","",DB_Artworks_Export!K310)</f>
        <v/>
      </c>
      <c r="O310" s="2" t="str">
        <f>IF(DB_Artworks_Export!L310="","",DB_Artworks_Export!L310)</f>
        <v/>
      </c>
      <c r="P310" s="2" t="str">
        <f>IF(DB_Artworks_Export!M310="","",DB_Artworks_Export!M310)</f>
        <v/>
      </c>
      <c r="Q310" s="2" t="str">
        <f>IF(DB_Artworks_Export!N310="","",DB_Artworks_Export!N310)</f>
        <v/>
      </c>
      <c r="R310" s="2" t="str">
        <f>IF($D310="","",IF(COUNTIF(DB_Categories_Export!$A:$A,$F310)&gt;0,"OK","INVALID CATEGORY"))</f>
        <v/>
      </c>
      <c r="S310" s="2" t="str">
        <f>IF($D310="","",COUNTIF(DB_Artwork_Sizes_Export!$B:$B,$D310))</f>
        <v/>
      </c>
      <c r="T310" s="2" t="str">
        <f>IF($D310="","",IFERROR(INDEX(DB_Artwork_Sizes_Export!$D:$D,MATCH($D310,DB_Artwork_Sizes_Export!$B:$B,0)),""))</f>
        <v/>
      </c>
      <c r="U310" s="2" t="str">
        <f>IF($D310="","",IFERROR(INDEX(DB_Artwork_Sizes_Export!$E:$E,MATCH($D310,DB_Artwork_Sizes_Export!$B:$B,0)),""))</f>
        <v/>
      </c>
      <c r="V310" s="2" t="str">
        <f>IF($D310="","",IFERROR(INDEX(DB_Artwork_Sizes_Export!$F:$F,MATCH($D310,DB_Artwork_Sizes_Export!$B:$B,0)),""))</f>
        <v/>
      </c>
      <c r="W310" s="2" t="str">
        <f t="shared" si="42"/>
        <v/>
      </c>
      <c r="X310" s="2"/>
      <c r="Y310" s="2"/>
      <c r="Z310" s="2"/>
      <c r="AA310" s="2"/>
      <c r="AB310" s="2"/>
      <c r="AC310" s="2"/>
      <c r="AD310" s="2"/>
      <c r="AE310" s="2"/>
      <c r="AF310" s="2" t="str">
        <f t="shared" si="43"/>
        <v/>
      </c>
      <c r="AG310" s="2" t="str">
        <f t="shared" si="44"/>
        <v/>
      </c>
      <c r="AH310" s="2" t="str">
        <f>IF($AG310="","",IFERROR(VLOOKUP($AG310,DB_Categories_Export!$A:$B,2,FALSE()),"INVALID CATEGORY"))</f>
        <v/>
      </c>
      <c r="AI310" s="2" t="str">
        <f t="shared" si="45"/>
        <v/>
      </c>
      <c r="AJ310" s="2" t="str">
        <f t="shared" si="46"/>
        <v/>
      </c>
      <c r="AK310" s="2" t="str">
        <f t="shared" si="47"/>
        <v/>
      </c>
      <c r="AL310" s="2" t="str">
        <f t="shared" si="48"/>
        <v/>
      </c>
      <c r="AM310" s="2" t="str">
        <f t="shared" si="49"/>
        <v/>
      </c>
      <c r="AN310" s="2"/>
      <c r="AO310" s="2"/>
    </row>
    <row r="311" spans="1:41" ht="12" customHeight="1" x14ac:dyDescent="0.3">
      <c r="A311" s="2"/>
      <c r="B311" s="2" t="str">
        <f t="shared" si="40"/>
        <v/>
      </c>
      <c r="C311" s="2" t="str">
        <f t="shared" si="41"/>
        <v/>
      </c>
      <c r="D311" s="2" t="str">
        <f>IF(DB_Artworks_Export!A311="","",DB_Artworks_Export!A311)</f>
        <v/>
      </c>
      <c r="E311" s="2" t="str">
        <f>IF(DB_Artworks_Export!B311="","",DB_Artworks_Export!B311)</f>
        <v/>
      </c>
      <c r="F311" s="2" t="str">
        <f>IF(DB_Artworks_Export!C311="","",DB_Artworks_Export!C311)</f>
        <v/>
      </c>
      <c r="G311" s="2" t="str">
        <f>IF(DB_Artworks_Export!D311="","",DB_Artworks_Export!D311)</f>
        <v/>
      </c>
      <c r="H311" s="2" t="str">
        <f>IF(DB_Artworks_Export!E311="","",DB_Artworks_Export!E311)</f>
        <v/>
      </c>
      <c r="I311" s="2" t="str">
        <f>IF(DB_Artworks_Export!F311="","",DB_Artworks_Export!F311)</f>
        <v/>
      </c>
      <c r="J311" s="2" t="str">
        <f>IF(DB_Artworks_Export!G311="","",DB_Artworks_Export!G311)</f>
        <v/>
      </c>
      <c r="K311" s="2" t="str">
        <f>IF(DB_Artworks_Export!H311="","",DB_Artworks_Export!H311)</f>
        <v/>
      </c>
      <c r="L311" s="2" t="str">
        <f>IF(DB_Artworks_Export!I311="","",DB_Artworks_Export!I311)</f>
        <v/>
      </c>
      <c r="M311" s="2" t="str">
        <f>IF(DB_Artworks_Export!J311="","",DB_Artworks_Export!J311)</f>
        <v/>
      </c>
      <c r="N311" s="2" t="str">
        <f>IF(DB_Artworks_Export!K311="","",DB_Artworks_Export!K311)</f>
        <v/>
      </c>
      <c r="O311" s="2" t="str">
        <f>IF(DB_Artworks_Export!L311="","",DB_Artworks_Export!L311)</f>
        <v/>
      </c>
      <c r="P311" s="2" t="str">
        <f>IF(DB_Artworks_Export!M311="","",DB_Artworks_Export!M311)</f>
        <v/>
      </c>
      <c r="Q311" s="2" t="str">
        <f>IF(DB_Artworks_Export!N311="","",DB_Artworks_Export!N311)</f>
        <v/>
      </c>
      <c r="R311" s="2" t="str">
        <f>IF($D311="","",IF(COUNTIF(DB_Categories_Export!$A:$A,$F311)&gt;0,"OK","INVALID CATEGORY"))</f>
        <v/>
      </c>
      <c r="S311" s="2" t="str">
        <f>IF($D311="","",COUNTIF(DB_Artwork_Sizes_Export!$B:$B,$D311))</f>
        <v/>
      </c>
      <c r="T311" s="2" t="str">
        <f>IF($D311="","",IFERROR(INDEX(DB_Artwork_Sizes_Export!$D:$D,MATCH($D311,DB_Artwork_Sizes_Export!$B:$B,0)),""))</f>
        <v/>
      </c>
      <c r="U311" s="2" t="str">
        <f>IF($D311="","",IFERROR(INDEX(DB_Artwork_Sizes_Export!$E:$E,MATCH($D311,DB_Artwork_Sizes_Export!$B:$B,0)),""))</f>
        <v/>
      </c>
      <c r="V311" s="2" t="str">
        <f>IF($D311="","",IFERROR(INDEX(DB_Artwork_Sizes_Export!$F:$F,MATCH($D311,DB_Artwork_Sizes_Export!$B:$B,0)),""))</f>
        <v/>
      </c>
      <c r="W311" s="2" t="str">
        <f t="shared" si="42"/>
        <v/>
      </c>
      <c r="X311" s="2"/>
      <c r="Y311" s="2"/>
      <c r="Z311" s="2"/>
      <c r="AA311" s="2"/>
      <c r="AB311" s="2"/>
      <c r="AC311" s="2"/>
      <c r="AD311" s="2"/>
      <c r="AE311" s="2"/>
      <c r="AF311" s="2" t="str">
        <f t="shared" si="43"/>
        <v/>
      </c>
      <c r="AG311" s="2" t="str">
        <f t="shared" si="44"/>
        <v/>
      </c>
      <c r="AH311" s="2" t="str">
        <f>IF($AG311="","",IFERROR(VLOOKUP($AG311,DB_Categories_Export!$A:$B,2,FALSE()),"INVALID CATEGORY"))</f>
        <v/>
      </c>
      <c r="AI311" s="2" t="str">
        <f t="shared" si="45"/>
        <v/>
      </c>
      <c r="AJ311" s="2" t="str">
        <f t="shared" si="46"/>
        <v/>
      </c>
      <c r="AK311" s="2" t="str">
        <f t="shared" si="47"/>
        <v/>
      </c>
      <c r="AL311" s="2" t="str">
        <f t="shared" si="48"/>
        <v/>
      </c>
      <c r="AM311" s="2" t="str">
        <f t="shared" si="49"/>
        <v/>
      </c>
      <c r="AN311" s="2"/>
      <c r="AO311" s="2"/>
    </row>
    <row r="312" spans="1:41" ht="12" customHeight="1" x14ac:dyDescent="0.3">
      <c r="A312" s="2"/>
      <c r="B312" s="2" t="str">
        <f t="shared" si="40"/>
        <v/>
      </c>
      <c r="C312" s="2" t="str">
        <f t="shared" si="41"/>
        <v/>
      </c>
      <c r="D312" s="2" t="str">
        <f>IF(DB_Artworks_Export!A312="","",DB_Artworks_Export!A312)</f>
        <v/>
      </c>
      <c r="E312" s="2" t="str">
        <f>IF(DB_Artworks_Export!B312="","",DB_Artworks_Export!B312)</f>
        <v/>
      </c>
      <c r="F312" s="2" t="str">
        <f>IF(DB_Artworks_Export!C312="","",DB_Artworks_Export!C312)</f>
        <v/>
      </c>
      <c r="G312" s="2" t="str">
        <f>IF(DB_Artworks_Export!D312="","",DB_Artworks_Export!D312)</f>
        <v/>
      </c>
      <c r="H312" s="2" t="str">
        <f>IF(DB_Artworks_Export!E312="","",DB_Artworks_Export!E312)</f>
        <v/>
      </c>
      <c r="I312" s="2" t="str">
        <f>IF(DB_Artworks_Export!F312="","",DB_Artworks_Export!F312)</f>
        <v/>
      </c>
      <c r="J312" s="2" t="str">
        <f>IF(DB_Artworks_Export!G312="","",DB_Artworks_Export!G312)</f>
        <v/>
      </c>
      <c r="K312" s="2" t="str">
        <f>IF(DB_Artworks_Export!H312="","",DB_Artworks_Export!H312)</f>
        <v/>
      </c>
      <c r="L312" s="2" t="str">
        <f>IF(DB_Artworks_Export!I312="","",DB_Artworks_Export!I312)</f>
        <v/>
      </c>
      <c r="M312" s="2" t="str">
        <f>IF(DB_Artworks_Export!J312="","",DB_Artworks_Export!J312)</f>
        <v/>
      </c>
      <c r="N312" s="2" t="str">
        <f>IF(DB_Artworks_Export!K312="","",DB_Artworks_Export!K312)</f>
        <v/>
      </c>
      <c r="O312" s="2" t="str">
        <f>IF(DB_Artworks_Export!L312="","",DB_Artworks_Export!L312)</f>
        <v/>
      </c>
      <c r="P312" s="2" t="str">
        <f>IF(DB_Artworks_Export!M312="","",DB_Artworks_Export!M312)</f>
        <v/>
      </c>
      <c r="Q312" s="2" t="str">
        <f>IF(DB_Artworks_Export!N312="","",DB_Artworks_Export!N312)</f>
        <v/>
      </c>
      <c r="R312" s="2" t="str">
        <f>IF($D312="","",IF(COUNTIF(DB_Categories_Export!$A:$A,$F312)&gt;0,"OK","INVALID CATEGORY"))</f>
        <v/>
      </c>
      <c r="S312" s="2" t="str">
        <f>IF($D312="","",COUNTIF(DB_Artwork_Sizes_Export!$B:$B,$D312))</f>
        <v/>
      </c>
      <c r="T312" s="2" t="str">
        <f>IF($D312="","",IFERROR(INDEX(DB_Artwork_Sizes_Export!$D:$D,MATCH($D312,DB_Artwork_Sizes_Export!$B:$B,0)),""))</f>
        <v/>
      </c>
      <c r="U312" s="2" t="str">
        <f>IF($D312="","",IFERROR(INDEX(DB_Artwork_Sizes_Export!$E:$E,MATCH($D312,DB_Artwork_Sizes_Export!$B:$B,0)),""))</f>
        <v/>
      </c>
      <c r="V312" s="2" t="str">
        <f>IF($D312="","",IFERROR(INDEX(DB_Artwork_Sizes_Export!$F:$F,MATCH($D312,DB_Artwork_Sizes_Export!$B:$B,0)),""))</f>
        <v/>
      </c>
      <c r="W312" s="2" t="str">
        <f t="shared" si="42"/>
        <v/>
      </c>
      <c r="X312" s="2"/>
      <c r="Y312" s="2"/>
      <c r="Z312" s="2"/>
      <c r="AA312" s="2"/>
      <c r="AB312" s="2"/>
      <c r="AC312" s="2"/>
      <c r="AD312" s="2"/>
      <c r="AE312" s="2"/>
      <c r="AF312" s="2" t="str">
        <f t="shared" si="43"/>
        <v/>
      </c>
      <c r="AG312" s="2" t="str">
        <f t="shared" si="44"/>
        <v/>
      </c>
      <c r="AH312" s="2" t="str">
        <f>IF($AG312="","",IFERROR(VLOOKUP($AG312,DB_Categories_Export!$A:$B,2,FALSE()),"INVALID CATEGORY"))</f>
        <v/>
      </c>
      <c r="AI312" s="2" t="str">
        <f t="shared" si="45"/>
        <v/>
      </c>
      <c r="AJ312" s="2" t="str">
        <f t="shared" si="46"/>
        <v/>
      </c>
      <c r="AK312" s="2" t="str">
        <f t="shared" si="47"/>
        <v/>
      </c>
      <c r="AL312" s="2" t="str">
        <f t="shared" si="48"/>
        <v/>
      </c>
      <c r="AM312" s="2" t="str">
        <f t="shared" si="49"/>
        <v/>
      </c>
      <c r="AN312" s="2"/>
      <c r="AO312" s="2"/>
    </row>
    <row r="313" spans="1:41" ht="12" customHeight="1" x14ac:dyDescent="0.3">
      <c r="A313" s="2"/>
      <c r="B313" s="2" t="str">
        <f t="shared" si="40"/>
        <v/>
      </c>
      <c r="C313" s="2" t="str">
        <f t="shared" si="41"/>
        <v/>
      </c>
      <c r="D313" s="2" t="str">
        <f>IF(DB_Artworks_Export!A313="","",DB_Artworks_Export!A313)</f>
        <v/>
      </c>
      <c r="E313" s="2" t="str">
        <f>IF(DB_Artworks_Export!B313="","",DB_Artworks_Export!B313)</f>
        <v/>
      </c>
      <c r="F313" s="2" t="str">
        <f>IF(DB_Artworks_Export!C313="","",DB_Artworks_Export!C313)</f>
        <v/>
      </c>
      <c r="G313" s="2" t="str">
        <f>IF(DB_Artworks_Export!D313="","",DB_Artworks_Export!D313)</f>
        <v/>
      </c>
      <c r="H313" s="2" t="str">
        <f>IF(DB_Artworks_Export!E313="","",DB_Artworks_Export!E313)</f>
        <v/>
      </c>
      <c r="I313" s="2" t="str">
        <f>IF(DB_Artworks_Export!F313="","",DB_Artworks_Export!F313)</f>
        <v/>
      </c>
      <c r="J313" s="2" t="str">
        <f>IF(DB_Artworks_Export!G313="","",DB_Artworks_Export!G313)</f>
        <v/>
      </c>
      <c r="K313" s="2" t="str">
        <f>IF(DB_Artworks_Export!H313="","",DB_Artworks_Export!H313)</f>
        <v/>
      </c>
      <c r="L313" s="2" t="str">
        <f>IF(DB_Artworks_Export!I313="","",DB_Artworks_Export!I313)</f>
        <v/>
      </c>
      <c r="M313" s="2" t="str">
        <f>IF(DB_Artworks_Export!J313="","",DB_Artworks_Export!J313)</f>
        <v/>
      </c>
      <c r="N313" s="2" t="str">
        <f>IF(DB_Artworks_Export!K313="","",DB_Artworks_Export!K313)</f>
        <v/>
      </c>
      <c r="O313" s="2" t="str">
        <f>IF(DB_Artworks_Export!L313="","",DB_Artworks_Export!L313)</f>
        <v/>
      </c>
      <c r="P313" s="2" t="str">
        <f>IF(DB_Artworks_Export!M313="","",DB_Artworks_Export!M313)</f>
        <v/>
      </c>
      <c r="Q313" s="2" t="str">
        <f>IF(DB_Artworks_Export!N313="","",DB_Artworks_Export!N313)</f>
        <v/>
      </c>
      <c r="R313" s="2" t="str">
        <f>IF($D313="","",IF(COUNTIF(DB_Categories_Export!$A:$A,$F313)&gt;0,"OK","INVALID CATEGORY"))</f>
        <v/>
      </c>
      <c r="S313" s="2" t="str">
        <f>IF($D313="","",COUNTIF(DB_Artwork_Sizes_Export!$B:$B,$D313))</f>
        <v/>
      </c>
      <c r="T313" s="2" t="str">
        <f>IF($D313="","",IFERROR(INDEX(DB_Artwork_Sizes_Export!$D:$D,MATCH($D313,DB_Artwork_Sizes_Export!$B:$B,0)),""))</f>
        <v/>
      </c>
      <c r="U313" s="2" t="str">
        <f>IF($D313="","",IFERROR(INDEX(DB_Artwork_Sizes_Export!$E:$E,MATCH($D313,DB_Artwork_Sizes_Export!$B:$B,0)),""))</f>
        <v/>
      </c>
      <c r="V313" s="2" t="str">
        <f>IF($D313="","",IFERROR(INDEX(DB_Artwork_Sizes_Export!$F:$F,MATCH($D313,DB_Artwork_Sizes_Export!$B:$B,0)),""))</f>
        <v/>
      </c>
      <c r="W313" s="2" t="str">
        <f t="shared" si="42"/>
        <v/>
      </c>
      <c r="X313" s="2"/>
      <c r="Y313" s="2"/>
      <c r="Z313" s="2"/>
      <c r="AA313" s="2"/>
      <c r="AB313" s="2"/>
      <c r="AC313" s="2"/>
      <c r="AD313" s="2"/>
      <c r="AE313" s="2"/>
      <c r="AF313" s="2" t="str">
        <f t="shared" si="43"/>
        <v/>
      </c>
      <c r="AG313" s="2" t="str">
        <f t="shared" si="44"/>
        <v/>
      </c>
      <c r="AH313" s="2" t="str">
        <f>IF($AG313="","",IFERROR(VLOOKUP($AG313,DB_Categories_Export!$A:$B,2,FALSE()),"INVALID CATEGORY"))</f>
        <v/>
      </c>
      <c r="AI313" s="2" t="str">
        <f t="shared" si="45"/>
        <v/>
      </c>
      <c r="AJ313" s="2" t="str">
        <f t="shared" si="46"/>
        <v/>
      </c>
      <c r="AK313" s="2" t="str">
        <f t="shared" si="47"/>
        <v/>
      </c>
      <c r="AL313" s="2" t="str">
        <f t="shared" si="48"/>
        <v/>
      </c>
      <c r="AM313" s="2" t="str">
        <f t="shared" si="49"/>
        <v/>
      </c>
      <c r="AN313" s="2"/>
      <c r="AO313" s="2"/>
    </row>
    <row r="314" spans="1:41" ht="12" customHeight="1" x14ac:dyDescent="0.3">
      <c r="A314" s="2"/>
      <c r="B314" s="2" t="str">
        <f t="shared" si="40"/>
        <v/>
      </c>
      <c r="C314" s="2" t="str">
        <f t="shared" si="41"/>
        <v/>
      </c>
      <c r="D314" s="2" t="str">
        <f>IF(DB_Artworks_Export!A314="","",DB_Artworks_Export!A314)</f>
        <v/>
      </c>
      <c r="E314" s="2" t="str">
        <f>IF(DB_Artworks_Export!B314="","",DB_Artworks_Export!B314)</f>
        <v/>
      </c>
      <c r="F314" s="2" t="str">
        <f>IF(DB_Artworks_Export!C314="","",DB_Artworks_Export!C314)</f>
        <v/>
      </c>
      <c r="G314" s="2" t="str">
        <f>IF(DB_Artworks_Export!D314="","",DB_Artworks_Export!D314)</f>
        <v/>
      </c>
      <c r="H314" s="2" t="str">
        <f>IF(DB_Artworks_Export!E314="","",DB_Artworks_Export!E314)</f>
        <v/>
      </c>
      <c r="I314" s="2" t="str">
        <f>IF(DB_Artworks_Export!F314="","",DB_Artworks_Export!F314)</f>
        <v/>
      </c>
      <c r="J314" s="2" t="str">
        <f>IF(DB_Artworks_Export!G314="","",DB_Artworks_Export!G314)</f>
        <v/>
      </c>
      <c r="K314" s="2" t="str">
        <f>IF(DB_Artworks_Export!H314="","",DB_Artworks_Export!H314)</f>
        <v/>
      </c>
      <c r="L314" s="2" t="str">
        <f>IF(DB_Artworks_Export!I314="","",DB_Artworks_Export!I314)</f>
        <v/>
      </c>
      <c r="M314" s="2" t="str">
        <f>IF(DB_Artworks_Export!J314="","",DB_Artworks_Export!J314)</f>
        <v/>
      </c>
      <c r="N314" s="2" t="str">
        <f>IF(DB_Artworks_Export!K314="","",DB_Artworks_Export!K314)</f>
        <v/>
      </c>
      <c r="O314" s="2" t="str">
        <f>IF(DB_Artworks_Export!L314="","",DB_Artworks_Export!L314)</f>
        <v/>
      </c>
      <c r="P314" s="2" t="str">
        <f>IF(DB_Artworks_Export!M314="","",DB_Artworks_Export!M314)</f>
        <v/>
      </c>
      <c r="Q314" s="2" t="str">
        <f>IF(DB_Artworks_Export!N314="","",DB_Artworks_Export!N314)</f>
        <v/>
      </c>
      <c r="R314" s="2" t="str">
        <f>IF($D314="","",IF(COUNTIF(DB_Categories_Export!$A:$A,$F314)&gt;0,"OK","INVALID CATEGORY"))</f>
        <v/>
      </c>
      <c r="S314" s="2" t="str">
        <f>IF($D314="","",COUNTIF(DB_Artwork_Sizes_Export!$B:$B,$D314))</f>
        <v/>
      </c>
      <c r="T314" s="2" t="str">
        <f>IF($D314="","",IFERROR(INDEX(DB_Artwork_Sizes_Export!$D:$D,MATCH($D314,DB_Artwork_Sizes_Export!$B:$B,0)),""))</f>
        <v/>
      </c>
      <c r="U314" s="2" t="str">
        <f>IF($D314="","",IFERROR(INDEX(DB_Artwork_Sizes_Export!$E:$E,MATCH($D314,DB_Artwork_Sizes_Export!$B:$B,0)),""))</f>
        <v/>
      </c>
      <c r="V314" s="2" t="str">
        <f>IF($D314="","",IFERROR(INDEX(DB_Artwork_Sizes_Export!$F:$F,MATCH($D314,DB_Artwork_Sizes_Export!$B:$B,0)),""))</f>
        <v/>
      </c>
      <c r="W314" s="2" t="str">
        <f t="shared" si="42"/>
        <v/>
      </c>
      <c r="X314" s="2"/>
      <c r="Y314" s="2"/>
      <c r="Z314" s="2"/>
      <c r="AA314" s="2"/>
      <c r="AB314" s="2"/>
      <c r="AC314" s="2"/>
      <c r="AD314" s="2"/>
      <c r="AE314" s="2"/>
      <c r="AF314" s="2" t="str">
        <f t="shared" si="43"/>
        <v/>
      </c>
      <c r="AG314" s="2" t="str">
        <f t="shared" si="44"/>
        <v/>
      </c>
      <c r="AH314" s="2" t="str">
        <f>IF($AG314="","",IFERROR(VLOOKUP($AG314,DB_Categories_Export!$A:$B,2,FALSE()),"INVALID CATEGORY"))</f>
        <v/>
      </c>
      <c r="AI314" s="2" t="str">
        <f t="shared" si="45"/>
        <v/>
      </c>
      <c r="AJ314" s="2" t="str">
        <f t="shared" si="46"/>
        <v/>
      </c>
      <c r="AK314" s="2" t="str">
        <f t="shared" si="47"/>
        <v/>
      </c>
      <c r="AL314" s="2" t="str">
        <f t="shared" si="48"/>
        <v/>
      </c>
      <c r="AM314" s="2" t="str">
        <f t="shared" si="49"/>
        <v/>
      </c>
      <c r="AN314" s="2"/>
      <c r="AO314" s="2"/>
    </row>
    <row r="315" spans="1:41" ht="12" customHeight="1" x14ac:dyDescent="0.3">
      <c r="A315" s="2"/>
      <c r="B315" s="2" t="str">
        <f t="shared" si="40"/>
        <v/>
      </c>
      <c r="C315" s="2" t="str">
        <f t="shared" si="41"/>
        <v/>
      </c>
      <c r="D315" s="2" t="str">
        <f>IF(DB_Artworks_Export!A315="","",DB_Artworks_Export!A315)</f>
        <v/>
      </c>
      <c r="E315" s="2" t="str">
        <f>IF(DB_Artworks_Export!B315="","",DB_Artworks_Export!B315)</f>
        <v/>
      </c>
      <c r="F315" s="2" t="str">
        <f>IF(DB_Artworks_Export!C315="","",DB_Artworks_Export!C315)</f>
        <v/>
      </c>
      <c r="G315" s="2" t="str">
        <f>IF(DB_Artworks_Export!D315="","",DB_Artworks_Export!D315)</f>
        <v/>
      </c>
      <c r="H315" s="2" t="str">
        <f>IF(DB_Artworks_Export!E315="","",DB_Artworks_Export!E315)</f>
        <v/>
      </c>
      <c r="I315" s="2" t="str">
        <f>IF(DB_Artworks_Export!F315="","",DB_Artworks_Export!F315)</f>
        <v/>
      </c>
      <c r="J315" s="2" t="str">
        <f>IF(DB_Artworks_Export!G315="","",DB_Artworks_Export!G315)</f>
        <v/>
      </c>
      <c r="K315" s="2" t="str">
        <f>IF(DB_Artworks_Export!H315="","",DB_Artworks_Export!H315)</f>
        <v/>
      </c>
      <c r="L315" s="2" t="str">
        <f>IF(DB_Artworks_Export!I315="","",DB_Artworks_Export!I315)</f>
        <v/>
      </c>
      <c r="M315" s="2" t="str">
        <f>IF(DB_Artworks_Export!J315="","",DB_Artworks_Export!J315)</f>
        <v/>
      </c>
      <c r="N315" s="2" t="str">
        <f>IF(DB_Artworks_Export!K315="","",DB_Artworks_Export!K315)</f>
        <v/>
      </c>
      <c r="O315" s="2" t="str">
        <f>IF(DB_Artworks_Export!L315="","",DB_Artworks_Export!L315)</f>
        <v/>
      </c>
      <c r="P315" s="2" t="str">
        <f>IF(DB_Artworks_Export!M315="","",DB_Artworks_Export!M315)</f>
        <v/>
      </c>
      <c r="Q315" s="2" t="str">
        <f>IF(DB_Artworks_Export!N315="","",DB_Artworks_Export!N315)</f>
        <v/>
      </c>
      <c r="R315" s="2" t="str">
        <f>IF($D315="","",IF(COUNTIF(DB_Categories_Export!$A:$A,$F315)&gt;0,"OK","INVALID CATEGORY"))</f>
        <v/>
      </c>
      <c r="S315" s="2" t="str">
        <f>IF($D315="","",COUNTIF(DB_Artwork_Sizes_Export!$B:$B,$D315))</f>
        <v/>
      </c>
      <c r="T315" s="2" t="str">
        <f>IF($D315="","",IFERROR(INDEX(DB_Artwork_Sizes_Export!$D:$D,MATCH($D315,DB_Artwork_Sizes_Export!$B:$B,0)),""))</f>
        <v/>
      </c>
      <c r="U315" s="2" t="str">
        <f>IF($D315="","",IFERROR(INDEX(DB_Artwork_Sizes_Export!$E:$E,MATCH($D315,DB_Artwork_Sizes_Export!$B:$B,0)),""))</f>
        <v/>
      </c>
      <c r="V315" s="2" t="str">
        <f>IF($D315="","",IFERROR(INDEX(DB_Artwork_Sizes_Export!$F:$F,MATCH($D315,DB_Artwork_Sizes_Export!$B:$B,0)),""))</f>
        <v/>
      </c>
      <c r="W315" s="2" t="str">
        <f t="shared" si="42"/>
        <v/>
      </c>
      <c r="X315" s="2"/>
      <c r="Y315" s="2"/>
      <c r="Z315" s="2"/>
      <c r="AA315" s="2"/>
      <c r="AB315" s="2"/>
      <c r="AC315" s="2"/>
      <c r="AD315" s="2"/>
      <c r="AE315" s="2"/>
      <c r="AF315" s="2" t="str">
        <f t="shared" si="43"/>
        <v/>
      </c>
      <c r="AG315" s="2" t="str">
        <f t="shared" si="44"/>
        <v/>
      </c>
      <c r="AH315" s="2" t="str">
        <f>IF($AG315="","",IFERROR(VLOOKUP($AG315,DB_Categories_Export!$A:$B,2,FALSE()),"INVALID CATEGORY"))</f>
        <v/>
      </c>
      <c r="AI315" s="2" t="str">
        <f t="shared" si="45"/>
        <v/>
      </c>
      <c r="AJ315" s="2" t="str">
        <f t="shared" si="46"/>
        <v/>
      </c>
      <c r="AK315" s="2" t="str">
        <f t="shared" si="47"/>
        <v/>
      </c>
      <c r="AL315" s="2" t="str">
        <f t="shared" si="48"/>
        <v/>
      </c>
      <c r="AM315" s="2" t="str">
        <f t="shared" si="49"/>
        <v/>
      </c>
      <c r="AN315" s="2"/>
      <c r="AO315" s="2"/>
    </row>
    <row r="316" spans="1:41" ht="12" customHeight="1" x14ac:dyDescent="0.3">
      <c r="A316" s="2"/>
      <c r="B316" s="2" t="str">
        <f t="shared" si="40"/>
        <v/>
      </c>
      <c r="C316" s="2" t="str">
        <f t="shared" si="41"/>
        <v/>
      </c>
      <c r="D316" s="2" t="str">
        <f>IF(DB_Artworks_Export!A316="","",DB_Artworks_Export!A316)</f>
        <v/>
      </c>
      <c r="E316" s="2" t="str">
        <f>IF(DB_Artworks_Export!B316="","",DB_Artworks_Export!B316)</f>
        <v/>
      </c>
      <c r="F316" s="2" t="str">
        <f>IF(DB_Artworks_Export!C316="","",DB_Artworks_Export!C316)</f>
        <v/>
      </c>
      <c r="G316" s="2" t="str">
        <f>IF(DB_Artworks_Export!D316="","",DB_Artworks_Export!D316)</f>
        <v/>
      </c>
      <c r="H316" s="2" t="str">
        <f>IF(DB_Artworks_Export!E316="","",DB_Artworks_Export!E316)</f>
        <v/>
      </c>
      <c r="I316" s="2" t="str">
        <f>IF(DB_Artworks_Export!F316="","",DB_Artworks_Export!F316)</f>
        <v/>
      </c>
      <c r="J316" s="2" t="str">
        <f>IF(DB_Artworks_Export!G316="","",DB_Artworks_Export!G316)</f>
        <v/>
      </c>
      <c r="K316" s="2" t="str">
        <f>IF(DB_Artworks_Export!H316="","",DB_Artworks_Export!H316)</f>
        <v/>
      </c>
      <c r="L316" s="2" t="str">
        <f>IF(DB_Artworks_Export!I316="","",DB_Artworks_Export!I316)</f>
        <v/>
      </c>
      <c r="M316" s="2" t="str">
        <f>IF(DB_Artworks_Export!J316="","",DB_Artworks_Export!J316)</f>
        <v/>
      </c>
      <c r="N316" s="2" t="str">
        <f>IF(DB_Artworks_Export!K316="","",DB_Artworks_Export!K316)</f>
        <v/>
      </c>
      <c r="O316" s="2" t="str">
        <f>IF(DB_Artworks_Export!L316="","",DB_Artworks_Export!L316)</f>
        <v/>
      </c>
      <c r="P316" s="2" t="str">
        <f>IF(DB_Artworks_Export!M316="","",DB_Artworks_Export!M316)</f>
        <v/>
      </c>
      <c r="Q316" s="2" t="str">
        <f>IF(DB_Artworks_Export!N316="","",DB_Artworks_Export!N316)</f>
        <v/>
      </c>
      <c r="R316" s="2" t="str">
        <f>IF($D316="","",IF(COUNTIF(DB_Categories_Export!$A:$A,$F316)&gt;0,"OK","INVALID CATEGORY"))</f>
        <v/>
      </c>
      <c r="S316" s="2" t="str">
        <f>IF($D316="","",COUNTIF(DB_Artwork_Sizes_Export!$B:$B,$D316))</f>
        <v/>
      </c>
      <c r="T316" s="2" t="str">
        <f>IF($D316="","",IFERROR(INDEX(DB_Artwork_Sizes_Export!$D:$D,MATCH($D316,DB_Artwork_Sizes_Export!$B:$B,0)),""))</f>
        <v/>
      </c>
      <c r="U316" s="2" t="str">
        <f>IF($D316="","",IFERROR(INDEX(DB_Artwork_Sizes_Export!$E:$E,MATCH($D316,DB_Artwork_Sizes_Export!$B:$B,0)),""))</f>
        <v/>
      </c>
      <c r="V316" s="2" t="str">
        <f>IF($D316="","",IFERROR(INDEX(DB_Artwork_Sizes_Export!$F:$F,MATCH($D316,DB_Artwork_Sizes_Export!$B:$B,0)),""))</f>
        <v/>
      </c>
      <c r="W316" s="2" t="str">
        <f t="shared" si="42"/>
        <v/>
      </c>
      <c r="X316" s="2"/>
      <c r="Y316" s="2"/>
      <c r="Z316" s="2"/>
      <c r="AA316" s="2"/>
      <c r="AB316" s="2"/>
      <c r="AC316" s="2"/>
      <c r="AD316" s="2"/>
      <c r="AE316" s="2"/>
      <c r="AF316" s="2" t="str">
        <f t="shared" si="43"/>
        <v/>
      </c>
      <c r="AG316" s="2" t="str">
        <f t="shared" si="44"/>
        <v/>
      </c>
      <c r="AH316" s="2" t="str">
        <f>IF($AG316="","",IFERROR(VLOOKUP($AG316,DB_Categories_Export!$A:$B,2,FALSE()),"INVALID CATEGORY"))</f>
        <v/>
      </c>
      <c r="AI316" s="2" t="str">
        <f t="shared" si="45"/>
        <v/>
      </c>
      <c r="AJ316" s="2" t="str">
        <f t="shared" si="46"/>
        <v/>
      </c>
      <c r="AK316" s="2" t="str">
        <f t="shared" si="47"/>
        <v/>
      </c>
      <c r="AL316" s="2" t="str">
        <f t="shared" si="48"/>
        <v/>
      </c>
      <c r="AM316" s="2" t="str">
        <f t="shared" si="49"/>
        <v/>
      </c>
      <c r="AN316" s="2"/>
      <c r="AO316" s="2"/>
    </row>
    <row r="317" spans="1:41" ht="12" customHeight="1" x14ac:dyDescent="0.3">
      <c r="A317" s="2"/>
      <c r="B317" s="2" t="str">
        <f t="shared" si="40"/>
        <v/>
      </c>
      <c r="C317" s="2" t="str">
        <f t="shared" si="41"/>
        <v/>
      </c>
      <c r="D317" s="2" t="str">
        <f>IF(DB_Artworks_Export!A317="","",DB_Artworks_Export!A317)</f>
        <v/>
      </c>
      <c r="E317" s="2" t="str">
        <f>IF(DB_Artworks_Export!B317="","",DB_Artworks_Export!B317)</f>
        <v/>
      </c>
      <c r="F317" s="2" t="str">
        <f>IF(DB_Artworks_Export!C317="","",DB_Artworks_Export!C317)</f>
        <v/>
      </c>
      <c r="G317" s="2" t="str">
        <f>IF(DB_Artworks_Export!D317="","",DB_Artworks_Export!D317)</f>
        <v/>
      </c>
      <c r="H317" s="2" t="str">
        <f>IF(DB_Artworks_Export!E317="","",DB_Artworks_Export!E317)</f>
        <v/>
      </c>
      <c r="I317" s="2" t="str">
        <f>IF(DB_Artworks_Export!F317="","",DB_Artworks_Export!F317)</f>
        <v/>
      </c>
      <c r="J317" s="2" t="str">
        <f>IF(DB_Artworks_Export!G317="","",DB_Artworks_Export!G317)</f>
        <v/>
      </c>
      <c r="K317" s="2" t="str">
        <f>IF(DB_Artworks_Export!H317="","",DB_Artworks_Export!H317)</f>
        <v/>
      </c>
      <c r="L317" s="2" t="str">
        <f>IF(DB_Artworks_Export!I317="","",DB_Artworks_Export!I317)</f>
        <v/>
      </c>
      <c r="M317" s="2" t="str">
        <f>IF(DB_Artworks_Export!J317="","",DB_Artworks_Export!J317)</f>
        <v/>
      </c>
      <c r="N317" s="2" t="str">
        <f>IF(DB_Artworks_Export!K317="","",DB_Artworks_Export!K317)</f>
        <v/>
      </c>
      <c r="O317" s="2" t="str">
        <f>IF(DB_Artworks_Export!L317="","",DB_Artworks_Export!L317)</f>
        <v/>
      </c>
      <c r="P317" s="2" t="str">
        <f>IF(DB_Artworks_Export!M317="","",DB_Artworks_Export!M317)</f>
        <v/>
      </c>
      <c r="Q317" s="2" t="str">
        <f>IF(DB_Artworks_Export!N317="","",DB_Artworks_Export!N317)</f>
        <v/>
      </c>
      <c r="R317" s="2" t="str">
        <f>IF($D317="","",IF(COUNTIF(DB_Categories_Export!$A:$A,$F317)&gt;0,"OK","INVALID CATEGORY"))</f>
        <v/>
      </c>
      <c r="S317" s="2" t="str">
        <f>IF($D317="","",COUNTIF(DB_Artwork_Sizes_Export!$B:$B,$D317))</f>
        <v/>
      </c>
      <c r="T317" s="2" t="str">
        <f>IF($D317="","",IFERROR(INDEX(DB_Artwork_Sizes_Export!$D:$D,MATCH($D317,DB_Artwork_Sizes_Export!$B:$B,0)),""))</f>
        <v/>
      </c>
      <c r="U317" s="2" t="str">
        <f>IF($D317="","",IFERROR(INDEX(DB_Artwork_Sizes_Export!$E:$E,MATCH($D317,DB_Artwork_Sizes_Export!$B:$B,0)),""))</f>
        <v/>
      </c>
      <c r="V317" s="2" t="str">
        <f>IF($D317="","",IFERROR(INDEX(DB_Artwork_Sizes_Export!$F:$F,MATCH($D317,DB_Artwork_Sizes_Export!$B:$B,0)),""))</f>
        <v/>
      </c>
      <c r="W317" s="2" t="str">
        <f t="shared" si="42"/>
        <v/>
      </c>
      <c r="X317" s="2"/>
      <c r="Y317" s="2"/>
      <c r="Z317" s="2"/>
      <c r="AA317" s="2"/>
      <c r="AB317" s="2"/>
      <c r="AC317" s="2"/>
      <c r="AD317" s="2"/>
      <c r="AE317" s="2"/>
      <c r="AF317" s="2" t="str">
        <f t="shared" si="43"/>
        <v/>
      </c>
      <c r="AG317" s="2" t="str">
        <f t="shared" si="44"/>
        <v/>
      </c>
      <c r="AH317" s="2" t="str">
        <f>IF($AG317="","",IFERROR(VLOOKUP($AG317,DB_Categories_Export!$A:$B,2,FALSE()),"INVALID CATEGORY"))</f>
        <v/>
      </c>
      <c r="AI317" s="2" t="str">
        <f t="shared" si="45"/>
        <v/>
      </c>
      <c r="AJ317" s="2" t="str">
        <f t="shared" si="46"/>
        <v/>
      </c>
      <c r="AK317" s="2" t="str">
        <f t="shared" si="47"/>
        <v/>
      </c>
      <c r="AL317" s="2" t="str">
        <f t="shared" si="48"/>
        <v/>
      </c>
      <c r="AM317" s="2" t="str">
        <f t="shared" si="49"/>
        <v/>
      </c>
      <c r="AN317" s="2"/>
      <c r="AO317" s="2"/>
    </row>
    <row r="318" spans="1:41" ht="12" customHeight="1" x14ac:dyDescent="0.3">
      <c r="A318" s="2"/>
      <c r="B318" s="2" t="str">
        <f t="shared" si="40"/>
        <v/>
      </c>
      <c r="C318" s="2" t="str">
        <f t="shared" si="41"/>
        <v/>
      </c>
      <c r="D318" s="2" t="str">
        <f>IF(DB_Artworks_Export!A318="","",DB_Artworks_Export!A318)</f>
        <v/>
      </c>
      <c r="E318" s="2" t="str">
        <f>IF(DB_Artworks_Export!B318="","",DB_Artworks_Export!B318)</f>
        <v/>
      </c>
      <c r="F318" s="2" t="str">
        <f>IF(DB_Artworks_Export!C318="","",DB_Artworks_Export!C318)</f>
        <v/>
      </c>
      <c r="G318" s="2" t="str">
        <f>IF(DB_Artworks_Export!D318="","",DB_Artworks_Export!D318)</f>
        <v/>
      </c>
      <c r="H318" s="2" t="str">
        <f>IF(DB_Artworks_Export!E318="","",DB_Artworks_Export!E318)</f>
        <v/>
      </c>
      <c r="I318" s="2" t="str">
        <f>IF(DB_Artworks_Export!F318="","",DB_Artworks_Export!F318)</f>
        <v/>
      </c>
      <c r="J318" s="2" t="str">
        <f>IF(DB_Artworks_Export!G318="","",DB_Artworks_Export!G318)</f>
        <v/>
      </c>
      <c r="K318" s="2" t="str">
        <f>IF(DB_Artworks_Export!H318="","",DB_Artworks_Export!H318)</f>
        <v/>
      </c>
      <c r="L318" s="2" t="str">
        <f>IF(DB_Artworks_Export!I318="","",DB_Artworks_Export!I318)</f>
        <v/>
      </c>
      <c r="M318" s="2" t="str">
        <f>IF(DB_Artworks_Export!J318="","",DB_Artworks_Export!J318)</f>
        <v/>
      </c>
      <c r="N318" s="2" t="str">
        <f>IF(DB_Artworks_Export!K318="","",DB_Artworks_Export!K318)</f>
        <v/>
      </c>
      <c r="O318" s="2" t="str">
        <f>IF(DB_Artworks_Export!L318="","",DB_Artworks_Export!L318)</f>
        <v/>
      </c>
      <c r="P318" s="2" t="str">
        <f>IF(DB_Artworks_Export!M318="","",DB_Artworks_Export!M318)</f>
        <v/>
      </c>
      <c r="Q318" s="2" t="str">
        <f>IF(DB_Artworks_Export!N318="","",DB_Artworks_Export!N318)</f>
        <v/>
      </c>
      <c r="R318" s="2" t="str">
        <f>IF($D318="","",IF(COUNTIF(DB_Categories_Export!$A:$A,$F318)&gt;0,"OK","INVALID CATEGORY"))</f>
        <v/>
      </c>
      <c r="S318" s="2" t="str">
        <f>IF($D318="","",COUNTIF(DB_Artwork_Sizes_Export!$B:$B,$D318))</f>
        <v/>
      </c>
      <c r="T318" s="2" t="str">
        <f>IF($D318="","",IFERROR(INDEX(DB_Artwork_Sizes_Export!$D:$D,MATCH($D318,DB_Artwork_Sizes_Export!$B:$B,0)),""))</f>
        <v/>
      </c>
      <c r="U318" s="2" t="str">
        <f>IF($D318="","",IFERROR(INDEX(DB_Artwork_Sizes_Export!$E:$E,MATCH($D318,DB_Artwork_Sizes_Export!$B:$B,0)),""))</f>
        <v/>
      </c>
      <c r="V318" s="2" t="str">
        <f>IF($D318="","",IFERROR(INDEX(DB_Artwork_Sizes_Export!$F:$F,MATCH($D318,DB_Artwork_Sizes_Export!$B:$B,0)),""))</f>
        <v/>
      </c>
      <c r="W318" s="2" t="str">
        <f t="shared" si="42"/>
        <v/>
      </c>
      <c r="X318" s="2"/>
      <c r="Y318" s="2"/>
      <c r="Z318" s="2"/>
      <c r="AA318" s="2"/>
      <c r="AB318" s="2"/>
      <c r="AC318" s="2"/>
      <c r="AD318" s="2"/>
      <c r="AE318" s="2"/>
      <c r="AF318" s="2" t="str">
        <f t="shared" si="43"/>
        <v/>
      </c>
      <c r="AG318" s="2" t="str">
        <f t="shared" si="44"/>
        <v/>
      </c>
      <c r="AH318" s="2" t="str">
        <f>IF($AG318="","",IFERROR(VLOOKUP($AG318,DB_Categories_Export!$A:$B,2,FALSE()),"INVALID CATEGORY"))</f>
        <v/>
      </c>
      <c r="AI318" s="2" t="str">
        <f t="shared" si="45"/>
        <v/>
      </c>
      <c r="AJ318" s="2" t="str">
        <f t="shared" si="46"/>
        <v/>
      </c>
      <c r="AK318" s="2" t="str">
        <f t="shared" si="47"/>
        <v/>
      </c>
      <c r="AL318" s="2" t="str">
        <f t="shared" si="48"/>
        <v/>
      </c>
      <c r="AM318" s="2" t="str">
        <f t="shared" si="49"/>
        <v/>
      </c>
      <c r="AN318" s="2"/>
      <c r="AO318" s="2"/>
    </row>
    <row r="319" spans="1:41" ht="12" customHeight="1" x14ac:dyDescent="0.3">
      <c r="A319" s="2"/>
      <c r="B319" s="2" t="str">
        <f t="shared" si="40"/>
        <v/>
      </c>
      <c r="C319" s="2" t="str">
        <f t="shared" si="41"/>
        <v/>
      </c>
      <c r="D319" s="2" t="str">
        <f>IF(DB_Artworks_Export!A319="","",DB_Artworks_Export!A319)</f>
        <v/>
      </c>
      <c r="E319" s="2" t="str">
        <f>IF(DB_Artworks_Export!B319="","",DB_Artworks_Export!B319)</f>
        <v/>
      </c>
      <c r="F319" s="2" t="str">
        <f>IF(DB_Artworks_Export!C319="","",DB_Artworks_Export!C319)</f>
        <v/>
      </c>
      <c r="G319" s="2" t="str">
        <f>IF(DB_Artworks_Export!D319="","",DB_Artworks_Export!D319)</f>
        <v/>
      </c>
      <c r="H319" s="2" t="str">
        <f>IF(DB_Artworks_Export!E319="","",DB_Artworks_Export!E319)</f>
        <v/>
      </c>
      <c r="I319" s="2" t="str">
        <f>IF(DB_Artworks_Export!F319="","",DB_Artworks_Export!F319)</f>
        <v/>
      </c>
      <c r="J319" s="2" t="str">
        <f>IF(DB_Artworks_Export!G319="","",DB_Artworks_Export!G319)</f>
        <v/>
      </c>
      <c r="K319" s="2" t="str">
        <f>IF(DB_Artworks_Export!H319="","",DB_Artworks_Export!H319)</f>
        <v/>
      </c>
      <c r="L319" s="2" t="str">
        <f>IF(DB_Artworks_Export!I319="","",DB_Artworks_Export!I319)</f>
        <v/>
      </c>
      <c r="M319" s="2" t="str">
        <f>IF(DB_Artworks_Export!J319="","",DB_Artworks_Export!J319)</f>
        <v/>
      </c>
      <c r="N319" s="2" t="str">
        <f>IF(DB_Artworks_Export!K319="","",DB_Artworks_Export!K319)</f>
        <v/>
      </c>
      <c r="O319" s="2" t="str">
        <f>IF(DB_Artworks_Export!L319="","",DB_Artworks_Export!L319)</f>
        <v/>
      </c>
      <c r="P319" s="2" t="str">
        <f>IF(DB_Artworks_Export!M319="","",DB_Artworks_Export!M319)</f>
        <v/>
      </c>
      <c r="Q319" s="2" t="str">
        <f>IF(DB_Artworks_Export!N319="","",DB_Artworks_Export!N319)</f>
        <v/>
      </c>
      <c r="R319" s="2" t="str">
        <f>IF($D319="","",IF(COUNTIF(DB_Categories_Export!$A:$A,$F319)&gt;0,"OK","INVALID CATEGORY"))</f>
        <v/>
      </c>
      <c r="S319" s="2" t="str">
        <f>IF($D319="","",COUNTIF(DB_Artwork_Sizes_Export!$B:$B,$D319))</f>
        <v/>
      </c>
      <c r="T319" s="2" t="str">
        <f>IF($D319="","",IFERROR(INDEX(DB_Artwork_Sizes_Export!$D:$D,MATCH($D319,DB_Artwork_Sizes_Export!$B:$B,0)),""))</f>
        <v/>
      </c>
      <c r="U319" s="2" t="str">
        <f>IF($D319="","",IFERROR(INDEX(DB_Artwork_Sizes_Export!$E:$E,MATCH($D319,DB_Artwork_Sizes_Export!$B:$B,0)),""))</f>
        <v/>
      </c>
      <c r="V319" s="2" t="str">
        <f>IF($D319="","",IFERROR(INDEX(DB_Artwork_Sizes_Export!$F:$F,MATCH($D319,DB_Artwork_Sizes_Export!$B:$B,0)),""))</f>
        <v/>
      </c>
      <c r="W319" s="2" t="str">
        <f t="shared" si="42"/>
        <v/>
      </c>
      <c r="X319" s="2"/>
      <c r="Y319" s="2"/>
      <c r="Z319" s="2"/>
      <c r="AA319" s="2"/>
      <c r="AB319" s="2"/>
      <c r="AC319" s="2"/>
      <c r="AD319" s="2"/>
      <c r="AE319" s="2"/>
      <c r="AF319" s="2" t="str">
        <f t="shared" si="43"/>
        <v/>
      </c>
      <c r="AG319" s="2" t="str">
        <f t="shared" si="44"/>
        <v/>
      </c>
      <c r="AH319" s="2" t="str">
        <f>IF($AG319="","",IFERROR(VLOOKUP($AG319,DB_Categories_Export!$A:$B,2,FALSE()),"INVALID CATEGORY"))</f>
        <v/>
      </c>
      <c r="AI319" s="2" t="str">
        <f t="shared" si="45"/>
        <v/>
      </c>
      <c r="AJ319" s="2" t="str">
        <f t="shared" si="46"/>
        <v/>
      </c>
      <c r="AK319" s="2" t="str">
        <f t="shared" si="47"/>
        <v/>
      </c>
      <c r="AL319" s="2" t="str">
        <f t="shared" si="48"/>
        <v/>
      </c>
      <c r="AM319" s="2" t="str">
        <f t="shared" si="49"/>
        <v/>
      </c>
      <c r="AN319" s="2"/>
      <c r="AO319" s="2"/>
    </row>
    <row r="320" spans="1:41" ht="12" customHeight="1" x14ac:dyDescent="0.3">
      <c r="A320" s="2"/>
      <c r="B320" s="2" t="str">
        <f t="shared" si="40"/>
        <v/>
      </c>
      <c r="C320" s="2" t="str">
        <f t="shared" si="41"/>
        <v/>
      </c>
      <c r="D320" s="2" t="str">
        <f>IF(DB_Artworks_Export!A320="","",DB_Artworks_Export!A320)</f>
        <v/>
      </c>
      <c r="E320" s="2" t="str">
        <f>IF(DB_Artworks_Export!B320="","",DB_Artworks_Export!B320)</f>
        <v/>
      </c>
      <c r="F320" s="2" t="str">
        <f>IF(DB_Artworks_Export!C320="","",DB_Artworks_Export!C320)</f>
        <v/>
      </c>
      <c r="G320" s="2" t="str">
        <f>IF(DB_Artworks_Export!D320="","",DB_Artworks_Export!D320)</f>
        <v/>
      </c>
      <c r="H320" s="2" t="str">
        <f>IF(DB_Artworks_Export!E320="","",DB_Artworks_Export!E320)</f>
        <v/>
      </c>
      <c r="I320" s="2" t="str">
        <f>IF(DB_Artworks_Export!F320="","",DB_Artworks_Export!F320)</f>
        <v/>
      </c>
      <c r="J320" s="2" t="str">
        <f>IF(DB_Artworks_Export!G320="","",DB_Artworks_Export!G320)</f>
        <v/>
      </c>
      <c r="K320" s="2" t="str">
        <f>IF(DB_Artworks_Export!H320="","",DB_Artworks_Export!H320)</f>
        <v/>
      </c>
      <c r="L320" s="2" t="str">
        <f>IF(DB_Artworks_Export!I320="","",DB_Artworks_Export!I320)</f>
        <v/>
      </c>
      <c r="M320" s="2" t="str">
        <f>IF(DB_Artworks_Export!J320="","",DB_Artworks_Export!J320)</f>
        <v/>
      </c>
      <c r="N320" s="2" t="str">
        <f>IF(DB_Artworks_Export!K320="","",DB_Artworks_Export!K320)</f>
        <v/>
      </c>
      <c r="O320" s="2" t="str">
        <f>IF(DB_Artworks_Export!L320="","",DB_Artworks_Export!L320)</f>
        <v/>
      </c>
      <c r="P320" s="2" t="str">
        <f>IF(DB_Artworks_Export!M320="","",DB_Artworks_Export!M320)</f>
        <v/>
      </c>
      <c r="Q320" s="2" t="str">
        <f>IF(DB_Artworks_Export!N320="","",DB_Artworks_Export!N320)</f>
        <v/>
      </c>
      <c r="R320" s="2" t="str">
        <f>IF($D320="","",IF(COUNTIF(DB_Categories_Export!$A:$A,$F320)&gt;0,"OK","INVALID CATEGORY"))</f>
        <v/>
      </c>
      <c r="S320" s="2" t="str">
        <f>IF($D320="","",COUNTIF(DB_Artwork_Sizes_Export!$B:$B,$D320))</f>
        <v/>
      </c>
      <c r="T320" s="2" t="str">
        <f>IF($D320="","",IFERROR(INDEX(DB_Artwork_Sizes_Export!$D:$D,MATCH($D320,DB_Artwork_Sizes_Export!$B:$B,0)),""))</f>
        <v/>
      </c>
      <c r="U320" s="2" t="str">
        <f>IF($D320="","",IFERROR(INDEX(DB_Artwork_Sizes_Export!$E:$E,MATCH($D320,DB_Artwork_Sizes_Export!$B:$B,0)),""))</f>
        <v/>
      </c>
      <c r="V320" s="2" t="str">
        <f>IF($D320="","",IFERROR(INDEX(DB_Artwork_Sizes_Export!$F:$F,MATCH($D320,DB_Artwork_Sizes_Export!$B:$B,0)),""))</f>
        <v/>
      </c>
      <c r="W320" s="2" t="str">
        <f t="shared" si="42"/>
        <v/>
      </c>
      <c r="X320" s="2"/>
      <c r="Y320" s="2"/>
      <c r="Z320" s="2"/>
      <c r="AA320" s="2"/>
      <c r="AB320" s="2"/>
      <c r="AC320" s="2"/>
      <c r="AD320" s="2"/>
      <c r="AE320" s="2"/>
      <c r="AF320" s="2" t="str">
        <f t="shared" si="43"/>
        <v/>
      </c>
      <c r="AG320" s="2" t="str">
        <f t="shared" si="44"/>
        <v/>
      </c>
      <c r="AH320" s="2" t="str">
        <f>IF($AG320="","",IFERROR(VLOOKUP($AG320,DB_Categories_Export!$A:$B,2,FALSE()),"INVALID CATEGORY"))</f>
        <v/>
      </c>
      <c r="AI320" s="2" t="str">
        <f t="shared" si="45"/>
        <v/>
      </c>
      <c r="AJ320" s="2" t="str">
        <f t="shared" si="46"/>
        <v/>
      </c>
      <c r="AK320" s="2" t="str">
        <f t="shared" si="47"/>
        <v/>
      </c>
      <c r="AL320" s="2" t="str">
        <f t="shared" si="48"/>
        <v/>
      </c>
      <c r="AM320" s="2" t="str">
        <f t="shared" si="49"/>
        <v/>
      </c>
      <c r="AN320" s="2"/>
      <c r="AO320" s="2"/>
    </row>
    <row r="321" spans="1:41" ht="12" customHeight="1" x14ac:dyDescent="0.3">
      <c r="A321" s="2"/>
      <c r="B321" s="2" t="str">
        <f t="shared" si="40"/>
        <v/>
      </c>
      <c r="C321" s="2" t="str">
        <f t="shared" si="41"/>
        <v/>
      </c>
      <c r="D321" s="2" t="str">
        <f>IF(DB_Artworks_Export!A321="","",DB_Artworks_Export!A321)</f>
        <v/>
      </c>
      <c r="E321" s="2" t="str">
        <f>IF(DB_Artworks_Export!B321="","",DB_Artworks_Export!B321)</f>
        <v/>
      </c>
      <c r="F321" s="2" t="str">
        <f>IF(DB_Artworks_Export!C321="","",DB_Artworks_Export!C321)</f>
        <v/>
      </c>
      <c r="G321" s="2" t="str">
        <f>IF(DB_Artworks_Export!D321="","",DB_Artworks_Export!D321)</f>
        <v/>
      </c>
      <c r="H321" s="2" t="str">
        <f>IF(DB_Artworks_Export!E321="","",DB_Artworks_Export!E321)</f>
        <v/>
      </c>
      <c r="I321" s="2" t="str">
        <f>IF(DB_Artworks_Export!F321="","",DB_Artworks_Export!F321)</f>
        <v/>
      </c>
      <c r="J321" s="2" t="str">
        <f>IF(DB_Artworks_Export!G321="","",DB_Artworks_Export!G321)</f>
        <v/>
      </c>
      <c r="K321" s="2" t="str">
        <f>IF(DB_Artworks_Export!H321="","",DB_Artworks_Export!H321)</f>
        <v/>
      </c>
      <c r="L321" s="2" t="str">
        <f>IF(DB_Artworks_Export!I321="","",DB_Artworks_Export!I321)</f>
        <v/>
      </c>
      <c r="M321" s="2" t="str">
        <f>IF(DB_Artworks_Export!J321="","",DB_Artworks_Export!J321)</f>
        <v/>
      </c>
      <c r="N321" s="2" t="str">
        <f>IF(DB_Artworks_Export!K321="","",DB_Artworks_Export!K321)</f>
        <v/>
      </c>
      <c r="O321" s="2" t="str">
        <f>IF(DB_Artworks_Export!L321="","",DB_Artworks_Export!L321)</f>
        <v/>
      </c>
      <c r="P321" s="2" t="str">
        <f>IF(DB_Artworks_Export!M321="","",DB_Artworks_Export!M321)</f>
        <v/>
      </c>
      <c r="Q321" s="2" t="str">
        <f>IF(DB_Artworks_Export!N321="","",DB_Artworks_Export!N321)</f>
        <v/>
      </c>
      <c r="R321" s="2" t="str">
        <f>IF($D321="","",IF(COUNTIF(DB_Categories_Export!$A:$A,$F321)&gt;0,"OK","INVALID CATEGORY"))</f>
        <v/>
      </c>
      <c r="S321" s="2" t="str">
        <f>IF($D321="","",COUNTIF(DB_Artwork_Sizes_Export!$B:$B,$D321))</f>
        <v/>
      </c>
      <c r="T321" s="2" t="str">
        <f>IF($D321="","",IFERROR(INDEX(DB_Artwork_Sizes_Export!$D:$D,MATCH($D321,DB_Artwork_Sizes_Export!$B:$B,0)),""))</f>
        <v/>
      </c>
      <c r="U321" s="2" t="str">
        <f>IF($D321="","",IFERROR(INDEX(DB_Artwork_Sizes_Export!$E:$E,MATCH($D321,DB_Artwork_Sizes_Export!$B:$B,0)),""))</f>
        <v/>
      </c>
      <c r="V321" s="2" t="str">
        <f>IF($D321="","",IFERROR(INDEX(DB_Artwork_Sizes_Export!$F:$F,MATCH($D321,DB_Artwork_Sizes_Export!$B:$B,0)),""))</f>
        <v/>
      </c>
      <c r="W321" s="2" t="str">
        <f t="shared" si="42"/>
        <v/>
      </c>
      <c r="X321" s="2"/>
      <c r="Y321" s="2"/>
      <c r="Z321" s="2"/>
      <c r="AA321" s="2"/>
      <c r="AB321" s="2"/>
      <c r="AC321" s="2"/>
      <c r="AD321" s="2"/>
      <c r="AE321" s="2"/>
      <c r="AF321" s="2" t="str">
        <f t="shared" si="43"/>
        <v/>
      </c>
      <c r="AG321" s="2" t="str">
        <f t="shared" si="44"/>
        <v/>
      </c>
      <c r="AH321" s="2" t="str">
        <f>IF($AG321="","",IFERROR(VLOOKUP($AG321,DB_Categories_Export!$A:$B,2,FALSE()),"INVALID CATEGORY"))</f>
        <v/>
      </c>
      <c r="AI321" s="2" t="str">
        <f t="shared" si="45"/>
        <v/>
      </c>
      <c r="AJ321" s="2" t="str">
        <f t="shared" si="46"/>
        <v/>
      </c>
      <c r="AK321" s="2" t="str">
        <f t="shared" si="47"/>
        <v/>
      </c>
      <c r="AL321" s="2" t="str">
        <f t="shared" si="48"/>
        <v/>
      </c>
      <c r="AM321" s="2" t="str">
        <f t="shared" si="49"/>
        <v/>
      </c>
      <c r="AN321" s="2"/>
      <c r="AO321" s="2"/>
    </row>
    <row r="322" spans="1:41" ht="12" customHeight="1" x14ac:dyDescent="0.3">
      <c r="A322" s="2"/>
      <c r="B322" s="2" t="str">
        <f t="shared" ref="B322:B385" si="50">IF($D322="","",IF(COUNTA($Y322:$AE322)&gt;0,"UPDATE","NO_CHANGE"))</f>
        <v/>
      </c>
      <c r="C322" s="2" t="str">
        <f t="shared" ref="C322:C385" si="51">IF($D322="","",IF($R322&lt;&gt;"OK","ERROR",IF(OR($E322="", $F322="", $J322=""),"ERROR",IF($W322&lt;&gt;"OK","WARNING","PASS"))))</f>
        <v/>
      </c>
      <c r="D322" s="2" t="str">
        <f>IF(DB_Artworks_Export!A322="","",DB_Artworks_Export!A322)</f>
        <v/>
      </c>
      <c r="E322" s="2" t="str">
        <f>IF(DB_Artworks_Export!B322="","",DB_Artworks_Export!B322)</f>
        <v/>
      </c>
      <c r="F322" s="2" t="str">
        <f>IF(DB_Artworks_Export!C322="","",DB_Artworks_Export!C322)</f>
        <v/>
      </c>
      <c r="G322" s="2" t="str">
        <f>IF(DB_Artworks_Export!D322="","",DB_Artworks_Export!D322)</f>
        <v/>
      </c>
      <c r="H322" s="2" t="str">
        <f>IF(DB_Artworks_Export!E322="","",DB_Artworks_Export!E322)</f>
        <v/>
      </c>
      <c r="I322" s="2" t="str">
        <f>IF(DB_Artworks_Export!F322="","",DB_Artworks_Export!F322)</f>
        <v/>
      </c>
      <c r="J322" s="2" t="str">
        <f>IF(DB_Artworks_Export!G322="","",DB_Artworks_Export!G322)</f>
        <v/>
      </c>
      <c r="K322" s="2" t="str">
        <f>IF(DB_Artworks_Export!H322="","",DB_Artworks_Export!H322)</f>
        <v/>
      </c>
      <c r="L322" s="2" t="str">
        <f>IF(DB_Artworks_Export!I322="","",DB_Artworks_Export!I322)</f>
        <v/>
      </c>
      <c r="M322" s="2" t="str">
        <f>IF(DB_Artworks_Export!J322="","",DB_Artworks_Export!J322)</f>
        <v/>
      </c>
      <c r="N322" s="2" t="str">
        <f>IF(DB_Artworks_Export!K322="","",DB_Artworks_Export!K322)</f>
        <v/>
      </c>
      <c r="O322" s="2" t="str">
        <f>IF(DB_Artworks_Export!L322="","",DB_Artworks_Export!L322)</f>
        <v/>
      </c>
      <c r="P322" s="2" t="str">
        <f>IF(DB_Artworks_Export!M322="","",DB_Artworks_Export!M322)</f>
        <v/>
      </c>
      <c r="Q322" s="2" t="str">
        <f>IF(DB_Artworks_Export!N322="","",DB_Artworks_Export!N322)</f>
        <v/>
      </c>
      <c r="R322" s="2" t="str">
        <f>IF($D322="","",IF(COUNTIF(DB_Categories_Export!$A:$A,$F322)&gt;0,"OK","INVALID CATEGORY"))</f>
        <v/>
      </c>
      <c r="S322" s="2" t="str">
        <f>IF($D322="","",COUNTIF(DB_Artwork_Sizes_Export!$B:$B,$D322))</f>
        <v/>
      </c>
      <c r="T322" s="2" t="str">
        <f>IF($D322="","",IFERROR(INDEX(DB_Artwork_Sizes_Export!$D:$D,MATCH($D322,DB_Artwork_Sizes_Export!$B:$B,0)),""))</f>
        <v/>
      </c>
      <c r="U322" s="2" t="str">
        <f>IF($D322="","",IFERROR(INDEX(DB_Artwork_Sizes_Export!$E:$E,MATCH($D322,DB_Artwork_Sizes_Export!$B:$B,0)),""))</f>
        <v/>
      </c>
      <c r="V322" s="2" t="str">
        <f>IF($D322="","",IFERROR(INDEX(DB_Artwork_Sizes_Export!$F:$F,MATCH($D322,DB_Artwork_Sizes_Export!$B:$B,0)),""))</f>
        <v/>
      </c>
      <c r="W322" s="2" t="str">
        <f t="shared" ref="W322:W385" si="52">IF($D322="","",IF($S322&gt;0,"REVIEW_SIZE_PRICING","OK"))</f>
        <v/>
      </c>
      <c r="X322" s="2"/>
      <c r="Y322" s="2"/>
      <c r="Z322" s="2"/>
      <c r="AA322" s="2"/>
      <c r="AB322" s="2"/>
      <c r="AC322" s="2"/>
      <c r="AD322" s="2"/>
      <c r="AE322" s="2"/>
      <c r="AF322" s="2" t="str">
        <f t="shared" ref="AF322:AF385" si="53">IF($Y322&lt;&gt;"",$Y322,$E322)</f>
        <v/>
      </c>
      <c r="AG322" s="2" t="str">
        <f t="shared" ref="AG322:AG385" si="54">IF($Z322&lt;&gt;"",$Z322,$F322)</f>
        <v/>
      </c>
      <c r="AH322" s="2" t="str">
        <f>IF($AG322="","",IFERROR(VLOOKUP($AG322,DB_Categories_Export!$A:$B,2,FALSE()),"INVALID CATEGORY"))</f>
        <v/>
      </c>
      <c r="AI322" s="2" t="str">
        <f t="shared" ref="AI322:AI385" si="55">IF($AA322&lt;&gt;"",$AA322,$H322)</f>
        <v/>
      </c>
      <c r="AJ322" s="2" t="str">
        <f t="shared" ref="AJ322:AJ385" si="56">IF($AB322&lt;&gt;"",$AB322,$I322)</f>
        <v/>
      </c>
      <c r="AK322" s="2" t="str">
        <f t="shared" ref="AK322:AK385" si="57">IF($AC322&lt;&gt;"",$AC322,$J322)</f>
        <v/>
      </c>
      <c r="AL322" s="2" t="str">
        <f t="shared" ref="AL322:AL385" si="58">IF($AD322&lt;&gt;"",$AD322,$N322)</f>
        <v/>
      </c>
      <c r="AM322" s="2" t="str">
        <f t="shared" ref="AM322:AM385" si="59">IF($AE322&lt;&gt;"",$AE322,$O322)</f>
        <v/>
      </c>
      <c r="AN322" s="2"/>
      <c r="AO322" s="2"/>
    </row>
    <row r="323" spans="1:41" ht="12" customHeight="1" x14ac:dyDescent="0.3">
      <c r="A323" s="2"/>
      <c r="B323" s="2" t="str">
        <f t="shared" si="50"/>
        <v/>
      </c>
      <c r="C323" s="2" t="str">
        <f t="shared" si="51"/>
        <v/>
      </c>
      <c r="D323" s="2" t="str">
        <f>IF(DB_Artworks_Export!A323="","",DB_Artworks_Export!A323)</f>
        <v/>
      </c>
      <c r="E323" s="2" t="str">
        <f>IF(DB_Artworks_Export!B323="","",DB_Artworks_Export!B323)</f>
        <v/>
      </c>
      <c r="F323" s="2" t="str">
        <f>IF(DB_Artworks_Export!C323="","",DB_Artworks_Export!C323)</f>
        <v/>
      </c>
      <c r="G323" s="2" t="str">
        <f>IF(DB_Artworks_Export!D323="","",DB_Artworks_Export!D323)</f>
        <v/>
      </c>
      <c r="H323" s="2" t="str">
        <f>IF(DB_Artworks_Export!E323="","",DB_Artworks_Export!E323)</f>
        <v/>
      </c>
      <c r="I323" s="2" t="str">
        <f>IF(DB_Artworks_Export!F323="","",DB_Artworks_Export!F323)</f>
        <v/>
      </c>
      <c r="J323" s="2" t="str">
        <f>IF(DB_Artworks_Export!G323="","",DB_Artworks_Export!G323)</f>
        <v/>
      </c>
      <c r="K323" s="2" t="str">
        <f>IF(DB_Artworks_Export!H323="","",DB_Artworks_Export!H323)</f>
        <v/>
      </c>
      <c r="L323" s="2" t="str">
        <f>IF(DB_Artworks_Export!I323="","",DB_Artworks_Export!I323)</f>
        <v/>
      </c>
      <c r="M323" s="2" t="str">
        <f>IF(DB_Artworks_Export!J323="","",DB_Artworks_Export!J323)</f>
        <v/>
      </c>
      <c r="N323" s="2" t="str">
        <f>IF(DB_Artworks_Export!K323="","",DB_Artworks_Export!K323)</f>
        <v/>
      </c>
      <c r="O323" s="2" t="str">
        <f>IF(DB_Artworks_Export!L323="","",DB_Artworks_Export!L323)</f>
        <v/>
      </c>
      <c r="P323" s="2" t="str">
        <f>IF(DB_Artworks_Export!M323="","",DB_Artworks_Export!M323)</f>
        <v/>
      </c>
      <c r="Q323" s="2" t="str">
        <f>IF(DB_Artworks_Export!N323="","",DB_Artworks_Export!N323)</f>
        <v/>
      </c>
      <c r="R323" s="2" t="str">
        <f>IF($D323="","",IF(COUNTIF(DB_Categories_Export!$A:$A,$F323)&gt;0,"OK","INVALID CATEGORY"))</f>
        <v/>
      </c>
      <c r="S323" s="2" t="str">
        <f>IF($D323="","",COUNTIF(DB_Artwork_Sizes_Export!$B:$B,$D323))</f>
        <v/>
      </c>
      <c r="T323" s="2" t="str">
        <f>IF($D323="","",IFERROR(INDEX(DB_Artwork_Sizes_Export!$D:$D,MATCH($D323,DB_Artwork_Sizes_Export!$B:$B,0)),""))</f>
        <v/>
      </c>
      <c r="U323" s="2" t="str">
        <f>IF($D323="","",IFERROR(INDEX(DB_Artwork_Sizes_Export!$E:$E,MATCH($D323,DB_Artwork_Sizes_Export!$B:$B,0)),""))</f>
        <v/>
      </c>
      <c r="V323" s="2" t="str">
        <f>IF($D323="","",IFERROR(INDEX(DB_Artwork_Sizes_Export!$F:$F,MATCH($D323,DB_Artwork_Sizes_Export!$B:$B,0)),""))</f>
        <v/>
      </c>
      <c r="W323" s="2" t="str">
        <f t="shared" si="52"/>
        <v/>
      </c>
      <c r="X323" s="2"/>
      <c r="Y323" s="2"/>
      <c r="Z323" s="2"/>
      <c r="AA323" s="2"/>
      <c r="AB323" s="2"/>
      <c r="AC323" s="2"/>
      <c r="AD323" s="2"/>
      <c r="AE323" s="2"/>
      <c r="AF323" s="2" t="str">
        <f t="shared" si="53"/>
        <v/>
      </c>
      <c r="AG323" s="2" t="str">
        <f t="shared" si="54"/>
        <v/>
      </c>
      <c r="AH323" s="2" t="str">
        <f>IF($AG323="","",IFERROR(VLOOKUP($AG323,DB_Categories_Export!$A:$B,2,FALSE()),"INVALID CATEGORY"))</f>
        <v/>
      </c>
      <c r="AI323" s="2" t="str">
        <f t="shared" si="55"/>
        <v/>
      </c>
      <c r="AJ323" s="2" t="str">
        <f t="shared" si="56"/>
        <v/>
      </c>
      <c r="AK323" s="2" t="str">
        <f t="shared" si="57"/>
        <v/>
      </c>
      <c r="AL323" s="2" t="str">
        <f t="shared" si="58"/>
        <v/>
      </c>
      <c r="AM323" s="2" t="str">
        <f t="shared" si="59"/>
        <v/>
      </c>
      <c r="AN323" s="2"/>
      <c r="AO323" s="2"/>
    </row>
    <row r="324" spans="1:41" ht="12" customHeight="1" x14ac:dyDescent="0.3">
      <c r="A324" s="2"/>
      <c r="B324" s="2" t="str">
        <f t="shared" si="50"/>
        <v/>
      </c>
      <c r="C324" s="2" t="str">
        <f t="shared" si="51"/>
        <v/>
      </c>
      <c r="D324" s="2" t="str">
        <f>IF(DB_Artworks_Export!A324="","",DB_Artworks_Export!A324)</f>
        <v/>
      </c>
      <c r="E324" s="2" t="str">
        <f>IF(DB_Artworks_Export!B324="","",DB_Artworks_Export!B324)</f>
        <v/>
      </c>
      <c r="F324" s="2" t="str">
        <f>IF(DB_Artworks_Export!C324="","",DB_Artworks_Export!C324)</f>
        <v/>
      </c>
      <c r="G324" s="2" t="str">
        <f>IF(DB_Artworks_Export!D324="","",DB_Artworks_Export!D324)</f>
        <v/>
      </c>
      <c r="H324" s="2" t="str">
        <f>IF(DB_Artworks_Export!E324="","",DB_Artworks_Export!E324)</f>
        <v/>
      </c>
      <c r="I324" s="2" t="str">
        <f>IF(DB_Artworks_Export!F324="","",DB_Artworks_Export!F324)</f>
        <v/>
      </c>
      <c r="J324" s="2" t="str">
        <f>IF(DB_Artworks_Export!G324="","",DB_Artworks_Export!G324)</f>
        <v/>
      </c>
      <c r="K324" s="2" t="str">
        <f>IF(DB_Artworks_Export!H324="","",DB_Artworks_Export!H324)</f>
        <v/>
      </c>
      <c r="L324" s="2" t="str">
        <f>IF(DB_Artworks_Export!I324="","",DB_Artworks_Export!I324)</f>
        <v/>
      </c>
      <c r="M324" s="2" t="str">
        <f>IF(DB_Artworks_Export!J324="","",DB_Artworks_Export!J324)</f>
        <v/>
      </c>
      <c r="N324" s="2" t="str">
        <f>IF(DB_Artworks_Export!K324="","",DB_Artworks_Export!K324)</f>
        <v/>
      </c>
      <c r="O324" s="2" t="str">
        <f>IF(DB_Artworks_Export!L324="","",DB_Artworks_Export!L324)</f>
        <v/>
      </c>
      <c r="P324" s="2" t="str">
        <f>IF(DB_Artworks_Export!M324="","",DB_Artworks_Export!M324)</f>
        <v/>
      </c>
      <c r="Q324" s="2" t="str">
        <f>IF(DB_Artworks_Export!N324="","",DB_Artworks_Export!N324)</f>
        <v/>
      </c>
      <c r="R324" s="2" t="str">
        <f>IF($D324="","",IF(COUNTIF(DB_Categories_Export!$A:$A,$F324)&gt;0,"OK","INVALID CATEGORY"))</f>
        <v/>
      </c>
      <c r="S324" s="2" t="str">
        <f>IF($D324="","",COUNTIF(DB_Artwork_Sizes_Export!$B:$B,$D324))</f>
        <v/>
      </c>
      <c r="T324" s="2" t="str">
        <f>IF($D324="","",IFERROR(INDEX(DB_Artwork_Sizes_Export!$D:$D,MATCH($D324,DB_Artwork_Sizes_Export!$B:$B,0)),""))</f>
        <v/>
      </c>
      <c r="U324" s="2" t="str">
        <f>IF($D324="","",IFERROR(INDEX(DB_Artwork_Sizes_Export!$E:$E,MATCH($D324,DB_Artwork_Sizes_Export!$B:$B,0)),""))</f>
        <v/>
      </c>
      <c r="V324" s="2" t="str">
        <f>IF($D324="","",IFERROR(INDEX(DB_Artwork_Sizes_Export!$F:$F,MATCH($D324,DB_Artwork_Sizes_Export!$B:$B,0)),""))</f>
        <v/>
      </c>
      <c r="W324" s="2" t="str">
        <f t="shared" si="52"/>
        <v/>
      </c>
      <c r="X324" s="2"/>
      <c r="Y324" s="2"/>
      <c r="Z324" s="2"/>
      <c r="AA324" s="2"/>
      <c r="AB324" s="2"/>
      <c r="AC324" s="2"/>
      <c r="AD324" s="2"/>
      <c r="AE324" s="2"/>
      <c r="AF324" s="2" t="str">
        <f t="shared" si="53"/>
        <v/>
      </c>
      <c r="AG324" s="2" t="str">
        <f t="shared" si="54"/>
        <v/>
      </c>
      <c r="AH324" s="2" t="str">
        <f>IF($AG324="","",IFERROR(VLOOKUP($AG324,DB_Categories_Export!$A:$B,2,FALSE()),"INVALID CATEGORY"))</f>
        <v/>
      </c>
      <c r="AI324" s="2" t="str">
        <f t="shared" si="55"/>
        <v/>
      </c>
      <c r="AJ324" s="2" t="str">
        <f t="shared" si="56"/>
        <v/>
      </c>
      <c r="AK324" s="2" t="str">
        <f t="shared" si="57"/>
        <v/>
      </c>
      <c r="AL324" s="2" t="str">
        <f t="shared" si="58"/>
        <v/>
      </c>
      <c r="AM324" s="2" t="str">
        <f t="shared" si="59"/>
        <v/>
      </c>
      <c r="AN324" s="2"/>
      <c r="AO324" s="2"/>
    </row>
    <row r="325" spans="1:41" ht="12" customHeight="1" x14ac:dyDescent="0.3">
      <c r="A325" s="2"/>
      <c r="B325" s="2" t="str">
        <f t="shared" si="50"/>
        <v/>
      </c>
      <c r="C325" s="2" t="str">
        <f t="shared" si="51"/>
        <v/>
      </c>
      <c r="D325" s="2" t="str">
        <f>IF(DB_Artworks_Export!A325="","",DB_Artworks_Export!A325)</f>
        <v/>
      </c>
      <c r="E325" s="2" t="str">
        <f>IF(DB_Artworks_Export!B325="","",DB_Artworks_Export!B325)</f>
        <v/>
      </c>
      <c r="F325" s="2" t="str">
        <f>IF(DB_Artworks_Export!C325="","",DB_Artworks_Export!C325)</f>
        <v/>
      </c>
      <c r="G325" s="2" t="str">
        <f>IF(DB_Artworks_Export!D325="","",DB_Artworks_Export!D325)</f>
        <v/>
      </c>
      <c r="H325" s="2" t="str">
        <f>IF(DB_Artworks_Export!E325="","",DB_Artworks_Export!E325)</f>
        <v/>
      </c>
      <c r="I325" s="2" t="str">
        <f>IF(DB_Artworks_Export!F325="","",DB_Artworks_Export!F325)</f>
        <v/>
      </c>
      <c r="J325" s="2" t="str">
        <f>IF(DB_Artworks_Export!G325="","",DB_Artworks_Export!G325)</f>
        <v/>
      </c>
      <c r="K325" s="2" t="str">
        <f>IF(DB_Artworks_Export!H325="","",DB_Artworks_Export!H325)</f>
        <v/>
      </c>
      <c r="L325" s="2" t="str">
        <f>IF(DB_Artworks_Export!I325="","",DB_Artworks_Export!I325)</f>
        <v/>
      </c>
      <c r="M325" s="2" t="str">
        <f>IF(DB_Artworks_Export!J325="","",DB_Artworks_Export!J325)</f>
        <v/>
      </c>
      <c r="N325" s="2" t="str">
        <f>IF(DB_Artworks_Export!K325="","",DB_Artworks_Export!K325)</f>
        <v/>
      </c>
      <c r="O325" s="2" t="str">
        <f>IF(DB_Artworks_Export!L325="","",DB_Artworks_Export!L325)</f>
        <v/>
      </c>
      <c r="P325" s="2" t="str">
        <f>IF(DB_Artworks_Export!M325="","",DB_Artworks_Export!M325)</f>
        <v/>
      </c>
      <c r="Q325" s="2" t="str">
        <f>IF(DB_Artworks_Export!N325="","",DB_Artworks_Export!N325)</f>
        <v/>
      </c>
      <c r="R325" s="2" t="str">
        <f>IF($D325="","",IF(COUNTIF(DB_Categories_Export!$A:$A,$F325)&gt;0,"OK","INVALID CATEGORY"))</f>
        <v/>
      </c>
      <c r="S325" s="2" t="str">
        <f>IF($D325="","",COUNTIF(DB_Artwork_Sizes_Export!$B:$B,$D325))</f>
        <v/>
      </c>
      <c r="T325" s="2" t="str">
        <f>IF($D325="","",IFERROR(INDEX(DB_Artwork_Sizes_Export!$D:$D,MATCH($D325,DB_Artwork_Sizes_Export!$B:$B,0)),""))</f>
        <v/>
      </c>
      <c r="U325" s="2" t="str">
        <f>IF($D325="","",IFERROR(INDEX(DB_Artwork_Sizes_Export!$E:$E,MATCH($D325,DB_Artwork_Sizes_Export!$B:$B,0)),""))</f>
        <v/>
      </c>
      <c r="V325" s="2" t="str">
        <f>IF($D325="","",IFERROR(INDEX(DB_Artwork_Sizes_Export!$F:$F,MATCH($D325,DB_Artwork_Sizes_Export!$B:$B,0)),""))</f>
        <v/>
      </c>
      <c r="W325" s="2" t="str">
        <f t="shared" si="52"/>
        <v/>
      </c>
      <c r="X325" s="2"/>
      <c r="Y325" s="2"/>
      <c r="Z325" s="2"/>
      <c r="AA325" s="2"/>
      <c r="AB325" s="2"/>
      <c r="AC325" s="2"/>
      <c r="AD325" s="2"/>
      <c r="AE325" s="2"/>
      <c r="AF325" s="2" t="str">
        <f t="shared" si="53"/>
        <v/>
      </c>
      <c r="AG325" s="2" t="str">
        <f t="shared" si="54"/>
        <v/>
      </c>
      <c r="AH325" s="2" t="str">
        <f>IF($AG325="","",IFERROR(VLOOKUP($AG325,DB_Categories_Export!$A:$B,2,FALSE()),"INVALID CATEGORY"))</f>
        <v/>
      </c>
      <c r="AI325" s="2" t="str">
        <f t="shared" si="55"/>
        <v/>
      </c>
      <c r="AJ325" s="2" t="str">
        <f t="shared" si="56"/>
        <v/>
      </c>
      <c r="AK325" s="2" t="str">
        <f t="shared" si="57"/>
        <v/>
      </c>
      <c r="AL325" s="2" t="str">
        <f t="shared" si="58"/>
        <v/>
      </c>
      <c r="AM325" s="2" t="str">
        <f t="shared" si="59"/>
        <v/>
      </c>
      <c r="AN325" s="2"/>
      <c r="AO325" s="2"/>
    </row>
    <row r="326" spans="1:41" ht="12" customHeight="1" x14ac:dyDescent="0.3">
      <c r="A326" s="2"/>
      <c r="B326" s="2" t="str">
        <f t="shared" si="50"/>
        <v/>
      </c>
      <c r="C326" s="2" t="str">
        <f t="shared" si="51"/>
        <v/>
      </c>
      <c r="D326" s="2" t="str">
        <f>IF(DB_Artworks_Export!A326="","",DB_Artworks_Export!A326)</f>
        <v/>
      </c>
      <c r="E326" s="2" t="str">
        <f>IF(DB_Artworks_Export!B326="","",DB_Artworks_Export!B326)</f>
        <v/>
      </c>
      <c r="F326" s="2" t="str">
        <f>IF(DB_Artworks_Export!C326="","",DB_Artworks_Export!C326)</f>
        <v/>
      </c>
      <c r="G326" s="2" t="str">
        <f>IF(DB_Artworks_Export!D326="","",DB_Artworks_Export!D326)</f>
        <v/>
      </c>
      <c r="H326" s="2" t="str">
        <f>IF(DB_Artworks_Export!E326="","",DB_Artworks_Export!E326)</f>
        <v/>
      </c>
      <c r="I326" s="2" t="str">
        <f>IF(DB_Artworks_Export!F326="","",DB_Artworks_Export!F326)</f>
        <v/>
      </c>
      <c r="J326" s="2" t="str">
        <f>IF(DB_Artworks_Export!G326="","",DB_Artworks_Export!G326)</f>
        <v/>
      </c>
      <c r="K326" s="2" t="str">
        <f>IF(DB_Artworks_Export!H326="","",DB_Artworks_Export!H326)</f>
        <v/>
      </c>
      <c r="L326" s="2" t="str">
        <f>IF(DB_Artworks_Export!I326="","",DB_Artworks_Export!I326)</f>
        <v/>
      </c>
      <c r="M326" s="2" t="str">
        <f>IF(DB_Artworks_Export!J326="","",DB_Artworks_Export!J326)</f>
        <v/>
      </c>
      <c r="N326" s="2" t="str">
        <f>IF(DB_Artworks_Export!K326="","",DB_Artworks_Export!K326)</f>
        <v/>
      </c>
      <c r="O326" s="2" t="str">
        <f>IF(DB_Artworks_Export!L326="","",DB_Artworks_Export!L326)</f>
        <v/>
      </c>
      <c r="P326" s="2" t="str">
        <f>IF(DB_Artworks_Export!M326="","",DB_Artworks_Export!M326)</f>
        <v/>
      </c>
      <c r="Q326" s="2" t="str">
        <f>IF(DB_Artworks_Export!N326="","",DB_Artworks_Export!N326)</f>
        <v/>
      </c>
      <c r="R326" s="2" t="str">
        <f>IF($D326="","",IF(COUNTIF(DB_Categories_Export!$A:$A,$F326)&gt;0,"OK","INVALID CATEGORY"))</f>
        <v/>
      </c>
      <c r="S326" s="2" t="str">
        <f>IF($D326="","",COUNTIF(DB_Artwork_Sizes_Export!$B:$B,$D326))</f>
        <v/>
      </c>
      <c r="T326" s="2" t="str">
        <f>IF($D326="","",IFERROR(INDEX(DB_Artwork_Sizes_Export!$D:$D,MATCH($D326,DB_Artwork_Sizes_Export!$B:$B,0)),""))</f>
        <v/>
      </c>
      <c r="U326" s="2" t="str">
        <f>IF($D326="","",IFERROR(INDEX(DB_Artwork_Sizes_Export!$E:$E,MATCH($D326,DB_Artwork_Sizes_Export!$B:$B,0)),""))</f>
        <v/>
      </c>
      <c r="V326" s="2" t="str">
        <f>IF($D326="","",IFERROR(INDEX(DB_Artwork_Sizes_Export!$F:$F,MATCH($D326,DB_Artwork_Sizes_Export!$B:$B,0)),""))</f>
        <v/>
      </c>
      <c r="W326" s="2" t="str">
        <f t="shared" si="52"/>
        <v/>
      </c>
      <c r="X326" s="2"/>
      <c r="Y326" s="2"/>
      <c r="Z326" s="2"/>
      <c r="AA326" s="2"/>
      <c r="AB326" s="2"/>
      <c r="AC326" s="2"/>
      <c r="AD326" s="2"/>
      <c r="AE326" s="2"/>
      <c r="AF326" s="2" t="str">
        <f t="shared" si="53"/>
        <v/>
      </c>
      <c r="AG326" s="2" t="str">
        <f t="shared" si="54"/>
        <v/>
      </c>
      <c r="AH326" s="2" t="str">
        <f>IF($AG326="","",IFERROR(VLOOKUP($AG326,DB_Categories_Export!$A:$B,2,FALSE()),"INVALID CATEGORY"))</f>
        <v/>
      </c>
      <c r="AI326" s="2" t="str">
        <f t="shared" si="55"/>
        <v/>
      </c>
      <c r="AJ326" s="2" t="str">
        <f t="shared" si="56"/>
        <v/>
      </c>
      <c r="AK326" s="2" t="str">
        <f t="shared" si="57"/>
        <v/>
      </c>
      <c r="AL326" s="2" t="str">
        <f t="shared" si="58"/>
        <v/>
      </c>
      <c r="AM326" s="2" t="str">
        <f t="shared" si="59"/>
        <v/>
      </c>
      <c r="AN326" s="2"/>
      <c r="AO326" s="2"/>
    </row>
    <row r="327" spans="1:41" ht="12" customHeight="1" x14ac:dyDescent="0.3">
      <c r="A327" s="2"/>
      <c r="B327" s="2" t="str">
        <f t="shared" si="50"/>
        <v/>
      </c>
      <c r="C327" s="2" t="str">
        <f t="shared" si="51"/>
        <v/>
      </c>
      <c r="D327" s="2" t="str">
        <f>IF(DB_Artworks_Export!A327="","",DB_Artworks_Export!A327)</f>
        <v/>
      </c>
      <c r="E327" s="2" t="str">
        <f>IF(DB_Artworks_Export!B327="","",DB_Artworks_Export!B327)</f>
        <v/>
      </c>
      <c r="F327" s="2" t="str">
        <f>IF(DB_Artworks_Export!C327="","",DB_Artworks_Export!C327)</f>
        <v/>
      </c>
      <c r="G327" s="2" t="str">
        <f>IF(DB_Artworks_Export!D327="","",DB_Artworks_Export!D327)</f>
        <v/>
      </c>
      <c r="H327" s="2" t="str">
        <f>IF(DB_Artworks_Export!E327="","",DB_Artworks_Export!E327)</f>
        <v/>
      </c>
      <c r="I327" s="2" t="str">
        <f>IF(DB_Artworks_Export!F327="","",DB_Artworks_Export!F327)</f>
        <v/>
      </c>
      <c r="J327" s="2" t="str">
        <f>IF(DB_Artworks_Export!G327="","",DB_Artworks_Export!G327)</f>
        <v/>
      </c>
      <c r="K327" s="2" t="str">
        <f>IF(DB_Artworks_Export!H327="","",DB_Artworks_Export!H327)</f>
        <v/>
      </c>
      <c r="L327" s="2" t="str">
        <f>IF(DB_Artworks_Export!I327="","",DB_Artworks_Export!I327)</f>
        <v/>
      </c>
      <c r="M327" s="2" t="str">
        <f>IF(DB_Artworks_Export!J327="","",DB_Artworks_Export!J327)</f>
        <v/>
      </c>
      <c r="N327" s="2" t="str">
        <f>IF(DB_Artworks_Export!K327="","",DB_Artworks_Export!K327)</f>
        <v/>
      </c>
      <c r="O327" s="2" t="str">
        <f>IF(DB_Artworks_Export!L327="","",DB_Artworks_Export!L327)</f>
        <v/>
      </c>
      <c r="P327" s="2" t="str">
        <f>IF(DB_Artworks_Export!M327="","",DB_Artworks_Export!M327)</f>
        <v/>
      </c>
      <c r="Q327" s="2" t="str">
        <f>IF(DB_Artworks_Export!N327="","",DB_Artworks_Export!N327)</f>
        <v/>
      </c>
      <c r="R327" s="2" t="str">
        <f>IF($D327="","",IF(COUNTIF(DB_Categories_Export!$A:$A,$F327)&gt;0,"OK","INVALID CATEGORY"))</f>
        <v/>
      </c>
      <c r="S327" s="2" t="str">
        <f>IF($D327="","",COUNTIF(DB_Artwork_Sizes_Export!$B:$B,$D327))</f>
        <v/>
      </c>
      <c r="T327" s="2" t="str">
        <f>IF($D327="","",IFERROR(INDEX(DB_Artwork_Sizes_Export!$D:$D,MATCH($D327,DB_Artwork_Sizes_Export!$B:$B,0)),""))</f>
        <v/>
      </c>
      <c r="U327" s="2" t="str">
        <f>IF($D327="","",IFERROR(INDEX(DB_Artwork_Sizes_Export!$E:$E,MATCH($D327,DB_Artwork_Sizes_Export!$B:$B,0)),""))</f>
        <v/>
      </c>
      <c r="V327" s="2" t="str">
        <f>IF($D327="","",IFERROR(INDEX(DB_Artwork_Sizes_Export!$F:$F,MATCH($D327,DB_Artwork_Sizes_Export!$B:$B,0)),""))</f>
        <v/>
      </c>
      <c r="W327" s="2" t="str">
        <f t="shared" si="52"/>
        <v/>
      </c>
      <c r="X327" s="2"/>
      <c r="Y327" s="2"/>
      <c r="Z327" s="2"/>
      <c r="AA327" s="2"/>
      <c r="AB327" s="2"/>
      <c r="AC327" s="2"/>
      <c r="AD327" s="2"/>
      <c r="AE327" s="2"/>
      <c r="AF327" s="2" t="str">
        <f t="shared" si="53"/>
        <v/>
      </c>
      <c r="AG327" s="2" t="str">
        <f t="shared" si="54"/>
        <v/>
      </c>
      <c r="AH327" s="2" t="str">
        <f>IF($AG327="","",IFERROR(VLOOKUP($AG327,DB_Categories_Export!$A:$B,2,FALSE()),"INVALID CATEGORY"))</f>
        <v/>
      </c>
      <c r="AI327" s="2" t="str">
        <f t="shared" si="55"/>
        <v/>
      </c>
      <c r="AJ327" s="2" t="str">
        <f t="shared" si="56"/>
        <v/>
      </c>
      <c r="AK327" s="2" t="str">
        <f t="shared" si="57"/>
        <v/>
      </c>
      <c r="AL327" s="2" t="str">
        <f t="shared" si="58"/>
        <v/>
      </c>
      <c r="AM327" s="2" t="str">
        <f t="shared" si="59"/>
        <v/>
      </c>
      <c r="AN327" s="2"/>
      <c r="AO327" s="2"/>
    </row>
    <row r="328" spans="1:41" ht="12" customHeight="1" x14ac:dyDescent="0.3">
      <c r="A328" s="2"/>
      <c r="B328" s="2" t="str">
        <f t="shared" si="50"/>
        <v/>
      </c>
      <c r="C328" s="2" t="str">
        <f t="shared" si="51"/>
        <v/>
      </c>
      <c r="D328" s="2" t="str">
        <f>IF(DB_Artworks_Export!A328="","",DB_Artworks_Export!A328)</f>
        <v/>
      </c>
      <c r="E328" s="2" t="str">
        <f>IF(DB_Artworks_Export!B328="","",DB_Artworks_Export!B328)</f>
        <v/>
      </c>
      <c r="F328" s="2" t="str">
        <f>IF(DB_Artworks_Export!C328="","",DB_Artworks_Export!C328)</f>
        <v/>
      </c>
      <c r="G328" s="2" t="str">
        <f>IF(DB_Artworks_Export!D328="","",DB_Artworks_Export!D328)</f>
        <v/>
      </c>
      <c r="H328" s="2" t="str">
        <f>IF(DB_Artworks_Export!E328="","",DB_Artworks_Export!E328)</f>
        <v/>
      </c>
      <c r="I328" s="2" t="str">
        <f>IF(DB_Artworks_Export!F328="","",DB_Artworks_Export!F328)</f>
        <v/>
      </c>
      <c r="J328" s="2" t="str">
        <f>IF(DB_Artworks_Export!G328="","",DB_Artworks_Export!G328)</f>
        <v/>
      </c>
      <c r="K328" s="2" t="str">
        <f>IF(DB_Artworks_Export!H328="","",DB_Artworks_Export!H328)</f>
        <v/>
      </c>
      <c r="L328" s="2" t="str">
        <f>IF(DB_Artworks_Export!I328="","",DB_Artworks_Export!I328)</f>
        <v/>
      </c>
      <c r="M328" s="2" t="str">
        <f>IF(DB_Artworks_Export!J328="","",DB_Artworks_Export!J328)</f>
        <v/>
      </c>
      <c r="N328" s="2" t="str">
        <f>IF(DB_Artworks_Export!K328="","",DB_Artworks_Export!K328)</f>
        <v/>
      </c>
      <c r="O328" s="2" t="str">
        <f>IF(DB_Artworks_Export!L328="","",DB_Artworks_Export!L328)</f>
        <v/>
      </c>
      <c r="P328" s="2" t="str">
        <f>IF(DB_Artworks_Export!M328="","",DB_Artworks_Export!M328)</f>
        <v/>
      </c>
      <c r="Q328" s="2" t="str">
        <f>IF(DB_Artworks_Export!N328="","",DB_Artworks_Export!N328)</f>
        <v/>
      </c>
      <c r="R328" s="2" t="str">
        <f>IF($D328="","",IF(COUNTIF(DB_Categories_Export!$A:$A,$F328)&gt;0,"OK","INVALID CATEGORY"))</f>
        <v/>
      </c>
      <c r="S328" s="2" t="str">
        <f>IF($D328="","",COUNTIF(DB_Artwork_Sizes_Export!$B:$B,$D328))</f>
        <v/>
      </c>
      <c r="T328" s="2" t="str">
        <f>IF($D328="","",IFERROR(INDEX(DB_Artwork_Sizes_Export!$D:$D,MATCH($D328,DB_Artwork_Sizes_Export!$B:$B,0)),""))</f>
        <v/>
      </c>
      <c r="U328" s="2" t="str">
        <f>IF($D328="","",IFERROR(INDEX(DB_Artwork_Sizes_Export!$E:$E,MATCH($D328,DB_Artwork_Sizes_Export!$B:$B,0)),""))</f>
        <v/>
      </c>
      <c r="V328" s="2" t="str">
        <f>IF($D328="","",IFERROR(INDEX(DB_Artwork_Sizes_Export!$F:$F,MATCH($D328,DB_Artwork_Sizes_Export!$B:$B,0)),""))</f>
        <v/>
      </c>
      <c r="W328" s="2" t="str">
        <f t="shared" si="52"/>
        <v/>
      </c>
      <c r="X328" s="2"/>
      <c r="Y328" s="2"/>
      <c r="Z328" s="2"/>
      <c r="AA328" s="2"/>
      <c r="AB328" s="2"/>
      <c r="AC328" s="2"/>
      <c r="AD328" s="2"/>
      <c r="AE328" s="2"/>
      <c r="AF328" s="2" t="str">
        <f t="shared" si="53"/>
        <v/>
      </c>
      <c r="AG328" s="2" t="str">
        <f t="shared" si="54"/>
        <v/>
      </c>
      <c r="AH328" s="2" t="str">
        <f>IF($AG328="","",IFERROR(VLOOKUP($AG328,DB_Categories_Export!$A:$B,2,FALSE()),"INVALID CATEGORY"))</f>
        <v/>
      </c>
      <c r="AI328" s="2" t="str">
        <f t="shared" si="55"/>
        <v/>
      </c>
      <c r="AJ328" s="2" t="str">
        <f t="shared" si="56"/>
        <v/>
      </c>
      <c r="AK328" s="2" t="str">
        <f t="shared" si="57"/>
        <v/>
      </c>
      <c r="AL328" s="2" t="str">
        <f t="shared" si="58"/>
        <v/>
      </c>
      <c r="AM328" s="2" t="str">
        <f t="shared" si="59"/>
        <v/>
      </c>
      <c r="AN328" s="2"/>
      <c r="AO328" s="2"/>
    </row>
    <row r="329" spans="1:41" ht="12" customHeight="1" x14ac:dyDescent="0.3">
      <c r="A329" s="2"/>
      <c r="B329" s="2" t="str">
        <f t="shared" si="50"/>
        <v/>
      </c>
      <c r="C329" s="2" t="str">
        <f t="shared" si="51"/>
        <v/>
      </c>
      <c r="D329" s="2" t="str">
        <f>IF(DB_Artworks_Export!A329="","",DB_Artworks_Export!A329)</f>
        <v/>
      </c>
      <c r="E329" s="2" t="str">
        <f>IF(DB_Artworks_Export!B329="","",DB_Artworks_Export!B329)</f>
        <v/>
      </c>
      <c r="F329" s="2" t="str">
        <f>IF(DB_Artworks_Export!C329="","",DB_Artworks_Export!C329)</f>
        <v/>
      </c>
      <c r="G329" s="2" t="str">
        <f>IF(DB_Artworks_Export!D329="","",DB_Artworks_Export!D329)</f>
        <v/>
      </c>
      <c r="H329" s="2" t="str">
        <f>IF(DB_Artworks_Export!E329="","",DB_Artworks_Export!E329)</f>
        <v/>
      </c>
      <c r="I329" s="2" t="str">
        <f>IF(DB_Artworks_Export!F329="","",DB_Artworks_Export!F329)</f>
        <v/>
      </c>
      <c r="J329" s="2" t="str">
        <f>IF(DB_Artworks_Export!G329="","",DB_Artworks_Export!G329)</f>
        <v/>
      </c>
      <c r="K329" s="2" t="str">
        <f>IF(DB_Artworks_Export!H329="","",DB_Artworks_Export!H329)</f>
        <v/>
      </c>
      <c r="L329" s="2" t="str">
        <f>IF(DB_Artworks_Export!I329="","",DB_Artworks_Export!I329)</f>
        <v/>
      </c>
      <c r="M329" s="2" t="str">
        <f>IF(DB_Artworks_Export!J329="","",DB_Artworks_Export!J329)</f>
        <v/>
      </c>
      <c r="N329" s="2" t="str">
        <f>IF(DB_Artworks_Export!K329="","",DB_Artworks_Export!K329)</f>
        <v/>
      </c>
      <c r="O329" s="2" t="str">
        <f>IF(DB_Artworks_Export!L329="","",DB_Artworks_Export!L329)</f>
        <v/>
      </c>
      <c r="P329" s="2" t="str">
        <f>IF(DB_Artworks_Export!M329="","",DB_Artworks_Export!M329)</f>
        <v/>
      </c>
      <c r="Q329" s="2" t="str">
        <f>IF(DB_Artworks_Export!N329="","",DB_Artworks_Export!N329)</f>
        <v/>
      </c>
      <c r="R329" s="2" t="str">
        <f>IF($D329="","",IF(COUNTIF(DB_Categories_Export!$A:$A,$F329)&gt;0,"OK","INVALID CATEGORY"))</f>
        <v/>
      </c>
      <c r="S329" s="2" t="str">
        <f>IF($D329="","",COUNTIF(DB_Artwork_Sizes_Export!$B:$B,$D329))</f>
        <v/>
      </c>
      <c r="T329" s="2" t="str">
        <f>IF($D329="","",IFERROR(INDEX(DB_Artwork_Sizes_Export!$D:$D,MATCH($D329,DB_Artwork_Sizes_Export!$B:$B,0)),""))</f>
        <v/>
      </c>
      <c r="U329" s="2" t="str">
        <f>IF($D329="","",IFERROR(INDEX(DB_Artwork_Sizes_Export!$E:$E,MATCH($D329,DB_Artwork_Sizes_Export!$B:$B,0)),""))</f>
        <v/>
      </c>
      <c r="V329" s="2" t="str">
        <f>IF($D329="","",IFERROR(INDEX(DB_Artwork_Sizes_Export!$F:$F,MATCH($D329,DB_Artwork_Sizes_Export!$B:$B,0)),""))</f>
        <v/>
      </c>
      <c r="W329" s="2" t="str">
        <f t="shared" si="52"/>
        <v/>
      </c>
      <c r="X329" s="2"/>
      <c r="Y329" s="2"/>
      <c r="Z329" s="2"/>
      <c r="AA329" s="2"/>
      <c r="AB329" s="2"/>
      <c r="AC329" s="2"/>
      <c r="AD329" s="2"/>
      <c r="AE329" s="2"/>
      <c r="AF329" s="2" t="str">
        <f t="shared" si="53"/>
        <v/>
      </c>
      <c r="AG329" s="2" t="str">
        <f t="shared" si="54"/>
        <v/>
      </c>
      <c r="AH329" s="2" t="str">
        <f>IF($AG329="","",IFERROR(VLOOKUP($AG329,DB_Categories_Export!$A:$B,2,FALSE()),"INVALID CATEGORY"))</f>
        <v/>
      </c>
      <c r="AI329" s="2" t="str">
        <f t="shared" si="55"/>
        <v/>
      </c>
      <c r="AJ329" s="2" t="str">
        <f t="shared" si="56"/>
        <v/>
      </c>
      <c r="AK329" s="2" t="str">
        <f t="shared" si="57"/>
        <v/>
      </c>
      <c r="AL329" s="2" t="str">
        <f t="shared" si="58"/>
        <v/>
      </c>
      <c r="AM329" s="2" t="str">
        <f t="shared" si="59"/>
        <v/>
      </c>
      <c r="AN329" s="2"/>
      <c r="AO329" s="2"/>
    </row>
    <row r="330" spans="1:41" ht="12" customHeight="1" x14ac:dyDescent="0.3">
      <c r="A330" s="2"/>
      <c r="B330" s="2" t="str">
        <f t="shared" si="50"/>
        <v/>
      </c>
      <c r="C330" s="2" t="str">
        <f t="shared" si="51"/>
        <v/>
      </c>
      <c r="D330" s="2" t="str">
        <f>IF(DB_Artworks_Export!A330="","",DB_Artworks_Export!A330)</f>
        <v/>
      </c>
      <c r="E330" s="2" t="str">
        <f>IF(DB_Artworks_Export!B330="","",DB_Artworks_Export!B330)</f>
        <v/>
      </c>
      <c r="F330" s="2" t="str">
        <f>IF(DB_Artworks_Export!C330="","",DB_Artworks_Export!C330)</f>
        <v/>
      </c>
      <c r="G330" s="2" t="str">
        <f>IF(DB_Artworks_Export!D330="","",DB_Artworks_Export!D330)</f>
        <v/>
      </c>
      <c r="H330" s="2" t="str">
        <f>IF(DB_Artworks_Export!E330="","",DB_Artworks_Export!E330)</f>
        <v/>
      </c>
      <c r="I330" s="2" t="str">
        <f>IF(DB_Artworks_Export!F330="","",DB_Artworks_Export!F330)</f>
        <v/>
      </c>
      <c r="J330" s="2" t="str">
        <f>IF(DB_Artworks_Export!G330="","",DB_Artworks_Export!G330)</f>
        <v/>
      </c>
      <c r="K330" s="2" t="str">
        <f>IF(DB_Artworks_Export!H330="","",DB_Artworks_Export!H330)</f>
        <v/>
      </c>
      <c r="L330" s="2" t="str">
        <f>IF(DB_Artworks_Export!I330="","",DB_Artworks_Export!I330)</f>
        <v/>
      </c>
      <c r="M330" s="2" t="str">
        <f>IF(DB_Artworks_Export!J330="","",DB_Artworks_Export!J330)</f>
        <v/>
      </c>
      <c r="N330" s="2" t="str">
        <f>IF(DB_Artworks_Export!K330="","",DB_Artworks_Export!K330)</f>
        <v/>
      </c>
      <c r="O330" s="2" t="str">
        <f>IF(DB_Artworks_Export!L330="","",DB_Artworks_Export!L330)</f>
        <v/>
      </c>
      <c r="P330" s="2" t="str">
        <f>IF(DB_Artworks_Export!M330="","",DB_Artworks_Export!M330)</f>
        <v/>
      </c>
      <c r="Q330" s="2" t="str">
        <f>IF(DB_Artworks_Export!N330="","",DB_Artworks_Export!N330)</f>
        <v/>
      </c>
      <c r="R330" s="2" t="str">
        <f>IF($D330="","",IF(COUNTIF(DB_Categories_Export!$A:$A,$F330)&gt;0,"OK","INVALID CATEGORY"))</f>
        <v/>
      </c>
      <c r="S330" s="2" t="str">
        <f>IF($D330="","",COUNTIF(DB_Artwork_Sizes_Export!$B:$B,$D330))</f>
        <v/>
      </c>
      <c r="T330" s="2" t="str">
        <f>IF($D330="","",IFERROR(INDEX(DB_Artwork_Sizes_Export!$D:$D,MATCH($D330,DB_Artwork_Sizes_Export!$B:$B,0)),""))</f>
        <v/>
      </c>
      <c r="U330" s="2" t="str">
        <f>IF($D330="","",IFERROR(INDEX(DB_Artwork_Sizes_Export!$E:$E,MATCH($D330,DB_Artwork_Sizes_Export!$B:$B,0)),""))</f>
        <v/>
      </c>
      <c r="V330" s="2" t="str">
        <f>IF($D330="","",IFERROR(INDEX(DB_Artwork_Sizes_Export!$F:$F,MATCH($D330,DB_Artwork_Sizes_Export!$B:$B,0)),""))</f>
        <v/>
      </c>
      <c r="W330" s="2" t="str">
        <f t="shared" si="52"/>
        <v/>
      </c>
      <c r="X330" s="2"/>
      <c r="Y330" s="2"/>
      <c r="Z330" s="2"/>
      <c r="AA330" s="2"/>
      <c r="AB330" s="2"/>
      <c r="AC330" s="2"/>
      <c r="AD330" s="2"/>
      <c r="AE330" s="2"/>
      <c r="AF330" s="2" t="str">
        <f t="shared" si="53"/>
        <v/>
      </c>
      <c r="AG330" s="2" t="str">
        <f t="shared" si="54"/>
        <v/>
      </c>
      <c r="AH330" s="2" t="str">
        <f>IF($AG330="","",IFERROR(VLOOKUP($AG330,DB_Categories_Export!$A:$B,2,FALSE()),"INVALID CATEGORY"))</f>
        <v/>
      </c>
      <c r="AI330" s="2" t="str">
        <f t="shared" si="55"/>
        <v/>
      </c>
      <c r="AJ330" s="2" t="str">
        <f t="shared" si="56"/>
        <v/>
      </c>
      <c r="AK330" s="2" t="str">
        <f t="shared" si="57"/>
        <v/>
      </c>
      <c r="AL330" s="2" t="str">
        <f t="shared" si="58"/>
        <v/>
      </c>
      <c r="AM330" s="2" t="str">
        <f t="shared" si="59"/>
        <v/>
      </c>
      <c r="AN330" s="2"/>
      <c r="AO330" s="2"/>
    </row>
    <row r="331" spans="1:41" ht="12" customHeight="1" x14ac:dyDescent="0.3">
      <c r="A331" s="2"/>
      <c r="B331" s="2" t="str">
        <f t="shared" si="50"/>
        <v/>
      </c>
      <c r="C331" s="2" t="str">
        <f t="shared" si="51"/>
        <v/>
      </c>
      <c r="D331" s="2" t="str">
        <f>IF(DB_Artworks_Export!A331="","",DB_Artworks_Export!A331)</f>
        <v/>
      </c>
      <c r="E331" s="2" t="str">
        <f>IF(DB_Artworks_Export!B331="","",DB_Artworks_Export!B331)</f>
        <v/>
      </c>
      <c r="F331" s="2" t="str">
        <f>IF(DB_Artworks_Export!C331="","",DB_Artworks_Export!C331)</f>
        <v/>
      </c>
      <c r="G331" s="2" t="str">
        <f>IF(DB_Artworks_Export!D331="","",DB_Artworks_Export!D331)</f>
        <v/>
      </c>
      <c r="H331" s="2" t="str">
        <f>IF(DB_Artworks_Export!E331="","",DB_Artworks_Export!E331)</f>
        <v/>
      </c>
      <c r="I331" s="2" t="str">
        <f>IF(DB_Artworks_Export!F331="","",DB_Artworks_Export!F331)</f>
        <v/>
      </c>
      <c r="J331" s="2" t="str">
        <f>IF(DB_Artworks_Export!G331="","",DB_Artworks_Export!G331)</f>
        <v/>
      </c>
      <c r="K331" s="2" t="str">
        <f>IF(DB_Artworks_Export!H331="","",DB_Artworks_Export!H331)</f>
        <v/>
      </c>
      <c r="L331" s="2" t="str">
        <f>IF(DB_Artworks_Export!I331="","",DB_Artworks_Export!I331)</f>
        <v/>
      </c>
      <c r="M331" s="2" t="str">
        <f>IF(DB_Artworks_Export!J331="","",DB_Artworks_Export!J331)</f>
        <v/>
      </c>
      <c r="N331" s="2" t="str">
        <f>IF(DB_Artworks_Export!K331="","",DB_Artworks_Export!K331)</f>
        <v/>
      </c>
      <c r="O331" s="2" t="str">
        <f>IF(DB_Artworks_Export!L331="","",DB_Artworks_Export!L331)</f>
        <v/>
      </c>
      <c r="P331" s="2" t="str">
        <f>IF(DB_Artworks_Export!M331="","",DB_Artworks_Export!M331)</f>
        <v/>
      </c>
      <c r="Q331" s="2" t="str">
        <f>IF(DB_Artworks_Export!N331="","",DB_Artworks_Export!N331)</f>
        <v/>
      </c>
      <c r="R331" s="2" t="str">
        <f>IF($D331="","",IF(COUNTIF(DB_Categories_Export!$A:$A,$F331)&gt;0,"OK","INVALID CATEGORY"))</f>
        <v/>
      </c>
      <c r="S331" s="2" t="str">
        <f>IF($D331="","",COUNTIF(DB_Artwork_Sizes_Export!$B:$B,$D331))</f>
        <v/>
      </c>
      <c r="T331" s="2" t="str">
        <f>IF($D331="","",IFERROR(INDEX(DB_Artwork_Sizes_Export!$D:$D,MATCH($D331,DB_Artwork_Sizes_Export!$B:$B,0)),""))</f>
        <v/>
      </c>
      <c r="U331" s="2" t="str">
        <f>IF($D331="","",IFERROR(INDEX(DB_Artwork_Sizes_Export!$E:$E,MATCH($D331,DB_Artwork_Sizes_Export!$B:$B,0)),""))</f>
        <v/>
      </c>
      <c r="V331" s="2" t="str">
        <f>IF($D331="","",IFERROR(INDEX(DB_Artwork_Sizes_Export!$F:$F,MATCH($D331,DB_Artwork_Sizes_Export!$B:$B,0)),""))</f>
        <v/>
      </c>
      <c r="W331" s="2" t="str">
        <f t="shared" si="52"/>
        <v/>
      </c>
      <c r="X331" s="2"/>
      <c r="Y331" s="2"/>
      <c r="Z331" s="2"/>
      <c r="AA331" s="2"/>
      <c r="AB331" s="2"/>
      <c r="AC331" s="2"/>
      <c r="AD331" s="2"/>
      <c r="AE331" s="2"/>
      <c r="AF331" s="2" t="str">
        <f t="shared" si="53"/>
        <v/>
      </c>
      <c r="AG331" s="2" t="str">
        <f t="shared" si="54"/>
        <v/>
      </c>
      <c r="AH331" s="2" t="str">
        <f>IF($AG331="","",IFERROR(VLOOKUP($AG331,DB_Categories_Export!$A:$B,2,FALSE()),"INVALID CATEGORY"))</f>
        <v/>
      </c>
      <c r="AI331" s="2" t="str">
        <f t="shared" si="55"/>
        <v/>
      </c>
      <c r="AJ331" s="2" t="str">
        <f t="shared" si="56"/>
        <v/>
      </c>
      <c r="AK331" s="2" t="str">
        <f t="shared" si="57"/>
        <v/>
      </c>
      <c r="AL331" s="2" t="str">
        <f t="shared" si="58"/>
        <v/>
      </c>
      <c r="AM331" s="2" t="str">
        <f t="shared" si="59"/>
        <v/>
      </c>
      <c r="AN331" s="2"/>
      <c r="AO331" s="2"/>
    </row>
    <row r="332" spans="1:41" ht="12" customHeight="1" x14ac:dyDescent="0.3">
      <c r="A332" s="2"/>
      <c r="B332" s="2" t="str">
        <f t="shared" si="50"/>
        <v/>
      </c>
      <c r="C332" s="2" t="str">
        <f t="shared" si="51"/>
        <v/>
      </c>
      <c r="D332" s="2" t="str">
        <f>IF(DB_Artworks_Export!A332="","",DB_Artworks_Export!A332)</f>
        <v/>
      </c>
      <c r="E332" s="2" t="str">
        <f>IF(DB_Artworks_Export!B332="","",DB_Artworks_Export!B332)</f>
        <v/>
      </c>
      <c r="F332" s="2" t="str">
        <f>IF(DB_Artworks_Export!C332="","",DB_Artworks_Export!C332)</f>
        <v/>
      </c>
      <c r="G332" s="2" t="str">
        <f>IF(DB_Artworks_Export!D332="","",DB_Artworks_Export!D332)</f>
        <v/>
      </c>
      <c r="H332" s="2" t="str">
        <f>IF(DB_Artworks_Export!E332="","",DB_Artworks_Export!E332)</f>
        <v/>
      </c>
      <c r="I332" s="2" t="str">
        <f>IF(DB_Artworks_Export!F332="","",DB_Artworks_Export!F332)</f>
        <v/>
      </c>
      <c r="J332" s="2" t="str">
        <f>IF(DB_Artworks_Export!G332="","",DB_Artworks_Export!G332)</f>
        <v/>
      </c>
      <c r="K332" s="2" t="str">
        <f>IF(DB_Artworks_Export!H332="","",DB_Artworks_Export!H332)</f>
        <v/>
      </c>
      <c r="L332" s="2" t="str">
        <f>IF(DB_Artworks_Export!I332="","",DB_Artworks_Export!I332)</f>
        <v/>
      </c>
      <c r="M332" s="2" t="str">
        <f>IF(DB_Artworks_Export!J332="","",DB_Artworks_Export!J332)</f>
        <v/>
      </c>
      <c r="N332" s="2" t="str">
        <f>IF(DB_Artworks_Export!K332="","",DB_Artworks_Export!K332)</f>
        <v/>
      </c>
      <c r="O332" s="2" t="str">
        <f>IF(DB_Artworks_Export!L332="","",DB_Artworks_Export!L332)</f>
        <v/>
      </c>
      <c r="P332" s="2" t="str">
        <f>IF(DB_Artworks_Export!M332="","",DB_Artworks_Export!M332)</f>
        <v/>
      </c>
      <c r="Q332" s="2" t="str">
        <f>IF(DB_Artworks_Export!N332="","",DB_Artworks_Export!N332)</f>
        <v/>
      </c>
      <c r="R332" s="2" t="str">
        <f>IF($D332="","",IF(COUNTIF(DB_Categories_Export!$A:$A,$F332)&gt;0,"OK","INVALID CATEGORY"))</f>
        <v/>
      </c>
      <c r="S332" s="2" t="str">
        <f>IF($D332="","",COUNTIF(DB_Artwork_Sizes_Export!$B:$B,$D332))</f>
        <v/>
      </c>
      <c r="T332" s="2" t="str">
        <f>IF($D332="","",IFERROR(INDEX(DB_Artwork_Sizes_Export!$D:$D,MATCH($D332,DB_Artwork_Sizes_Export!$B:$B,0)),""))</f>
        <v/>
      </c>
      <c r="U332" s="2" t="str">
        <f>IF($D332="","",IFERROR(INDEX(DB_Artwork_Sizes_Export!$E:$E,MATCH($D332,DB_Artwork_Sizes_Export!$B:$B,0)),""))</f>
        <v/>
      </c>
      <c r="V332" s="2" t="str">
        <f>IF($D332="","",IFERROR(INDEX(DB_Artwork_Sizes_Export!$F:$F,MATCH($D332,DB_Artwork_Sizes_Export!$B:$B,0)),""))</f>
        <v/>
      </c>
      <c r="W332" s="2" t="str">
        <f t="shared" si="52"/>
        <v/>
      </c>
      <c r="X332" s="2"/>
      <c r="Y332" s="2"/>
      <c r="Z332" s="2"/>
      <c r="AA332" s="2"/>
      <c r="AB332" s="2"/>
      <c r="AC332" s="2"/>
      <c r="AD332" s="2"/>
      <c r="AE332" s="2"/>
      <c r="AF332" s="2" t="str">
        <f t="shared" si="53"/>
        <v/>
      </c>
      <c r="AG332" s="2" t="str">
        <f t="shared" si="54"/>
        <v/>
      </c>
      <c r="AH332" s="2" t="str">
        <f>IF($AG332="","",IFERROR(VLOOKUP($AG332,DB_Categories_Export!$A:$B,2,FALSE()),"INVALID CATEGORY"))</f>
        <v/>
      </c>
      <c r="AI332" s="2" t="str">
        <f t="shared" si="55"/>
        <v/>
      </c>
      <c r="AJ332" s="2" t="str">
        <f t="shared" si="56"/>
        <v/>
      </c>
      <c r="AK332" s="2" t="str">
        <f t="shared" si="57"/>
        <v/>
      </c>
      <c r="AL332" s="2" t="str">
        <f t="shared" si="58"/>
        <v/>
      </c>
      <c r="AM332" s="2" t="str">
        <f t="shared" si="59"/>
        <v/>
      </c>
      <c r="AN332" s="2"/>
      <c r="AO332" s="2"/>
    </row>
    <row r="333" spans="1:41" ht="12" customHeight="1" x14ac:dyDescent="0.3">
      <c r="A333" s="2"/>
      <c r="B333" s="2" t="str">
        <f t="shared" si="50"/>
        <v/>
      </c>
      <c r="C333" s="2" t="str">
        <f t="shared" si="51"/>
        <v/>
      </c>
      <c r="D333" s="2" t="str">
        <f>IF(DB_Artworks_Export!A333="","",DB_Artworks_Export!A333)</f>
        <v/>
      </c>
      <c r="E333" s="2" t="str">
        <f>IF(DB_Artworks_Export!B333="","",DB_Artworks_Export!B333)</f>
        <v/>
      </c>
      <c r="F333" s="2" t="str">
        <f>IF(DB_Artworks_Export!C333="","",DB_Artworks_Export!C333)</f>
        <v/>
      </c>
      <c r="G333" s="2" t="str">
        <f>IF(DB_Artworks_Export!D333="","",DB_Artworks_Export!D333)</f>
        <v/>
      </c>
      <c r="H333" s="2" t="str">
        <f>IF(DB_Artworks_Export!E333="","",DB_Artworks_Export!E333)</f>
        <v/>
      </c>
      <c r="I333" s="2" t="str">
        <f>IF(DB_Artworks_Export!F333="","",DB_Artworks_Export!F333)</f>
        <v/>
      </c>
      <c r="J333" s="2" t="str">
        <f>IF(DB_Artworks_Export!G333="","",DB_Artworks_Export!G333)</f>
        <v/>
      </c>
      <c r="K333" s="2" t="str">
        <f>IF(DB_Artworks_Export!H333="","",DB_Artworks_Export!H333)</f>
        <v/>
      </c>
      <c r="L333" s="2" t="str">
        <f>IF(DB_Artworks_Export!I333="","",DB_Artworks_Export!I333)</f>
        <v/>
      </c>
      <c r="M333" s="2" t="str">
        <f>IF(DB_Artworks_Export!J333="","",DB_Artworks_Export!J333)</f>
        <v/>
      </c>
      <c r="N333" s="2" t="str">
        <f>IF(DB_Artworks_Export!K333="","",DB_Artworks_Export!K333)</f>
        <v/>
      </c>
      <c r="O333" s="2" t="str">
        <f>IF(DB_Artworks_Export!L333="","",DB_Artworks_Export!L333)</f>
        <v/>
      </c>
      <c r="P333" s="2" t="str">
        <f>IF(DB_Artworks_Export!M333="","",DB_Artworks_Export!M333)</f>
        <v/>
      </c>
      <c r="Q333" s="2" t="str">
        <f>IF(DB_Artworks_Export!N333="","",DB_Artworks_Export!N333)</f>
        <v/>
      </c>
      <c r="R333" s="2" t="str">
        <f>IF($D333="","",IF(COUNTIF(DB_Categories_Export!$A:$A,$F333)&gt;0,"OK","INVALID CATEGORY"))</f>
        <v/>
      </c>
      <c r="S333" s="2" t="str">
        <f>IF($D333="","",COUNTIF(DB_Artwork_Sizes_Export!$B:$B,$D333))</f>
        <v/>
      </c>
      <c r="T333" s="2" t="str">
        <f>IF($D333="","",IFERROR(INDEX(DB_Artwork_Sizes_Export!$D:$D,MATCH($D333,DB_Artwork_Sizes_Export!$B:$B,0)),""))</f>
        <v/>
      </c>
      <c r="U333" s="2" t="str">
        <f>IF($D333="","",IFERROR(INDEX(DB_Artwork_Sizes_Export!$E:$E,MATCH($D333,DB_Artwork_Sizes_Export!$B:$B,0)),""))</f>
        <v/>
      </c>
      <c r="V333" s="2" t="str">
        <f>IF($D333="","",IFERROR(INDEX(DB_Artwork_Sizes_Export!$F:$F,MATCH($D333,DB_Artwork_Sizes_Export!$B:$B,0)),""))</f>
        <v/>
      </c>
      <c r="W333" s="2" t="str">
        <f t="shared" si="52"/>
        <v/>
      </c>
      <c r="X333" s="2"/>
      <c r="Y333" s="2"/>
      <c r="Z333" s="2"/>
      <c r="AA333" s="2"/>
      <c r="AB333" s="2"/>
      <c r="AC333" s="2"/>
      <c r="AD333" s="2"/>
      <c r="AE333" s="2"/>
      <c r="AF333" s="2" t="str">
        <f t="shared" si="53"/>
        <v/>
      </c>
      <c r="AG333" s="2" t="str">
        <f t="shared" si="54"/>
        <v/>
      </c>
      <c r="AH333" s="2" t="str">
        <f>IF($AG333="","",IFERROR(VLOOKUP($AG333,DB_Categories_Export!$A:$B,2,FALSE()),"INVALID CATEGORY"))</f>
        <v/>
      </c>
      <c r="AI333" s="2" t="str">
        <f t="shared" si="55"/>
        <v/>
      </c>
      <c r="AJ333" s="2" t="str">
        <f t="shared" si="56"/>
        <v/>
      </c>
      <c r="AK333" s="2" t="str">
        <f t="shared" si="57"/>
        <v/>
      </c>
      <c r="AL333" s="2" t="str">
        <f t="shared" si="58"/>
        <v/>
      </c>
      <c r="AM333" s="2" t="str">
        <f t="shared" si="59"/>
        <v/>
      </c>
      <c r="AN333" s="2"/>
      <c r="AO333" s="2"/>
    </row>
    <row r="334" spans="1:41" ht="12" customHeight="1" x14ac:dyDescent="0.3">
      <c r="A334" s="2"/>
      <c r="B334" s="2" t="str">
        <f t="shared" si="50"/>
        <v/>
      </c>
      <c r="C334" s="2" t="str">
        <f t="shared" si="51"/>
        <v/>
      </c>
      <c r="D334" s="2" t="str">
        <f>IF(DB_Artworks_Export!A334="","",DB_Artworks_Export!A334)</f>
        <v/>
      </c>
      <c r="E334" s="2" t="str">
        <f>IF(DB_Artworks_Export!B334="","",DB_Artworks_Export!B334)</f>
        <v/>
      </c>
      <c r="F334" s="2" t="str">
        <f>IF(DB_Artworks_Export!C334="","",DB_Artworks_Export!C334)</f>
        <v/>
      </c>
      <c r="G334" s="2" t="str">
        <f>IF(DB_Artworks_Export!D334="","",DB_Artworks_Export!D334)</f>
        <v/>
      </c>
      <c r="H334" s="2" t="str">
        <f>IF(DB_Artworks_Export!E334="","",DB_Artworks_Export!E334)</f>
        <v/>
      </c>
      <c r="I334" s="2" t="str">
        <f>IF(DB_Artworks_Export!F334="","",DB_Artworks_Export!F334)</f>
        <v/>
      </c>
      <c r="J334" s="2" t="str">
        <f>IF(DB_Artworks_Export!G334="","",DB_Artworks_Export!G334)</f>
        <v/>
      </c>
      <c r="K334" s="2" t="str">
        <f>IF(DB_Artworks_Export!H334="","",DB_Artworks_Export!H334)</f>
        <v/>
      </c>
      <c r="L334" s="2" t="str">
        <f>IF(DB_Artworks_Export!I334="","",DB_Artworks_Export!I334)</f>
        <v/>
      </c>
      <c r="M334" s="2" t="str">
        <f>IF(DB_Artworks_Export!J334="","",DB_Artworks_Export!J334)</f>
        <v/>
      </c>
      <c r="N334" s="2" t="str">
        <f>IF(DB_Artworks_Export!K334="","",DB_Artworks_Export!K334)</f>
        <v/>
      </c>
      <c r="O334" s="2" t="str">
        <f>IF(DB_Artworks_Export!L334="","",DB_Artworks_Export!L334)</f>
        <v/>
      </c>
      <c r="P334" s="2" t="str">
        <f>IF(DB_Artworks_Export!M334="","",DB_Artworks_Export!M334)</f>
        <v/>
      </c>
      <c r="Q334" s="2" t="str">
        <f>IF(DB_Artworks_Export!N334="","",DB_Artworks_Export!N334)</f>
        <v/>
      </c>
      <c r="R334" s="2" t="str">
        <f>IF($D334="","",IF(COUNTIF(DB_Categories_Export!$A:$A,$F334)&gt;0,"OK","INVALID CATEGORY"))</f>
        <v/>
      </c>
      <c r="S334" s="2" t="str">
        <f>IF($D334="","",COUNTIF(DB_Artwork_Sizes_Export!$B:$B,$D334))</f>
        <v/>
      </c>
      <c r="T334" s="2" t="str">
        <f>IF($D334="","",IFERROR(INDEX(DB_Artwork_Sizes_Export!$D:$D,MATCH($D334,DB_Artwork_Sizes_Export!$B:$B,0)),""))</f>
        <v/>
      </c>
      <c r="U334" s="2" t="str">
        <f>IF($D334="","",IFERROR(INDEX(DB_Artwork_Sizes_Export!$E:$E,MATCH($D334,DB_Artwork_Sizes_Export!$B:$B,0)),""))</f>
        <v/>
      </c>
      <c r="V334" s="2" t="str">
        <f>IF($D334="","",IFERROR(INDEX(DB_Artwork_Sizes_Export!$F:$F,MATCH($D334,DB_Artwork_Sizes_Export!$B:$B,0)),""))</f>
        <v/>
      </c>
      <c r="W334" s="2" t="str">
        <f t="shared" si="52"/>
        <v/>
      </c>
      <c r="X334" s="2"/>
      <c r="Y334" s="2"/>
      <c r="Z334" s="2"/>
      <c r="AA334" s="2"/>
      <c r="AB334" s="2"/>
      <c r="AC334" s="2"/>
      <c r="AD334" s="2"/>
      <c r="AE334" s="2"/>
      <c r="AF334" s="2" t="str">
        <f t="shared" si="53"/>
        <v/>
      </c>
      <c r="AG334" s="2" t="str">
        <f t="shared" si="54"/>
        <v/>
      </c>
      <c r="AH334" s="2" t="str">
        <f>IF($AG334="","",IFERROR(VLOOKUP($AG334,DB_Categories_Export!$A:$B,2,FALSE()),"INVALID CATEGORY"))</f>
        <v/>
      </c>
      <c r="AI334" s="2" t="str">
        <f t="shared" si="55"/>
        <v/>
      </c>
      <c r="AJ334" s="2" t="str">
        <f t="shared" si="56"/>
        <v/>
      </c>
      <c r="AK334" s="2" t="str">
        <f t="shared" si="57"/>
        <v/>
      </c>
      <c r="AL334" s="2" t="str">
        <f t="shared" si="58"/>
        <v/>
      </c>
      <c r="AM334" s="2" t="str">
        <f t="shared" si="59"/>
        <v/>
      </c>
      <c r="AN334" s="2"/>
      <c r="AO334" s="2"/>
    </row>
    <row r="335" spans="1:41" ht="12" customHeight="1" x14ac:dyDescent="0.3">
      <c r="A335" s="2"/>
      <c r="B335" s="2" t="str">
        <f t="shared" si="50"/>
        <v/>
      </c>
      <c r="C335" s="2" t="str">
        <f t="shared" si="51"/>
        <v/>
      </c>
      <c r="D335" s="2" t="str">
        <f>IF(DB_Artworks_Export!A335="","",DB_Artworks_Export!A335)</f>
        <v/>
      </c>
      <c r="E335" s="2" t="str">
        <f>IF(DB_Artworks_Export!B335="","",DB_Artworks_Export!B335)</f>
        <v/>
      </c>
      <c r="F335" s="2" t="str">
        <f>IF(DB_Artworks_Export!C335="","",DB_Artworks_Export!C335)</f>
        <v/>
      </c>
      <c r="G335" s="2" t="str">
        <f>IF(DB_Artworks_Export!D335="","",DB_Artworks_Export!D335)</f>
        <v/>
      </c>
      <c r="H335" s="2" t="str">
        <f>IF(DB_Artworks_Export!E335="","",DB_Artworks_Export!E335)</f>
        <v/>
      </c>
      <c r="I335" s="2" t="str">
        <f>IF(DB_Artworks_Export!F335="","",DB_Artworks_Export!F335)</f>
        <v/>
      </c>
      <c r="J335" s="2" t="str">
        <f>IF(DB_Artworks_Export!G335="","",DB_Artworks_Export!G335)</f>
        <v/>
      </c>
      <c r="K335" s="2" t="str">
        <f>IF(DB_Artworks_Export!H335="","",DB_Artworks_Export!H335)</f>
        <v/>
      </c>
      <c r="L335" s="2" t="str">
        <f>IF(DB_Artworks_Export!I335="","",DB_Artworks_Export!I335)</f>
        <v/>
      </c>
      <c r="M335" s="2" t="str">
        <f>IF(DB_Artworks_Export!J335="","",DB_Artworks_Export!J335)</f>
        <v/>
      </c>
      <c r="N335" s="2" t="str">
        <f>IF(DB_Artworks_Export!K335="","",DB_Artworks_Export!K335)</f>
        <v/>
      </c>
      <c r="O335" s="2" t="str">
        <f>IF(DB_Artworks_Export!L335="","",DB_Artworks_Export!L335)</f>
        <v/>
      </c>
      <c r="P335" s="2" t="str">
        <f>IF(DB_Artworks_Export!M335="","",DB_Artworks_Export!M335)</f>
        <v/>
      </c>
      <c r="Q335" s="2" t="str">
        <f>IF(DB_Artworks_Export!N335="","",DB_Artworks_Export!N335)</f>
        <v/>
      </c>
      <c r="R335" s="2" t="str">
        <f>IF($D335="","",IF(COUNTIF(DB_Categories_Export!$A:$A,$F335)&gt;0,"OK","INVALID CATEGORY"))</f>
        <v/>
      </c>
      <c r="S335" s="2" t="str">
        <f>IF($D335="","",COUNTIF(DB_Artwork_Sizes_Export!$B:$B,$D335))</f>
        <v/>
      </c>
      <c r="T335" s="2" t="str">
        <f>IF($D335="","",IFERROR(INDEX(DB_Artwork_Sizes_Export!$D:$D,MATCH($D335,DB_Artwork_Sizes_Export!$B:$B,0)),""))</f>
        <v/>
      </c>
      <c r="U335" s="2" t="str">
        <f>IF($D335="","",IFERROR(INDEX(DB_Artwork_Sizes_Export!$E:$E,MATCH($D335,DB_Artwork_Sizes_Export!$B:$B,0)),""))</f>
        <v/>
      </c>
      <c r="V335" s="2" t="str">
        <f>IF($D335="","",IFERROR(INDEX(DB_Artwork_Sizes_Export!$F:$F,MATCH($D335,DB_Artwork_Sizes_Export!$B:$B,0)),""))</f>
        <v/>
      </c>
      <c r="W335" s="2" t="str">
        <f t="shared" si="52"/>
        <v/>
      </c>
      <c r="X335" s="2"/>
      <c r="Y335" s="2"/>
      <c r="Z335" s="2"/>
      <c r="AA335" s="2"/>
      <c r="AB335" s="2"/>
      <c r="AC335" s="2"/>
      <c r="AD335" s="2"/>
      <c r="AE335" s="2"/>
      <c r="AF335" s="2" t="str">
        <f t="shared" si="53"/>
        <v/>
      </c>
      <c r="AG335" s="2" t="str">
        <f t="shared" si="54"/>
        <v/>
      </c>
      <c r="AH335" s="2" t="str">
        <f>IF($AG335="","",IFERROR(VLOOKUP($AG335,DB_Categories_Export!$A:$B,2,FALSE()),"INVALID CATEGORY"))</f>
        <v/>
      </c>
      <c r="AI335" s="2" t="str">
        <f t="shared" si="55"/>
        <v/>
      </c>
      <c r="AJ335" s="2" t="str">
        <f t="shared" si="56"/>
        <v/>
      </c>
      <c r="AK335" s="2" t="str">
        <f t="shared" si="57"/>
        <v/>
      </c>
      <c r="AL335" s="2" t="str">
        <f t="shared" si="58"/>
        <v/>
      </c>
      <c r="AM335" s="2" t="str">
        <f t="shared" si="59"/>
        <v/>
      </c>
      <c r="AN335" s="2"/>
      <c r="AO335" s="2"/>
    </row>
    <row r="336" spans="1:41" ht="12" customHeight="1" x14ac:dyDescent="0.3">
      <c r="A336" s="2"/>
      <c r="B336" s="2" t="str">
        <f t="shared" si="50"/>
        <v/>
      </c>
      <c r="C336" s="2" t="str">
        <f t="shared" si="51"/>
        <v/>
      </c>
      <c r="D336" s="2" t="str">
        <f>IF(DB_Artworks_Export!A336="","",DB_Artworks_Export!A336)</f>
        <v/>
      </c>
      <c r="E336" s="2" t="str">
        <f>IF(DB_Artworks_Export!B336="","",DB_Artworks_Export!B336)</f>
        <v/>
      </c>
      <c r="F336" s="2" t="str">
        <f>IF(DB_Artworks_Export!C336="","",DB_Artworks_Export!C336)</f>
        <v/>
      </c>
      <c r="G336" s="2" t="str">
        <f>IF(DB_Artworks_Export!D336="","",DB_Artworks_Export!D336)</f>
        <v/>
      </c>
      <c r="H336" s="2" t="str">
        <f>IF(DB_Artworks_Export!E336="","",DB_Artworks_Export!E336)</f>
        <v/>
      </c>
      <c r="I336" s="2" t="str">
        <f>IF(DB_Artworks_Export!F336="","",DB_Artworks_Export!F336)</f>
        <v/>
      </c>
      <c r="J336" s="2" t="str">
        <f>IF(DB_Artworks_Export!G336="","",DB_Artworks_Export!G336)</f>
        <v/>
      </c>
      <c r="K336" s="2" t="str">
        <f>IF(DB_Artworks_Export!H336="","",DB_Artworks_Export!H336)</f>
        <v/>
      </c>
      <c r="L336" s="2" t="str">
        <f>IF(DB_Artworks_Export!I336="","",DB_Artworks_Export!I336)</f>
        <v/>
      </c>
      <c r="M336" s="2" t="str">
        <f>IF(DB_Artworks_Export!J336="","",DB_Artworks_Export!J336)</f>
        <v/>
      </c>
      <c r="N336" s="2" t="str">
        <f>IF(DB_Artworks_Export!K336="","",DB_Artworks_Export!K336)</f>
        <v/>
      </c>
      <c r="O336" s="2" t="str">
        <f>IF(DB_Artworks_Export!L336="","",DB_Artworks_Export!L336)</f>
        <v/>
      </c>
      <c r="P336" s="2" t="str">
        <f>IF(DB_Artworks_Export!M336="","",DB_Artworks_Export!M336)</f>
        <v/>
      </c>
      <c r="Q336" s="2" t="str">
        <f>IF(DB_Artworks_Export!N336="","",DB_Artworks_Export!N336)</f>
        <v/>
      </c>
      <c r="R336" s="2" t="str">
        <f>IF($D336="","",IF(COUNTIF(DB_Categories_Export!$A:$A,$F336)&gt;0,"OK","INVALID CATEGORY"))</f>
        <v/>
      </c>
      <c r="S336" s="2" t="str">
        <f>IF($D336="","",COUNTIF(DB_Artwork_Sizes_Export!$B:$B,$D336))</f>
        <v/>
      </c>
      <c r="T336" s="2" t="str">
        <f>IF($D336="","",IFERROR(INDEX(DB_Artwork_Sizes_Export!$D:$D,MATCH($D336,DB_Artwork_Sizes_Export!$B:$B,0)),""))</f>
        <v/>
      </c>
      <c r="U336" s="2" t="str">
        <f>IF($D336="","",IFERROR(INDEX(DB_Artwork_Sizes_Export!$E:$E,MATCH($D336,DB_Artwork_Sizes_Export!$B:$B,0)),""))</f>
        <v/>
      </c>
      <c r="V336" s="2" t="str">
        <f>IF($D336="","",IFERROR(INDEX(DB_Artwork_Sizes_Export!$F:$F,MATCH($D336,DB_Artwork_Sizes_Export!$B:$B,0)),""))</f>
        <v/>
      </c>
      <c r="W336" s="2" t="str">
        <f t="shared" si="52"/>
        <v/>
      </c>
      <c r="X336" s="2"/>
      <c r="Y336" s="2"/>
      <c r="Z336" s="2"/>
      <c r="AA336" s="2"/>
      <c r="AB336" s="2"/>
      <c r="AC336" s="2"/>
      <c r="AD336" s="2"/>
      <c r="AE336" s="2"/>
      <c r="AF336" s="2" t="str">
        <f t="shared" si="53"/>
        <v/>
      </c>
      <c r="AG336" s="2" t="str">
        <f t="shared" si="54"/>
        <v/>
      </c>
      <c r="AH336" s="2" t="str">
        <f>IF($AG336="","",IFERROR(VLOOKUP($AG336,DB_Categories_Export!$A:$B,2,FALSE()),"INVALID CATEGORY"))</f>
        <v/>
      </c>
      <c r="AI336" s="2" t="str">
        <f t="shared" si="55"/>
        <v/>
      </c>
      <c r="AJ336" s="2" t="str">
        <f t="shared" si="56"/>
        <v/>
      </c>
      <c r="AK336" s="2" t="str">
        <f t="shared" si="57"/>
        <v/>
      </c>
      <c r="AL336" s="2" t="str">
        <f t="shared" si="58"/>
        <v/>
      </c>
      <c r="AM336" s="2" t="str">
        <f t="shared" si="59"/>
        <v/>
      </c>
      <c r="AN336" s="2"/>
      <c r="AO336" s="2"/>
    </row>
    <row r="337" spans="1:41" ht="12" customHeight="1" x14ac:dyDescent="0.3">
      <c r="A337" s="2"/>
      <c r="B337" s="2" t="str">
        <f t="shared" si="50"/>
        <v/>
      </c>
      <c r="C337" s="2" t="str">
        <f t="shared" si="51"/>
        <v/>
      </c>
      <c r="D337" s="2" t="str">
        <f>IF(DB_Artworks_Export!A337="","",DB_Artworks_Export!A337)</f>
        <v/>
      </c>
      <c r="E337" s="2" t="str">
        <f>IF(DB_Artworks_Export!B337="","",DB_Artworks_Export!B337)</f>
        <v/>
      </c>
      <c r="F337" s="2" t="str">
        <f>IF(DB_Artworks_Export!C337="","",DB_Artworks_Export!C337)</f>
        <v/>
      </c>
      <c r="G337" s="2" t="str">
        <f>IF(DB_Artworks_Export!D337="","",DB_Artworks_Export!D337)</f>
        <v/>
      </c>
      <c r="H337" s="2" t="str">
        <f>IF(DB_Artworks_Export!E337="","",DB_Artworks_Export!E337)</f>
        <v/>
      </c>
      <c r="I337" s="2" t="str">
        <f>IF(DB_Artworks_Export!F337="","",DB_Artworks_Export!F337)</f>
        <v/>
      </c>
      <c r="J337" s="2" t="str">
        <f>IF(DB_Artworks_Export!G337="","",DB_Artworks_Export!G337)</f>
        <v/>
      </c>
      <c r="K337" s="2" t="str">
        <f>IF(DB_Artworks_Export!H337="","",DB_Artworks_Export!H337)</f>
        <v/>
      </c>
      <c r="L337" s="2" t="str">
        <f>IF(DB_Artworks_Export!I337="","",DB_Artworks_Export!I337)</f>
        <v/>
      </c>
      <c r="M337" s="2" t="str">
        <f>IF(DB_Artworks_Export!J337="","",DB_Artworks_Export!J337)</f>
        <v/>
      </c>
      <c r="N337" s="2" t="str">
        <f>IF(DB_Artworks_Export!K337="","",DB_Artworks_Export!K337)</f>
        <v/>
      </c>
      <c r="O337" s="2" t="str">
        <f>IF(DB_Artworks_Export!L337="","",DB_Artworks_Export!L337)</f>
        <v/>
      </c>
      <c r="P337" s="2" t="str">
        <f>IF(DB_Artworks_Export!M337="","",DB_Artworks_Export!M337)</f>
        <v/>
      </c>
      <c r="Q337" s="2" t="str">
        <f>IF(DB_Artworks_Export!N337="","",DB_Artworks_Export!N337)</f>
        <v/>
      </c>
      <c r="R337" s="2" t="str">
        <f>IF($D337="","",IF(COUNTIF(DB_Categories_Export!$A:$A,$F337)&gt;0,"OK","INVALID CATEGORY"))</f>
        <v/>
      </c>
      <c r="S337" s="2" t="str">
        <f>IF($D337="","",COUNTIF(DB_Artwork_Sizes_Export!$B:$B,$D337))</f>
        <v/>
      </c>
      <c r="T337" s="2" t="str">
        <f>IF($D337="","",IFERROR(INDEX(DB_Artwork_Sizes_Export!$D:$D,MATCH($D337,DB_Artwork_Sizes_Export!$B:$B,0)),""))</f>
        <v/>
      </c>
      <c r="U337" s="2" t="str">
        <f>IF($D337="","",IFERROR(INDEX(DB_Artwork_Sizes_Export!$E:$E,MATCH($D337,DB_Artwork_Sizes_Export!$B:$B,0)),""))</f>
        <v/>
      </c>
      <c r="V337" s="2" t="str">
        <f>IF($D337="","",IFERROR(INDEX(DB_Artwork_Sizes_Export!$F:$F,MATCH($D337,DB_Artwork_Sizes_Export!$B:$B,0)),""))</f>
        <v/>
      </c>
      <c r="W337" s="2" t="str">
        <f t="shared" si="52"/>
        <v/>
      </c>
      <c r="X337" s="2"/>
      <c r="Y337" s="2"/>
      <c r="Z337" s="2"/>
      <c r="AA337" s="2"/>
      <c r="AB337" s="2"/>
      <c r="AC337" s="2"/>
      <c r="AD337" s="2"/>
      <c r="AE337" s="2"/>
      <c r="AF337" s="2" t="str">
        <f t="shared" si="53"/>
        <v/>
      </c>
      <c r="AG337" s="2" t="str">
        <f t="shared" si="54"/>
        <v/>
      </c>
      <c r="AH337" s="2" t="str">
        <f>IF($AG337="","",IFERROR(VLOOKUP($AG337,DB_Categories_Export!$A:$B,2,FALSE()),"INVALID CATEGORY"))</f>
        <v/>
      </c>
      <c r="AI337" s="2" t="str">
        <f t="shared" si="55"/>
        <v/>
      </c>
      <c r="AJ337" s="2" t="str">
        <f t="shared" si="56"/>
        <v/>
      </c>
      <c r="AK337" s="2" t="str">
        <f t="shared" si="57"/>
        <v/>
      </c>
      <c r="AL337" s="2" t="str">
        <f t="shared" si="58"/>
        <v/>
      </c>
      <c r="AM337" s="2" t="str">
        <f t="shared" si="59"/>
        <v/>
      </c>
      <c r="AN337" s="2"/>
      <c r="AO337" s="2"/>
    </row>
    <row r="338" spans="1:41" ht="12" customHeight="1" x14ac:dyDescent="0.3">
      <c r="A338" s="2"/>
      <c r="B338" s="2" t="str">
        <f t="shared" si="50"/>
        <v/>
      </c>
      <c r="C338" s="2" t="str">
        <f t="shared" si="51"/>
        <v/>
      </c>
      <c r="D338" s="2" t="str">
        <f>IF(DB_Artworks_Export!A338="","",DB_Artworks_Export!A338)</f>
        <v/>
      </c>
      <c r="E338" s="2" t="str">
        <f>IF(DB_Artworks_Export!B338="","",DB_Artworks_Export!B338)</f>
        <v/>
      </c>
      <c r="F338" s="2" t="str">
        <f>IF(DB_Artworks_Export!C338="","",DB_Artworks_Export!C338)</f>
        <v/>
      </c>
      <c r="G338" s="2" t="str">
        <f>IF(DB_Artworks_Export!D338="","",DB_Artworks_Export!D338)</f>
        <v/>
      </c>
      <c r="H338" s="2" t="str">
        <f>IF(DB_Artworks_Export!E338="","",DB_Artworks_Export!E338)</f>
        <v/>
      </c>
      <c r="I338" s="2" t="str">
        <f>IF(DB_Artworks_Export!F338="","",DB_Artworks_Export!F338)</f>
        <v/>
      </c>
      <c r="J338" s="2" t="str">
        <f>IF(DB_Artworks_Export!G338="","",DB_Artworks_Export!G338)</f>
        <v/>
      </c>
      <c r="K338" s="2" t="str">
        <f>IF(DB_Artworks_Export!H338="","",DB_Artworks_Export!H338)</f>
        <v/>
      </c>
      <c r="L338" s="2" t="str">
        <f>IF(DB_Artworks_Export!I338="","",DB_Artworks_Export!I338)</f>
        <v/>
      </c>
      <c r="M338" s="2" t="str">
        <f>IF(DB_Artworks_Export!J338="","",DB_Artworks_Export!J338)</f>
        <v/>
      </c>
      <c r="N338" s="2" t="str">
        <f>IF(DB_Artworks_Export!K338="","",DB_Artworks_Export!K338)</f>
        <v/>
      </c>
      <c r="O338" s="2" t="str">
        <f>IF(DB_Artworks_Export!L338="","",DB_Artworks_Export!L338)</f>
        <v/>
      </c>
      <c r="P338" s="2" t="str">
        <f>IF(DB_Artworks_Export!M338="","",DB_Artworks_Export!M338)</f>
        <v/>
      </c>
      <c r="Q338" s="2" t="str">
        <f>IF(DB_Artworks_Export!N338="","",DB_Artworks_Export!N338)</f>
        <v/>
      </c>
      <c r="R338" s="2" t="str">
        <f>IF($D338="","",IF(COUNTIF(DB_Categories_Export!$A:$A,$F338)&gt;0,"OK","INVALID CATEGORY"))</f>
        <v/>
      </c>
      <c r="S338" s="2" t="str">
        <f>IF($D338="","",COUNTIF(DB_Artwork_Sizes_Export!$B:$B,$D338))</f>
        <v/>
      </c>
      <c r="T338" s="2" t="str">
        <f>IF($D338="","",IFERROR(INDEX(DB_Artwork_Sizes_Export!$D:$D,MATCH($D338,DB_Artwork_Sizes_Export!$B:$B,0)),""))</f>
        <v/>
      </c>
      <c r="U338" s="2" t="str">
        <f>IF($D338="","",IFERROR(INDEX(DB_Artwork_Sizes_Export!$E:$E,MATCH($D338,DB_Artwork_Sizes_Export!$B:$B,0)),""))</f>
        <v/>
      </c>
      <c r="V338" s="2" t="str">
        <f>IF($D338="","",IFERROR(INDEX(DB_Artwork_Sizes_Export!$F:$F,MATCH($D338,DB_Artwork_Sizes_Export!$B:$B,0)),""))</f>
        <v/>
      </c>
      <c r="W338" s="2" t="str">
        <f t="shared" si="52"/>
        <v/>
      </c>
      <c r="X338" s="2"/>
      <c r="Y338" s="2"/>
      <c r="Z338" s="2"/>
      <c r="AA338" s="2"/>
      <c r="AB338" s="2"/>
      <c r="AC338" s="2"/>
      <c r="AD338" s="2"/>
      <c r="AE338" s="2"/>
      <c r="AF338" s="2" t="str">
        <f t="shared" si="53"/>
        <v/>
      </c>
      <c r="AG338" s="2" t="str">
        <f t="shared" si="54"/>
        <v/>
      </c>
      <c r="AH338" s="2" t="str">
        <f>IF($AG338="","",IFERROR(VLOOKUP($AG338,DB_Categories_Export!$A:$B,2,FALSE()),"INVALID CATEGORY"))</f>
        <v/>
      </c>
      <c r="AI338" s="2" t="str">
        <f t="shared" si="55"/>
        <v/>
      </c>
      <c r="AJ338" s="2" t="str">
        <f t="shared" si="56"/>
        <v/>
      </c>
      <c r="AK338" s="2" t="str">
        <f t="shared" si="57"/>
        <v/>
      </c>
      <c r="AL338" s="2" t="str">
        <f t="shared" si="58"/>
        <v/>
      </c>
      <c r="AM338" s="2" t="str">
        <f t="shared" si="59"/>
        <v/>
      </c>
      <c r="AN338" s="2"/>
      <c r="AO338" s="2"/>
    </row>
    <row r="339" spans="1:41" ht="12" customHeight="1" x14ac:dyDescent="0.3">
      <c r="A339" s="2"/>
      <c r="B339" s="2" t="str">
        <f t="shared" si="50"/>
        <v/>
      </c>
      <c r="C339" s="2" t="str">
        <f t="shared" si="51"/>
        <v/>
      </c>
      <c r="D339" s="2" t="str">
        <f>IF(DB_Artworks_Export!A339="","",DB_Artworks_Export!A339)</f>
        <v/>
      </c>
      <c r="E339" s="2" t="str">
        <f>IF(DB_Artworks_Export!B339="","",DB_Artworks_Export!B339)</f>
        <v/>
      </c>
      <c r="F339" s="2" t="str">
        <f>IF(DB_Artworks_Export!C339="","",DB_Artworks_Export!C339)</f>
        <v/>
      </c>
      <c r="G339" s="2" t="str">
        <f>IF(DB_Artworks_Export!D339="","",DB_Artworks_Export!D339)</f>
        <v/>
      </c>
      <c r="H339" s="2" t="str">
        <f>IF(DB_Artworks_Export!E339="","",DB_Artworks_Export!E339)</f>
        <v/>
      </c>
      <c r="I339" s="2" t="str">
        <f>IF(DB_Artworks_Export!F339="","",DB_Artworks_Export!F339)</f>
        <v/>
      </c>
      <c r="J339" s="2" t="str">
        <f>IF(DB_Artworks_Export!G339="","",DB_Artworks_Export!G339)</f>
        <v/>
      </c>
      <c r="K339" s="2" t="str">
        <f>IF(DB_Artworks_Export!H339="","",DB_Artworks_Export!H339)</f>
        <v/>
      </c>
      <c r="L339" s="2" t="str">
        <f>IF(DB_Artworks_Export!I339="","",DB_Artworks_Export!I339)</f>
        <v/>
      </c>
      <c r="M339" s="2" t="str">
        <f>IF(DB_Artworks_Export!J339="","",DB_Artworks_Export!J339)</f>
        <v/>
      </c>
      <c r="N339" s="2" t="str">
        <f>IF(DB_Artworks_Export!K339="","",DB_Artworks_Export!K339)</f>
        <v/>
      </c>
      <c r="O339" s="2" t="str">
        <f>IF(DB_Artworks_Export!L339="","",DB_Artworks_Export!L339)</f>
        <v/>
      </c>
      <c r="P339" s="2" t="str">
        <f>IF(DB_Artworks_Export!M339="","",DB_Artworks_Export!M339)</f>
        <v/>
      </c>
      <c r="Q339" s="2" t="str">
        <f>IF(DB_Artworks_Export!N339="","",DB_Artworks_Export!N339)</f>
        <v/>
      </c>
      <c r="R339" s="2" t="str">
        <f>IF($D339="","",IF(COUNTIF(DB_Categories_Export!$A:$A,$F339)&gt;0,"OK","INVALID CATEGORY"))</f>
        <v/>
      </c>
      <c r="S339" s="2" t="str">
        <f>IF($D339="","",COUNTIF(DB_Artwork_Sizes_Export!$B:$B,$D339))</f>
        <v/>
      </c>
      <c r="T339" s="2" t="str">
        <f>IF($D339="","",IFERROR(INDEX(DB_Artwork_Sizes_Export!$D:$D,MATCH($D339,DB_Artwork_Sizes_Export!$B:$B,0)),""))</f>
        <v/>
      </c>
      <c r="U339" s="2" t="str">
        <f>IF($D339="","",IFERROR(INDEX(DB_Artwork_Sizes_Export!$E:$E,MATCH($D339,DB_Artwork_Sizes_Export!$B:$B,0)),""))</f>
        <v/>
      </c>
      <c r="V339" s="2" t="str">
        <f>IF($D339="","",IFERROR(INDEX(DB_Artwork_Sizes_Export!$F:$F,MATCH($D339,DB_Artwork_Sizes_Export!$B:$B,0)),""))</f>
        <v/>
      </c>
      <c r="W339" s="2" t="str">
        <f t="shared" si="52"/>
        <v/>
      </c>
      <c r="X339" s="2"/>
      <c r="Y339" s="2"/>
      <c r="Z339" s="2"/>
      <c r="AA339" s="2"/>
      <c r="AB339" s="2"/>
      <c r="AC339" s="2"/>
      <c r="AD339" s="2"/>
      <c r="AE339" s="2"/>
      <c r="AF339" s="2" t="str">
        <f t="shared" si="53"/>
        <v/>
      </c>
      <c r="AG339" s="2" t="str">
        <f t="shared" si="54"/>
        <v/>
      </c>
      <c r="AH339" s="2" t="str">
        <f>IF($AG339="","",IFERROR(VLOOKUP($AG339,DB_Categories_Export!$A:$B,2,FALSE()),"INVALID CATEGORY"))</f>
        <v/>
      </c>
      <c r="AI339" s="2" t="str">
        <f t="shared" si="55"/>
        <v/>
      </c>
      <c r="AJ339" s="2" t="str">
        <f t="shared" si="56"/>
        <v/>
      </c>
      <c r="AK339" s="2" t="str">
        <f t="shared" si="57"/>
        <v/>
      </c>
      <c r="AL339" s="2" t="str">
        <f t="shared" si="58"/>
        <v/>
      </c>
      <c r="AM339" s="2" t="str">
        <f t="shared" si="59"/>
        <v/>
      </c>
      <c r="AN339" s="2"/>
      <c r="AO339" s="2"/>
    </row>
    <row r="340" spans="1:41" ht="12" customHeight="1" x14ac:dyDescent="0.3">
      <c r="A340" s="2"/>
      <c r="B340" s="2" t="str">
        <f t="shared" si="50"/>
        <v/>
      </c>
      <c r="C340" s="2" t="str">
        <f t="shared" si="51"/>
        <v/>
      </c>
      <c r="D340" s="2" t="str">
        <f>IF(DB_Artworks_Export!A340="","",DB_Artworks_Export!A340)</f>
        <v/>
      </c>
      <c r="E340" s="2" t="str">
        <f>IF(DB_Artworks_Export!B340="","",DB_Artworks_Export!B340)</f>
        <v/>
      </c>
      <c r="F340" s="2" t="str">
        <f>IF(DB_Artworks_Export!C340="","",DB_Artworks_Export!C340)</f>
        <v/>
      </c>
      <c r="G340" s="2" t="str">
        <f>IF(DB_Artworks_Export!D340="","",DB_Artworks_Export!D340)</f>
        <v/>
      </c>
      <c r="H340" s="2" t="str">
        <f>IF(DB_Artworks_Export!E340="","",DB_Artworks_Export!E340)</f>
        <v/>
      </c>
      <c r="I340" s="2" t="str">
        <f>IF(DB_Artworks_Export!F340="","",DB_Artworks_Export!F340)</f>
        <v/>
      </c>
      <c r="J340" s="2" t="str">
        <f>IF(DB_Artworks_Export!G340="","",DB_Artworks_Export!G340)</f>
        <v/>
      </c>
      <c r="K340" s="2" t="str">
        <f>IF(DB_Artworks_Export!H340="","",DB_Artworks_Export!H340)</f>
        <v/>
      </c>
      <c r="L340" s="2" t="str">
        <f>IF(DB_Artworks_Export!I340="","",DB_Artworks_Export!I340)</f>
        <v/>
      </c>
      <c r="M340" s="2" t="str">
        <f>IF(DB_Artworks_Export!J340="","",DB_Artworks_Export!J340)</f>
        <v/>
      </c>
      <c r="N340" s="2" t="str">
        <f>IF(DB_Artworks_Export!K340="","",DB_Artworks_Export!K340)</f>
        <v/>
      </c>
      <c r="O340" s="2" t="str">
        <f>IF(DB_Artworks_Export!L340="","",DB_Artworks_Export!L340)</f>
        <v/>
      </c>
      <c r="P340" s="2" t="str">
        <f>IF(DB_Artworks_Export!M340="","",DB_Artworks_Export!M340)</f>
        <v/>
      </c>
      <c r="Q340" s="2" t="str">
        <f>IF(DB_Artworks_Export!N340="","",DB_Artworks_Export!N340)</f>
        <v/>
      </c>
      <c r="R340" s="2" t="str">
        <f>IF($D340="","",IF(COUNTIF(DB_Categories_Export!$A:$A,$F340)&gt;0,"OK","INVALID CATEGORY"))</f>
        <v/>
      </c>
      <c r="S340" s="2" t="str">
        <f>IF($D340="","",COUNTIF(DB_Artwork_Sizes_Export!$B:$B,$D340))</f>
        <v/>
      </c>
      <c r="T340" s="2" t="str">
        <f>IF($D340="","",IFERROR(INDEX(DB_Artwork_Sizes_Export!$D:$D,MATCH($D340,DB_Artwork_Sizes_Export!$B:$B,0)),""))</f>
        <v/>
      </c>
      <c r="U340" s="2" t="str">
        <f>IF($D340="","",IFERROR(INDEX(DB_Artwork_Sizes_Export!$E:$E,MATCH($D340,DB_Artwork_Sizes_Export!$B:$B,0)),""))</f>
        <v/>
      </c>
      <c r="V340" s="2" t="str">
        <f>IF($D340="","",IFERROR(INDEX(DB_Artwork_Sizes_Export!$F:$F,MATCH($D340,DB_Artwork_Sizes_Export!$B:$B,0)),""))</f>
        <v/>
      </c>
      <c r="W340" s="2" t="str">
        <f t="shared" si="52"/>
        <v/>
      </c>
      <c r="X340" s="2"/>
      <c r="Y340" s="2"/>
      <c r="Z340" s="2"/>
      <c r="AA340" s="2"/>
      <c r="AB340" s="2"/>
      <c r="AC340" s="2"/>
      <c r="AD340" s="2"/>
      <c r="AE340" s="2"/>
      <c r="AF340" s="2" t="str">
        <f t="shared" si="53"/>
        <v/>
      </c>
      <c r="AG340" s="2" t="str">
        <f t="shared" si="54"/>
        <v/>
      </c>
      <c r="AH340" s="2" t="str">
        <f>IF($AG340="","",IFERROR(VLOOKUP($AG340,DB_Categories_Export!$A:$B,2,FALSE()),"INVALID CATEGORY"))</f>
        <v/>
      </c>
      <c r="AI340" s="2" t="str">
        <f t="shared" si="55"/>
        <v/>
      </c>
      <c r="AJ340" s="2" t="str">
        <f t="shared" si="56"/>
        <v/>
      </c>
      <c r="AK340" s="2" t="str">
        <f t="shared" si="57"/>
        <v/>
      </c>
      <c r="AL340" s="2" t="str">
        <f t="shared" si="58"/>
        <v/>
      </c>
      <c r="AM340" s="2" t="str">
        <f t="shared" si="59"/>
        <v/>
      </c>
      <c r="AN340" s="2"/>
      <c r="AO340" s="2"/>
    </row>
    <row r="341" spans="1:41" ht="12" customHeight="1" x14ac:dyDescent="0.3">
      <c r="A341" s="2"/>
      <c r="B341" s="2" t="str">
        <f t="shared" si="50"/>
        <v/>
      </c>
      <c r="C341" s="2" t="str">
        <f t="shared" si="51"/>
        <v/>
      </c>
      <c r="D341" s="2" t="str">
        <f>IF(DB_Artworks_Export!A341="","",DB_Artworks_Export!A341)</f>
        <v/>
      </c>
      <c r="E341" s="2" t="str">
        <f>IF(DB_Artworks_Export!B341="","",DB_Artworks_Export!B341)</f>
        <v/>
      </c>
      <c r="F341" s="2" t="str">
        <f>IF(DB_Artworks_Export!C341="","",DB_Artworks_Export!C341)</f>
        <v/>
      </c>
      <c r="G341" s="2" t="str">
        <f>IF(DB_Artworks_Export!D341="","",DB_Artworks_Export!D341)</f>
        <v/>
      </c>
      <c r="H341" s="2" t="str">
        <f>IF(DB_Artworks_Export!E341="","",DB_Artworks_Export!E341)</f>
        <v/>
      </c>
      <c r="I341" s="2" t="str">
        <f>IF(DB_Artworks_Export!F341="","",DB_Artworks_Export!F341)</f>
        <v/>
      </c>
      <c r="J341" s="2" t="str">
        <f>IF(DB_Artworks_Export!G341="","",DB_Artworks_Export!G341)</f>
        <v/>
      </c>
      <c r="K341" s="2" t="str">
        <f>IF(DB_Artworks_Export!H341="","",DB_Artworks_Export!H341)</f>
        <v/>
      </c>
      <c r="L341" s="2" t="str">
        <f>IF(DB_Artworks_Export!I341="","",DB_Artworks_Export!I341)</f>
        <v/>
      </c>
      <c r="M341" s="2" t="str">
        <f>IF(DB_Artworks_Export!J341="","",DB_Artworks_Export!J341)</f>
        <v/>
      </c>
      <c r="N341" s="2" t="str">
        <f>IF(DB_Artworks_Export!K341="","",DB_Artworks_Export!K341)</f>
        <v/>
      </c>
      <c r="O341" s="2" t="str">
        <f>IF(DB_Artworks_Export!L341="","",DB_Artworks_Export!L341)</f>
        <v/>
      </c>
      <c r="P341" s="2" t="str">
        <f>IF(DB_Artworks_Export!M341="","",DB_Artworks_Export!M341)</f>
        <v/>
      </c>
      <c r="Q341" s="2" t="str">
        <f>IF(DB_Artworks_Export!N341="","",DB_Artworks_Export!N341)</f>
        <v/>
      </c>
      <c r="R341" s="2" t="str">
        <f>IF($D341="","",IF(COUNTIF(DB_Categories_Export!$A:$A,$F341)&gt;0,"OK","INVALID CATEGORY"))</f>
        <v/>
      </c>
      <c r="S341" s="2" t="str">
        <f>IF($D341="","",COUNTIF(DB_Artwork_Sizes_Export!$B:$B,$D341))</f>
        <v/>
      </c>
      <c r="T341" s="2" t="str">
        <f>IF($D341="","",IFERROR(INDEX(DB_Artwork_Sizes_Export!$D:$D,MATCH($D341,DB_Artwork_Sizes_Export!$B:$B,0)),""))</f>
        <v/>
      </c>
      <c r="U341" s="2" t="str">
        <f>IF($D341="","",IFERROR(INDEX(DB_Artwork_Sizes_Export!$E:$E,MATCH($D341,DB_Artwork_Sizes_Export!$B:$B,0)),""))</f>
        <v/>
      </c>
      <c r="V341" s="2" t="str">
        <f>IF($D341="","",IFERROR(INDEX(DB_Artwork_Sizes_Export!$F:$F,MATCH($D341,DB_Artwork_Sizes_Export!$B:$B,0)),""))</f>
        <v/>
      </c>
      <c r="W341" s="2" t="str">
        <f t="shared" si="52"/>
        <v/>
      </c>
      <c r="X341" s="2"/>
      <c r="Y341" s="2"/>
      <c r="Z341" s="2"/>
      <c r="AA341" s="2"/>
      <c r="AB341" s="2"/>
      <c r="AC341" s="2"/>
      <c r="AD341" s="2"/>
      <c r="AE341" s="2"/>
      <c r="AF341" s="2" t="str">
        <f t="shared" si="53"/>
        <v/>
      </c>
      <c r="AG341" s="2" t="str">
        <f t="shared" si="54"/>
        <v/>
      </c>
      <c r="AH341" s="2" t="str">
        <f>IF($AG341="","",IFERROR(VLOOKUP($AG341,DB_Categories_Export!$A:$B,2,FALSE()),"INVALID CATEGORY"))</f>
        <v/>
      </c>
      <c r="AI341" s="2" t="str">
        <f t="shared" si="55"/>
        <v/>
      </c>
      <c r="AJ341" s="2" t="str">
        <f t="shared" si="56"/>
        <v/>
      </c>
      <c r="AK341" s="2" t="str">
        <f t="shared" si="57"/>
        <v/>
      </c>
      <c r="AL341" s="2" t="str">
        <f t="shared" si="58"/>
        <v/>
      </c>
      <c r="AM341" s="2" t="str">
        <f t="shared" si="59"/>
        <v/>
      </c>
      <c r="AN341" s="2"/>
      <c r="AO341" s="2"/>
    </row>
    <row r="342" spans="1:41" ht="12" customHeight="1" x14ac:dyDescent="0.3">
      <c r="A342" s="2"/>
      <c r="B342" s="2" t="str">
        <f t="shared" si="50"/>
        <v/>
      </c>
      <c r="C342" s="2" t="str">
        <f t="shared" si="51"/>
        <v/>
      </c>
      <c r="D342" s="2" t="str">
        <f>IF(DB_Artworks_Export!A342="","",DB_Artworks_Export!A342)</f>
        <v/>
      </c>
      <c r="E342" s="2" t="str">
        <f>IF(DB_Artworks_Export!B342="","",DB_Artworks_Export!B342)</f>
        <v/>
      </c>
      <c r="F342" s="2" t="str">
        <f>IF(DB_Artworks_Export!C342="","",DB_Artworks_Export!C342)</f>
        <v/>
      </c>
      <c r="G342" s="2" t="str">
        <f>IF(DB_Artworks_Export!D342="","",DB_Artworks_Export!D342)</f>
        <v/>
      </c>
      <c r="H342" s="2" t="str">
        <f>IF(DB_Artworks_Export!E342="","",DB_Artworks_Export!E342)</f>
        <v/>
      </c>
      <c r="I342" s="2" t="str">
        <f>IF(DB_Artworks_Export!F342="","",DB_Artworks_Export!F342)</f>
        <v/>
      </c>
      <c r="J342" s="2" t="str">
        <f>IF(DB_Artworks_Export!G342="","",DB_Artworks_Export!G342)</f>
        <v/>
      </c>
      <c r="K342" s="2" t="str">
        <f>IF(DB_Artworks_Export!H342="","",DB_Artworks_Export!H342)</f>
        <v/>
      </c>
      <c r="L342" s="2" t="str">
        <f>IF(DB_Artworks_Export!I342="","",DB_Artworks_Export!I342)</f>
        <v/>
      </c>
      <c r="M342" s="2" t="str">
        <f>IF(DB_Artworks_Export!J342="","",DB_Artworks_Export!J342)</f>
        <v/>
      </c>
      <c r="N342" s="2" t="str">
        <f>IF(DB_Artworks_Export!K342="","",DB_Artworks_Export!K342)</f>
        <v/>
      </c>
      <c r="O342" s="2" t="str">
        <f>IF(DB_Artworks_Export!L342="","",DB_Artworks_Export!L342)</f>
        <v/>
      </c>
      <c r="P342" s="2" t="str">
        <f>IF(DB_Artworks_Export!M342="","",DB_Artworks_Export!M342)</f>
        <v/>
      </c>
      <c r="Q342" s="2" t="str">
        <f>IF(DB_Artworks_Export!N342="","",DB_Artworks_Export!N342)</f>
        <v/>
      </c>
      <c r="R342" s="2" t="str">
        <f>IF($D342="","",IF(COUNTIF(DB_Categories_Export!$A:$A,$F342)&gt;0,"OK","INVALID CATEGORY"))</f>
        <v/>
      </c>
      <c r="S342" s="2" t="str">
        <f>IF($D342="","",COUNTIF(DB_Artwork_Sizes_Export!$B:$B,$D342))</f>
        <v/>
      </c>
      <c r="T342" s="2" t="str">
        <f>IF($D342="","",IFERROR(INDEX(DB_Artwork_Sizes_Export!$D:$D,MATCH($D342,DB_Artwork_Sizes_Export!$B:$B,0)),""))</f>
        <v/>
      </c>
      <c r="U342" s="2" t="str">
        <f>IF($D342="","",IFERROR(INDEX(DB_Artwork_Sizes_Export!$E:$E,MATCH($D342,DB_Artwork_Sizes_Export!$B:$B,0)),""))</f>
        <v/>
      </c>
      <c r="V342" s="2" t="str">
        <f>IF($D342="","",IFERROR(INDEX(DB_Artwork_Sizes_Export!$F:$F,MATCH($D342,DB_Artwork_Sizes_Export!$B:$B,0)),""))</f>
        <v/>
      </c>
      <c r="W342" s="2" t="str">
        <f t="shared" si="52"/>
        <v/>
      </c>
      <c r="X342" s="2"/>
      <c r="Y342" s="2"/>
      <c r="Z342" s="2"/>
      <c r="AA342" s="2"/>
      <c r="AB342" s="2"/>
      <c r="AC342" s="2"/>
      <c r="AD342" s="2"/>
      <c r="AE342" s="2"/>
      <c r="AF342" s="2" t="str">
        <f t="shared" si="53"/>
        <v/>
      </c>
      <c r="AG342" s="2" t="str">
        <f t="shared" si="54"/>
        <v/>
      </c>
      <c r="AH342" s="2" t="str">
        <f>IF($AG342="","",IFERROR(VLOOKUP($AG342,DB_Categories_Export!$A:$B,2,FALSE()),"INVALID CATEGORY"))</f>
        <v/>
      </c>
      <c r="AI342" s="2" t="str">
        <f t="shared" si="55"/>
        <v/>
      </c>
      <c r="AJ342" s="2" t="str">
        <f t="shared" si="56"/>
        <v/>
      </c>
      <c r="AK342" s="2" t="str">
        <f t="shared" si="57"/>
        <v/>
      </c>
      <c r="AL342" s="2" t="str">
        <f t="shared" si="58"/>
        <v/>
      </c>
      <c r="AM342" s="2" t="str">
        <f t="shared" si="59"/>
        <v/>
      </c>
      <c r="AN342" s="2"/>
      <c r="AO342" s="2"/>
    </row>
    <row r="343" spans="1:41" ht="12" customHeight="1" x14ac:dyDescent="0.3">
      <c r="A343" s="2"/>
      <c r="B343" s="2" t="str">
        <f t="shared" si="50"/>
        <v/>
      </c>
      <c r="C343" s="2" t="str">
        <f t="shared" si="51"/>
        <v/>
      </c>
      <c r="D343" s="2" t="str">
        <f>IF(DB_Artworks_Export!A343="","",DB_Artworks_Export!A343)</f>
        <v/>
      </c>
      <c r="E343" s="2" t="str">
        <f>IF(DB_Artworks_Export!B343="","",DB_Artworks_Export!B343)</f>
        <v/>
      </c>
      <c r="F343" s="2" t="str">
        <f>IF(DB_Artworks_Export!C343="","",DB_Artworks_Export!C343)</f>
        <v/>
      </c>
      <c r="G343" s="2" t="str">
        <f>IF(DB_Artworks_Export!D343="","",DB_Artworks_Export!D343)</f>
        <v/>
      </c>
      <c r="H343" s="2" t="str">
        <f>IF(DB_Artworks_Export!E343="","",DB_Artworks_Export!E343)</f>
        <v/>
      </c>
      <c r="I343" s="2" t="str">
        <f>IF(DB_Artworks_Export!F343="","",DB_Artworks_Export!F343)</f>
        <v/>
      </c>
      <c r="J343" s="2" t="str">
        <f>IF(DB_Artworks_Export!G343="","",DB_Artworks_Export!G343)</f>
        <v/>
      </c>
      <c r="K343" s="2" t="str">
        <f>IF(DB_Artworks_Export!H343="","",DB_Artworks_Export!H343)</f>
        <v/>
      </c>
      <c r="L343" s="2" t="str">
        <f>IF(DB_Artworks_Export!I343="","",DB_Artworks_Export!I343)</f>
        <v/>
      </c>
      <c r="M343" s="2" t="str">
        <f>IF(DB_Artworks_Export!J343="","",DB_Artworks_Export!J343)</f>
        <v/>
      </c>
      <c r="N343" s="2" t="str">
        <f>IF(DB_Artworks_Export!K343="","",DB_Artworks_Export!K343)</f>
        <v/>
      </c>
      <c r="O343" s="2" t="str">
        <f>IF(DB_Artworks_Export!L343="","",DB_Artworks_Export!L343)</f>
        <v/>
      </c>
      <c r="P343" s="2" t="str">
        <f>IF(DB_Artworks_Export!M343="","",DB_Artworks_Export!M343)</f>
        <v/>
      </c>
      <c r="Q343" s="2" t="str">
        <f>IF(DB_Artworks_Export!N343="","",DB_Artworks_Export!N343)</f>
        <v/>
      </c>
      <c r="R343" s="2" t="str">
        <f>IF($D343="","",IF(COUNTIF(DB_Categories_Export!$A:$A,$F343)&gt;0,"OK","INVALID CATEGORY"))</f>
        <v/>
      </c>
      <c r="S343" s="2" t="str">
        <f>IF($D343="","",COUNTIF(DB_Artwork_Sizes_Export!$B:$B,$D343))</f>
        <v/>
      </c>
      <c r="T343" s="2" t="str">
        <f>IF($D343="","",IFERROR(INDEX(DB_Artwork_Sizes_Export!$D:$D,MATCH($D343,DB_Artwork_Sizes_Export!$B:$B,0)),""))</f>
        <v/>
      </c>
      <c r="U343" s="2" t="str">
        <f>IF($D343="","",IFERROR(INDEX(DB_Artwork_Sizes_Export!$E:$E,MATCH($D343,DB_Artwork_Sizes_Export!$B:$B,0)),""))</f>
        <v/>
      </c>
      <c r="V343" s="2" t="str">
        <f>IF($D343="","",IFERROR(INDEX(DB_Artwork_Sizes_Export!$F:$F,MATCH($D343,DB_Artwork_Sizes_Export!$B:$B,0)),""))</f>
        <v/>
      </c>
      <c r="W343" s="2" t="str">
        <f t="shared" si="52"/>
        <v/>
      </c>
      <c r="X343" s="2"/>
      <c r="Y343" s="2"/>
      <c r="Z343" s="2"/>
      <c r="AA343" s="2"/>
      <c r="AB343" s="2"/>
      <c r="AC343" s="2"/>
      <c r="AD343" s="2"/>
      <c r="AE343" s="2"/>
      <c r="AF343" s="2" t="str">
        <f t="shared" si="53"/>
        <v/>
      </c>
      <c r="AG343" s="2" t="str">
        <f t="shared" si="54"/>
        <v/>
      </c>
      <c r="AH343" s="2" t="str">
        <f>IF($AG343="","",IFERROR(VLOOKUP($AG343,DB_Categories_Export!$A:$B,2,FALSE()),"INVALID CATEGORY"))</f>
        <v/>
      </c>
      <c r="AI343" s="2" t="str">
        <f t="shared" si="55"/>
        <v/>
      </c>
      <c r="AJ343" s="2" t="str">
        <f t="shared" si="56"/>
        <v/>
      </c>
      <c r="AK343" s="2" t="str">
        <f t="shared" si="57"/>
        <v/>
      </c>
      <c r="AL343" s="2" t="str">
        <f t="shared" si="58"/>
        <v/>
      </c>
      <c r="AM343" s="2" t="str">
        <f t="shared" si="59"/>
        <v/>
      </c>
      <c r="AN343" s="2"/>
      <c r="AO343" s="2"/>
    </row>
    <row r="344" spans="1:41" ht="12" customHeight="1" x14ac:dyDescent="0.3">
      <c r="A344" s="2"/>
      <c r="B344" s="2" t="str">
        <f t="shared" si="50"/>
        <v/>
      </c>
      <c r="C344" s="2" t="str">
        <f t="shared" si="51"/>
        <v/>
      </c>
      <c r="D344" s="2" t="str">
        <f>IF(DB_Artworks_Export!A344="","",DB_Artworks_Export!A344)</f>
        <v/>
      </c>
      <c r="E344" s="2" t="str">
        <f>IF(DB_Artworks_Export!B344="","",DB_Artworks_Export!B344)</f>
        <v/>
      </c>
      <c r="F344" s="2" t="str">
        <f>IF(DB_Artworks_Export!C344="","",DB_Artworks_Export!C344)</f>
        <v/>
      </c>
      <c r="G344" s="2" t="str">
        <f>IF(DB_Artworks_Export!D344="","",DB_Artworks_Export!D344)</f>
        <v/>
      </c>
      <c r="H344" s="2" t="str">
        <f>IF(DB_Artworks_Export!E344="","",DB_Artworks_Export!E344)</f>
        <v/>
      </c>
      <c r="I344" s="2" t="str">
        <f>IF(DB_Artworks_Export!F344="","",DB_Artworks_Export!F344)</f>
        <v/>
      </c>
      <c r="J344" s="2" t="str">
        <f>IF(DB_Artworks_Export!G344="","",DB_Artworks_Export!G344)</f>
        <v/>
      </c>
      <c r="K344" s="2" t="str">
        <f>IF(DB_Artworks_Export!H344="","",DB_Artworks_Export!H344)</f>
        <v/>
      </c>
      <c r="L344" s="2" t="str">
        <f>IF(DB_Artworks_Export!I344="","",DB_Artworks_Export!I344)</f>
        <v/>
      </c>
      <c r="M344" s="2" t="str">
        <f>IF(DB_Artworks_Export!J344="","",DB_Artworks_Export!J344)</f>
        <v/>
      </c>
      <c r="N344" s="2" t="str">
        <f>IF(DB_Artworks_Export!K344="","",DB_Artworks_Export!K344)</f>
        <v/>
      </c>
      <c r="O344" s="2" t="str">
        <f>IF(DB_Artworks_Export!L344="","",DB_Artworks_Export!L344)</f>
        <v/>
      </c>
      <c r="P344" s="2" t="str">
        <f>IF(DB_Artworks_Export!M344="","",DB_Artworks_Export!M344)</f>
        <v/>
      </c>
      <c r="Q344" s="2" t="str">
        <f>IF(DB_Artworks_Export!N344="","",DB_Artworks_Export!N344)</f>
        <v/>
      </c>
      <c r="R344" s="2" t="str">
        <f>IF($D344="","",IF(COUNTIF(DB_Categories_Export!$A:$A,$F344)&gt;0,"OK","INVALID CATEGORY"))</f>
        <v/>
      </c>
      <c r="S344" s="2" t="str">
        <f>IF($D344="","",COUNTIF(DB_Artwork_Sizes_Export!$B:$B,$D344))</f>
        <v/>
      </c>
      <c r="T344" s="2" t="str">
        <f>IF($D344="","",IFERROR(INDEX(DB_Artwork_Sizes_Export!$D:$D,MATCH($D344,DB_Artwork_Sizes_Export!$B:$B,0)),""))</f>
        <v/>
      </c>
      <c r="U344" s="2" t="str">
        <f>IF($D344="","",IFERROR(INDEX(DB_Artwork_Sizes_Export!$E:$E,MATCH($D344,DB_Artwork_Sizes_Export!$B:$B,0)),""))</f>
        <v/>
      </c>
      <c r="V344" s="2" t="str">
        <f>IF($D344="","",IFERROR(INDEX(DB_Artwork_Sizes_Export!$F:$F,MATCH($D344,DB_Artwork_Sizes_Export!$B:$B,0)),""))</f>
        <v/>
      </c>
      <c r="W344" s="2" t="str">
        <f t="shared" si="52"/>
        <v/>
      </c>
      <c r="X344" s="2"/>
      <c r="Y344" s="2"/>
      <c r="Z344" s="2"/>
      <c r="AA344" s="2"/>
      <c r="AB344" s="2"/>
      <c r="AC344" s="2"/>
      <c r="AD344" s="2"/>
      <c r="AE344" s="2"/>
      <c r="AF344" s="2" t="str">
        <f t="shared" si="53"/>
        <v/>
      </c>
      <c r="AG344" s="2" t="str">
        <f t="shared" si="54"/>
        <v/>
      </c>
      <c r="AH344" s="2" t="str">
        <f>IF($AG344="","",IFERROR(VLOOKUP($AG344,DB_Categories_Export!$A:$B,2,FALSE()),"INVALID CATEGORY"))</f>
        <v/>
      </c>
      <c r="AI344" s="2" t="str">
        <f t="shared" si="55"/>
        <v/>
      </c>
      <c r="AJ344" s="2" t="str">
        <f t="shared" si="56"/>
        <v/>
      </c>
      <c r="AK344" s="2" t="str">
        <f t="shared" si="57"/>
        <v/>
      </c>
      <c r="AL344" s="2" t="str">
        <f t="shared" si="58"/>
        <v/>
      </c>
      <c r="AM344" s="2" t="str">
        <f t="shared" si="59"/>
        <v/>
      </c>
      <c r="AN344" s="2"/>
      <c r="AO344" s="2"/>
    </row>
    <row r="345" spans="1:41" ht="12" customHeight="1" x14ac:dyDescent="0.3">
      <c r="A345" s="2"/>
      <c r="B345" s="2" t="str">
        <f t="shared" si="50"/>
        <v/>
      </c>
      <c r="C345" s="2" t="str">
        <f t="shared" si="51"/>
        <v/>
      </c>
      <c r="D345" s="2" t="str">
        <f>IF(DB_Artworks_Export!A345="","",DB_Artworks_Export!A345)</f>
        <v/>
      </c>
      <c r="E345" s="2" t="str">
        <f>IF(DB_Artworks_Export!B345="","",DB_Artworks_Export!B345)</f>
        <v/>
      </c>
      <c r="F345" s="2" t="str">
        <f>IF(DB_Artworks_Export!C345="","",DB_Artworks_Export!C345)</f>
        <v/>
      </c>
      <c r="G345" s="2" t="str">
        <f>IF(DB_Artworks_Export!D345="","",DB_Artworks_Export!D345)</f>
        <v/>
      </c>
      <c r="H345" s="2" t="str">
        <f>IF(DB_Artworks_Export!E345="","",DB_Artworks_Export!E345)</f>
        <v/>
      </c>
      <c r="I345" s="2" t="str">
        <f>IF(DB_Artworks_Export!F345="","",DB_Artworks_Export!F345)</f>
        <v/>
      </c>
      <c r="J345" s="2" t="str">
        <f>IF(DB_Artworks_Export!G345="","",DB_Artworks_Export!G345)</f>
        <v/>
      </c>
      <c r="K345" s="2" t="str">
        <f>IF(DB_Artworks_Export!H345="","",DB_Artworks_Export!H345)</f>
        <v/>
      </c>
      <c r="L345" s="2" t="str">
        <f>IF(DB_Artworks_Export!I345="","",DB_Artworks_Export!I345)</f>
        <v/>
      </c>
      <c r="M345" s="2" t="str">
        <f>IF(DB_Artworks_Export!J345="","",DB_Artworks_Export!J345)</f>
        <v/>
      </c>
      <c r="N345" s="2" t="str">
        <f>IF(DB_Artworks_Export!K345="","",DB_Artworks_Export!K345)</f>
        <v/>
      </c>
      <c r="O345" s="2" t="str">
        <f>IF(DB_Artworks_Export!L345="","",DB_Artworks_Export!L345)</f>
        <v/>
      </c>
      <c r="P345" s="2" t="str">
        <f>IF(DB_Artworks_Export!M345="","",DB_Artworks_Export!M345)</f>
        <v/>
      </c>
      <c r="Q345" s="2" t="str">
        <f>IF(DB_Artworks_Export!N345="","",DB_Artworks_Export!N345)</f>
        <v/>
      </c>
      <c r="R345" s="2" t="str">
        <f>IF($D345="","",IF(COUNTIF(DB_Categories_Export!$A:$A,$F345)&gt;0,"OK","INVALID CATEGORY"))</f>
        <v/>
      </c>
      <c r="S345" s="2" t="str">
        <f>IF($D345="","",COUNTIF(DB_Artwork_Sizes_Export!$B:$B,$D345))</f>
        <v/>
      </c>
      <c r="T345" s="2" t="str">
        <f>IF($D345="","",IFERROR(INDEX(DB_Artwork_Sizes_Export!$D:$D,MATCH($D345,DB_Artwork_Sizes_Export!$B:$B,0)),""))</f>
        <v/>
      </c>
      <c r="U345" s="2" t="str">
        <f>IF($D345="","",IFERROR(INDEX(DB_Artwork_Sizes_Export!$E:$E,MATCH($D345,DB_Artwork_Sizes_Export!$B:$B,0)),""))</f>
        <v/>
      </c>
      <c r="V345" s="2" t="str">
        <f>IF($D345="","",IFERROR(INDEX(DB_Artwork_Sizes_Export!$F:$F,MATCH($D345,DB_Artwork_Sizes_Export!$B:$B,0)),""))</f>
        <v/>
      </c>
      <c r="W345" s="2" t="str">
        <f t="shared" si="52"/>
        <v/>
      </c>
      <c r="X345" s="2"/>
      <c r="Y345" s="2"/>
      <c r="Z345" s="2"/>
      <c r="AA345" s="2"/>
      <c r="AB345" s="2"/>
      <c r="AC345" s="2"/>
      <c r="AD345" s="2"/>
      <c r="AE345" s="2"/>
      <c r="AF345" s="2" t="str">
        <f t="shared" si="53"/>
        <v/>
      </c>
      <c r="AG345" s="2" t="str">
        <f t="shared" si="54"/>
        <v/>
      </c>
      <c r="AH345" s="2" t="str">
        <f>IF($AG345="","",IFERROR(VLOOKUP($AG345,DB_Categories_Export!$A:$B,2,FALSE()),"INVALID CATEGORY"))</f>
        <v/>
      </c>
      <c r="AI345" s="2" t="str">
        <f t="shared" si="55"/>
        <v/>
      </c>
      <c r="AJ345" s="2" t="str">
        <f t="shared" si="56"/>
        <v/>
      </c>
      <c r="AK345" s="2" t="str">
        <f t="shared" si="57"/>
        <v/>
      </c>
      <c r="AL345" s="2" t="str">
        <f t="shared" si="58"/>
        <v/>
      </c>
      <c r="AM345" s="2" t="str">
        <f t="shared" si="59"/>
        <v/>
      </c>
      <c r="AN345" s="2"/>
      <c r="AO345" s="2"/>
    </row>
    <row r="346" spans="1:41" ht="12" customHeight="1" x14ac:dyDescent="0.3">
      <c r="A346" s="2"/>
      <c r="B346" s="2" t="str">
        <f t="shared" si="50"/>
        <v/>
      </c>
      <c r="C346" s="2" t="str">
        <f t="shared" si="51"/>
        <v/>
      </c>
      <c r="D346" s="2" t="str">
        <f>IF(DB_Artworks_Export!A346="","",DB_Artworks_Export!A346)</f>
        <v/>
      </c>
      <c r="E346" s="2" t="str">
        <f>IF(DB_Artworks_Export!B346="","",DB_Artworks_Export!B346)</f>
        <v/>
      </c>
      <c r="F346" s="2" t="str">
        <f>IF(DB_Artworks_Export!C346="","",DB_Artworks_Export!C346)</f>
        <v/>
      </c>
      <c r="G346" s="2" t="str">
        <f>IF(DB_Artworks_Export!D346="","",DB_Artworks_Export!D346)</f>
        <v/>
      </c>
      <c r="H346" s="2" t="str">
        <f>IF(DB_Artworks_Export!E346="","",DB_Artworks_Export!E346)</f>
        <v/>
      </c>
      <c r="I346" s="2" t="str">
        <f>IF(DB_Artworks_Export!F346="","",DB_Artworks_Export!F346)</f>
        <v/>
      </c>
      <c r="J346" s="2" t="str">
        <f>IF(DB_Artworks_Export!G346="","",DB_Artworks_Export!G346)</f>
        <v/>
      </c>
      <c r="K346" s="2" t="str">
        <f>IF(DB_Artworks_Export!H346="","",DB_Artworks_Export!H346)</f>
        <v/>
      </c>
      <c r="L346" s="2" t="str">
        <f>IF(DB_Artworks_Export!I346="","",DB_Artworks_Export!I346)</f>
        <v/>
      </c>
      <c r="M346" s="2" t="str">
        <f>IF(DB_Artworks_Export!J346="","",DB_Artworks_Export!J346)</f>
        <v/>
      </c>
      <c r="N346" s="2" t="str">
        <f>IF(DB_Artworks_Export!K346="","",DB_Artworks_Export!K346)</f>
        <v/>
      </c>
      <c r="O346" s="2" t="str">
        <f>IF(DB_Artworks_Export!L346="","",DB_Artworks_Export!L346)</f>
        <v/>
      </c>
      <c r="P346" s="2" t="str">
        <f>IF(DB_Artworks_Export!M346="","",DB_Artworks_Export!M346)</f>
        <v/>
      </c>
      <c r="Q346" s="2" t="str">
        <f>IF(DB_Artworks_Export!N346="","",DB_Artworks_Export!N346)</f>
        <v/>
      </c>
      <c r="R346" s="2" t="str">
        <f>IF($D346="","",IF(COUNTIF(DB_Categories_Export!$A:$A,$F346)&gt;0,"OK","INVALID CATEGORY"))</f>
        <v/>
      </c>
      <c r="S346" s="2" t="str">
        <f>IF($D346="","",COUNTIF(DB_Artwork_Sizes_Export!$B:$B,$D346))</f>
        <v/>
      </c>
      <c r="T346" s="2" t="str">
        <f>IF($D346="","",IFERROR(INDEX(DB_Artwork_Sizes_Export!$D:$D,MATCH($D346,DB_Artwork_Sizes_Export!$B:$B,0)),""))</f>
        <v/>
      </c>
      <c r="U346" s="2" t="str">
        <f>IF($D346="","",IFERROR(INDEX(DB_Artwork_Sizes_Export!$E:$E,MATCH($D346,DB_Artwork_Sizes_Export!$B:$B,0)),""))</f>
        <v/>
      </c>
      <c r="V346" s="2" t="str">
        <f>IF($D346="","",IFERROR(INDEX(DB_Artwork_Sizes_Export!$F:$F,MATCH($D346,DB_Artwork_Sizes_Export!$B:$B,0)),""))</f>
        <v/>
      </c>
      <c r="W346" s="2" t="str">
        <f t="shared" si="52"/>
        <v/>
      </c>
      <c r="X346" s="2"/>
      <c r="Y346" s="2"/>
      <c r="Z346" s="2"/>
      <c r="AA346" s="2"/>
      <c r="AB346" s="2"/>
      <c r="AC346" s="2"/>
      <c r="AD346" s="2"/>
      <c r="AE346" s="2"/>
      <c r="AF346" s="2" t="str">
        <f t="shared" si="53"/>
        <v/>
      </c>
      <c r="AG346" s="2" t="str">
        <f t="shared" si="54"/>
        <v/>
      </c>
      <c r="AH346" s="2" t="str">
        <f>IF($AG346="","",IFERROR(VLOOKUP($AG346,DB_Categories_Export!$A:$B,2,FALSE()),"INVALID CATEGORY"))</f>
        <v/>
      </c>
      <c r="AI346" s="2" t="str">
        <f t="shared" si="55"/>
        <v/>
      </c>
      <c r="AJ346" s="2" t="str">
        <f t="shared" si="56"/>
        <v/>
      </c>
      <c r="AK346" s="2" t="str">
        <f t="shared" si="57"/>
        <v/>
      </c>
      <c r="AL346" s="2" t="str">
        <f t="shared" si="58"/>
        <v/>
      </c>
      <c r="AM346" s="2" t="str">
        <f t="shared" si="59"/>
        <v/>
      </c>
      <c r="AN346" s="2"/>
      <c r="AO346" s="2"/>
    </row>
    <row r="347" spans="1:41" ht="12" customHeight="1" x14ac:dyDescent="0.3">
      <c r="A347" s="2"/>
      <c r="B347" s="2" t="str">
        <f t="shared" si="50"/>
        <v/>
      </c>
      <c r="C347" s="2" t="str">
        <f t="shared" si="51"/>
        <v/>
      </c>
      <c r="D347" s="2" t="str">
        <f>IF(DB_Artworks_Export!A347="","",DB_Artworks_Export!A347)</f>
        <v/>
      </c>
      <c r="E347" s="2" t="str">
        <f>IF(DB_Artworks_Export!B347="","",DB_Artworks_Export!B347)</f>
        <v/>
      </c>
      <c r="F347" s="2" t="str">
        <f>IF(DB_Artworks_Export!C347="","",DB_Artworks_Export!C347)</f>
        <v/>
      </c>
      <c r="G347" s="2" t="str">
        <f>IF(DB_Artworks_Export!D347="","",DB_Artworks_Export!D347)</f>
        <v/>
      </c>
      <c r="H347" s="2" t="str">
        <f>IF(DB_Artworks_Export!E347="","",DB_Artworks_Export!E347)</f>
        <v/>
      </c>
      <c r="I347" s="2" t="str">
        <f>IF(DB_Artworks_Export!F347="","",DB_Artworks_Export!F347)</f>
        <v/>
      </c>
      <c r="J347" s="2" t="str">
        <f>IF(DB_Artworks_Export!G347="","",DB_Artworks_Export!G347)</f>
        <v/>
      </c>
      <c r="K347" s="2" t="str">
        <f>IF(DB_Artworks_Export!H347="","",DB_Artworks_Export!H347)</f>
        <v/>
      </c>
      <c r="L347" s="2" t="str">
        <f>IF(DB_Artworks_Export!I347="","",DB_Artworks_Export!I347)</f>
        <v/>
      </c>
      <c r="M347" s="2" t="str">
        <f>IF(DB_Artworks_Export!J347="","",DB_Artworks_Export!J347)</f>
        <v/>
      </c>
      <c r="N347" s="2" t="str">
        <f>IF(DB_Artworks_Export!K347="","",DB_Artworks_Export!K347)</f>
        <v/>
      </c>
      <c r="O347" s="2" t="str">
        <f>IF(DB_Artworks_Export!L347="","",DB_Artworks_Export!L347)</f>
        <v/>
      </c>
      <c r="P347" s="2" t="str">
        <f>IF(DB_Artworks_Export!M347="","",DB_Artworks_Export!M347)</f>
        <v/>
      </c>
      <c r="Q347" s="2" t="str">
        <f>IF(DB_Artworks_Export!N347="","",DB_Artworks_Export!N347)</f>
        <v/>
      </c>
      <c r="R347" s="2" t="str">
        <f>IF($D347="","",IF(COUNTIF(DB_Categories_Export!$A:$A,$F347)&gt;0,"OK","INVALID CATEGORY"))</f>
        <v/>
      </c>
      <c r="S347" s="2" t="str">
        <f>IF($D347="","",COUNTIF(DB_Artwork_Sizes_Export!$B:$B,$D347))</f>
        <v/>
      </c>
      <c r="T347" s="2" t="str">
        <f>IF($D347="","",IFERROR(INDEX(DB_Artwork_Sizes_Export!$D:$D,MATCH($D347,DB_Artwork_Sizes_Export!$B:$B,0)),""))</f>
        <v/>
      </c>
      <c r="U347" s="2" t="str">
        <f>IF($D347="","",IFERROR(INDEX(DB_Artwork_Sizes_Export!$E:$E,MATCH($D347,DB_Artwork_Sizes_Export!$B:$B,0)),""))</f>
        <v/>
      </c>
      <c r="V347" s="2" t="str">
        <f>IF($D347="","",IFERROR(INDEX(DB_Artwork_Sizes_Export!$F:$F,MATCH($D347,DB_Artwork_Sizes_Export!$B:$B,0)),""))</f>
        <v/>
      </c>
      <c r="W347" s="2" t="str">
        <f t="shared" si="52"/>
        <v/>
      </c>
      <c r="X347" s="2"/>
      <c r="Y347" s="2"/>
      <c r="Z347" s="2"/>
      <c r="AA347" s="2"/>
      <c r="AB347" s="2"/>
      <c r="AC347" s="2"/>
      <c r="AD347" s="2"/>
      <c r="AE347" s="2"/>
      <c r="AF347" s="2" t="str">
        <f t="shared" si="53"/>
        <v/>
      </c>
      <c r="AG347" s="2" t="str">
        <f t="shared" si="54"/>
        <v/>
      </c>
      <c r="AH347" s="2" t="str">
        <f>IF($AG347="","",IFERROR(VLOOKUP($AG347,DB_Categories_Export!$A:$B,2,FALSE()),"INVALID CATEGORY"))</f>
        <v/>
      </c>
      <c r="AI347" s="2" t="str">
        <f t="shared" si="55"/>
        <v/>
      </c>
      <c r="AJ347" s="2" t="str">
        <f t="shared" si="56"/>
        <v/>
      </c>
      <c r="AK347" s="2" t="str">
        <f t="shared" si="57"/>
        <v/>
      </c>
      <c r="AL347" s="2" t="str">
        <f t="shared" si="58"/>
        <v/>
      </c>
      <c r="AM347" s="2" t="str">
        <f t="shared" si="59"/>
        <v/>
      </c>
      <c r="AN347" s="2"/>
      <c r="AO347" s="2"/>
    </row>
    <row r="348" spans="1:41" ht="12" customHeight="1" x14ac:dyDescent="0.3">
      <c r="A348" s="2"/>
      <c r="B348" s="2" t="str">
        <f t="shared" si="50"/>
        <v/>
      </c>
      <c r="C348" s="2" t="str">
        <f t="shared" si="51"/>
        <v/>
      </c>
      <c r="D348" s="2" t="str">
        <f>IF(DB_Artworks_Export!A348="","",DB_Artworks_Export!A348)</f>
        <v/>
      </c>
      <c r="E348" s="2" t="str">
        <f>IF(DB_Artworks_Export!B348="","",DB_Artworks_Export!B348)</f>
        <v/>
      </c>
      <c r="F348" s="2" t="str">
        <f>IF(DB_Artworks_Export!C348="","",DB_Artworks_Export!C348)</f>
        <v/>
      </c>
      <c r="G348" s="2" t="str">
        <f>IF(DB_Artworks_Export!D348="","",DB_Artworks_Export!D348)</f>
        <v/>
      </c>
      <c r="H348" s="2" t="str">
        <f>IF(DB_Artworks_Export!E348="","",DB_Artworks_Export!E348)</f>
        <v/>
      </c>
      <c r="I348" s="2" t="str">
        <f>IF(DB_Artworks_Export!F348="","",DB_Artworks_Export!F348)</f>
        <v/>
      </c>
      <c r="J348" s="2" t="str">
        <f>IF(DB_Artworks_Export!G348="","",DB_Artworks_Export!G348)</f>
        <v/>
      </c>
      <c r="K348" s="2" t="str">
        <f>IF(DB_Artworks_Export!H348="","",DB_Artworks_Export!H348)</f>
        <v/>
      </c>
      <c r="L348" s="2" t="str">
        <f>IF(DB_Artworks_Export!I348="","",DB_Artworks_Export!I348)</f>
        <v/>
      </c>
      <c r="M348" s="2" t="str">
        <f>IF(DB_Artworks_Export!J348="","",DB_Artworks_Export!J348)</f>
        <v/>
      </c>
      <c r="N348" s="2" t="str">
        <f>IF(DB_Artworks_Export!K348="","",DB_Artworks_Export!K348)</f>
        <v/>
      </c>
      <c r="O348" s="2" t="str">
        <f>IF(DB_Artworks_Export!L348="","",DB_Artworks_Export!L348)</f>
        <v/>
      </c>
      <c r="P348" s="2" t="str">
        <f>IF(DB_Artworks_Export!M348="","",DB_Artworks_Export!M348)</f>
        <v/>
      </c>
      <c r="Q348" s="2" t="str">
        <f>IF(DB_Artworks_Export!N348="","",DB_Artworks_Export!N348)</f>
        <v/>
      </c>
      <c r="R348" s="2" t="str">
        <f>IF($D348="","",IF(COUNTIF(DB_Categories_Export!$A:$A,$F348)&gt;0,"OK","INVALID CATEGORY"))</f>
        <v/>
      </c>
      <c r="S348" s="2" t="str">
        <f>IF($D348="","",COUNTIF(DB_Artwork_Sizes_Export!$B:$B,$D348))</f>
        <v/>
      </c>
      <c r="T348" s="2" t="str">
        <f>IF($D348="","",IFERROR(INDEX(DB_Artwork_Sizes_Export!$D:$D,MATCH($D348,DB_Artwork_Sizes_Export!$B:$B,0)),""))</f>
        <v/>
      </c>
      <c r="U348" s="2" t="str">
        <f>IF($D348="","",IFERROR(INDEX(DB_Artwork_Sizes_Export!$E:$E,MATCH($D348,DB_Artwork_Sizes_Export!$B:$B,0)),""))</f>
        <v/>
      </c>
      <c r="V348" s="2" t="str">
        <f>IF($D348="","",IFERROR(INDEX(DB_Artwork_Sizes_Export!$F:$F,MATCH($D348,DB_Artwork_Sizes_Export!$B:$B,0)),""))</f>
        <v/>
      </c>
      <c r="W348" s="2" t="str">
        <f t="shared" si="52"/>
        <v/>
      </c>
      <c r="X348" s="2"/>
      <c r="Y348" s="2"/>
      <c r="Z348" s="2"/>
      <c r="AA348" s="2"/>
      <c r="AB348" s="2"/>
      <c r="AC348" s="2"/>
      <c r="AD348" s="2"/>
      <c r="AE348" s="2"/>
      <c r="AF348" s="2" t="str">
        <f t="shared" si="53"/>
        <v/>
      </c>
      <c r="AG348" s="2" t="str">
        <f t="shared" si="54"/>
        <v/>
      </c>
      <c r="AH348" s="2" t="str">
        <f>IF($AG348="","",IFERROR(VLOOKUP($AG348,DB_Categories_Export!$A:$B,2,FALSE()),"INVALID CATEGORY"))</f>
        <v/>
      </c>
      <c r="AI348" s="2" t="str">
        <f t="shared" si="55"/>
        <v/>
      </c>
      <c r="AJ348" s="2" t="str">
        <f t="shared" si="56"/>
        <v/>
      </c>
      <c r="AK348" s="2" t="str">
        <f t="shared" si="57"/>
        <v/>
      </c>
      <c r="AL348" s="2" t="str">
        <f t="shared" si="58"/>
        <v/>
      </c>
      <c r="AM348" s="2" t="str">
        <f t="shared" si="59"/>
        <v/>
      </c>
      <c r="AN348" s="2"/>
      <c r="AO348" s="2"/>
    </row>
    <row r="349" spans="1:41" ht="12" customHeight="1" x14ac:dyDescent="0.3">
      <c r="A349" s="2"/>
      <c r="B349" s="2" t="str">
        <f t="shared" si="50"/>
        <v/>
      </c>
      <c r="C349" s="2" t="str">
        <f t="shared" si="51"/>
        <v/>
      </c>
      <c r="D349" s="2" t="str">
        <f>IF(DB_Artworks_Export!A349="","",DB_Artworks_Export!A349)</f>
        <v/>
      </c>
      <c r="E349" s="2" t="str">
        <f>IF(DB_Artworks_Export!B349="","",DB_Artworks_Export!B349)</f>
        <v/>
      </c>
      <c r="F349" s="2" t="str">
        <f>IF(DB_Artworks_Export!C349="","",DB_Artworks_Export!C349)</f>
        <v/>
      </c>
      <c r="G349" s="2" t="str">
        <f>IF(DB_Artworks_Export!D349="","",DB_Artworks_Export!D349)</f>
        <v/>
      </c>
      <c r="H349" s="2" t="str">
        <f>IF(DB_Artworks_Export!E349="","",DB_Artworks_Export!E349)</f>
        <v/>
      </c>
      <c r="I349" s="2" t="str">
        <f>IF(DB_Artworks_Export!F349="","",DB_Artworks_Export!F349)</f>
        <v/>
      </c>
      <c r="J349" s="2" t="str">
        <f>IF(DB_Artworks_Export!G349="","",DB_Artworks_Export!G349)</f>
        <v/>
      </c>
      <c r="K349" s="2" t="str">
        <f>IF(DB_Artworks_Export!H349="","",DB_Artworks_Export!H349)</f>
        <v/>
      </c>
      <c r="L349" s="2" t="str">
        <f>IF(DB_Artworks_Export!I349="","",DB_Artworks_Export!I349)</f>
        <v/>
      </c>
      <c r="M349" s="2" t="str">
        <f>IF(DB_Artworks_Export!J349="","",DB_Artworks_Export!J349)</f>
        <v/>
      </c>
      <c r="N349" s="2" t="str">
        <f>IF(DB_Artworks_Export!K349="","",DB_Artworks_Export!K349)</f>
        <v/>
      </c>
      <c r="O349" s="2" t="str">
        <f>IF(DB_Artworks_Export!L349="","",DB_Artworks_Export!L349)</f>
        <v/>
      </c>
      <c r="P349" s="2" t="str">
        <f>IF(DB_Artworks_Export!M349="","",DB_Artworks_Export!M349)</f>
        <v/>
      </c>
      <c r="Q349" s="2" t="str">
        <f>IF(DB_Artworks_Export!N349="","",DB_Artworks_Export!N349)</f>
        <v/>
      </c>
      <c r="R349" s="2" t="str">
        <f>IF($D349="","",IF(COUNTIF(DB_Categories_Export!$A:$A,$F349)&gt;0,"OK","INVALID CATEGORY"))</f>
        <v/>
      </c>
      <c r="S349" s="2" t="str">
        <f>IF($D349="","",COUNTIF(DB_Artwork_Sizes_Export!$B:$B,$D349))</f>
        <v/>
      </c>
      <c r="T349" s="2" t="str">
        <f>IF($D349="","",IFERROR(INDEX(DB_Artwork_Sizes_Export!$D:$D,MATCH($D349,DB_Artwork_Sizes_Export!$B:$B,0)),""))</f>
        <v/>
      </c>
      <c r="U349" s="2" t="str">
        <f>IF($D349="","",IFERROR(INDEX(DB_Artwork_Sizes_Export!$E:$E,MATCH($D349,DB_Artwork_Sizes_Export!$B:$B,0)),""))</f>
        <v/>
      </c>
      <c r="V349" s="2" t="str">
        <f>IF($D349="","",IFERROR(INDEX(DB_Artwork_Sizes_Export!$F:$F,MATCH($D349,DB_Artwork_Sizes_Export!$B:$B,0)),""))</f>
        <v/>
      </c>
      <c r="W349" s="2" t="str">
        <f t="shared" si="52"/>
        <v/>
      </c>
      <c r="X349" s="2"/>
      <c r="Y349" s="2"/>
      <c r="Z349" s="2"/>
      <c r="AA349" s="2"/>
      <c r="AB349" s="2"/>
      <c r="AC349" s="2"/>
      <c r="AD349" s="2"/>
      <c r="AE349" s="2"/>
      <c r="AF349" s="2" t="str">
        <f t="shared" si="53"/>
        <v/>
      </c>
      <c r="AG349" s="2" t="str">
        <f t="shared" si="54"/>
        <v/>
      </c>
      <c r="AH349" s="2" t="str">
        <f>IF($AG349="","",IFERROR(VLOOKUP($AG349,DB_Categories_Export!$A:$B,2,FALSE()),"INVALID CATEGORY"))</f>
        <v/>
      </c>
      <c r="AI349" s="2" t="str">
        <f t="shared" si="55"/>
        <v/>
      </c>
      <c r="AJ349" s="2" t="str">
        <f t="shared" si="56"/>
        <v/>
      </c>
      <c r="AK349" s="2" t="str">
        <f t="shared" si="57"/>
        <v/>
      </c>
      <c r="AL349" s="2" t="str">
        <f t="shared" si="58"/>
        <v/>
      </c>
      <c r="AM349" s="2" t="str">
        <f t="shared" si="59"/>
        <v/>
      </c>
      <c r="AN349" s="2"/>
      <c r="AO349" s="2"/>
    </row>
    <row r="350" spans="1:41" ht="12" customHeight="1" x14ac:dyDescent="0.3">
      <c r="A350" s="2"/>
      <c r="B350" s="2" t="str">
        <f t="shared" si="50"/>
        <v/>
      </c>
      <c r="C350" s="2" t="str">
        <f t="shared" si="51"/>
        <v/>
      </c>
      <c r="D350" s="2" t="str">
        <f>IF(DB_Artworks_Export!A350="","",DB_Artworks_Export!A350)</f>
        <v/>
      </c>
      <c r="E350" s="2" t="str">
        <f>IF(DB_Artworks_Export!B350="","",DB_Artworks_Export!B350)</f>
        <v/>
      </c>
      <c r="F350" s="2" t="str">
        <f>IF(DB_Artworks_Export!C350="","",DB_Artworks_Export!C350)</f>
        <v/>
      </c>
      <c r="G350" s="2" t="str">
        <f>IF(DB_Artworks_Export!D350="","",DB_Artworks_Export!D350)</f>
        <v/>
      </c>
      <c r="H350" s="2" t="str">
        <f>IF(DB_Artworks_Export!E350="","",DB_Artworks_Export!E350)</f>
        <v/>
      </c>
      <c r="I350" s="2" t="str">
        <f>IF(DB_Artworks_Export!F350="","",DB_Artworks_Export!F350)</f>
        <v/>
      </c>
      <c r="J350" s="2" t="str">
        <f>IF(DB_Artworks_Export!G350="","",DB_Artworks_Export!G350)</f>
        <v/>
      </c>
      <c r="K350" s="2" t="str">
        <f>IF(DB_Artworks_Export!H350="","",DB_Artworks_Export!H350)</f>
        <v/>
      </c>
      <c r="L350" s="2" t="str">
        <f>IF(DB_Artworks_Export!I350="","",DB_Artworks_Export!I350)</f>
        <v/>
      </c>
      <c r="M350" s="2" t="str">
        <f>IF(DB_Artworks_Export!J350="","",DB_Artworks_Export!J350)</f>
        <v/>
      </c>
      <c r="N350" s="2" t="str">
        <f>IF(DB_Artworks_Export!K350="","",DB_Artworks_Export!K350)</f>
        <v/>
      </c>
      <c r="O350" s="2" t="str">
        <f>IF(DB_Artworks_Export!L350="","",DB_Artworks_Export!L350)</f>
        <v/>
      </c>
      <c r="P350" s="2" t="str">
        <f>IF(DB_Artworks_Export!M350="","",DB_Artworks_Export!M350)</f>
        <v/>
      </c>
      <c r="Q350" s="2" t="str">
        <f>IF(DB_Artworks_Export!N350="","",DB_Artworks_Export!N350)</f>
        <v/>
      </c>
      <c r="R350" s="2" t="str">
        <f>IF($D350="","",IF(COUNTIF(DB_Categories_Export!$A:$A,$F350)&gt;0,"OK","INVALID CATEGORY"))</f>
        <v/>
      </c>
      <c r="S350" s="2" t="str">
        <f>IF($D350="","",COUNTIF(DB_Artwork_Sizes_Export!$B:$B,$D350))</f>
        <v/>
      </c>
      <c r="T350" s="2" t="str">
        <f>IF($D350="","",IFERROR(INDEX(DB_Artwork_Sizes_Export!$D:$D,MATCH($D350,DB_Artwork_Sizes_Export!$B:$B,0)),""))</f>
        <v/>
      </c>
      <c r="U350" s="2" t="str">
        <f>IF($D350="","",IFERROR(INDEX(DB_Artwork_Sizes_Export!$E:$E,MATCH($D350,DB_Artwork_Sizes_Export!$B:$B,0)),""))</f>
        <v/>
      </c>
      <c r="V350" s="2" t="str">
        <f>IF($D350="","",IFERROR(INDEX(DB_Artwork_Sizes_Export!$F:$F,MATCH($D350,DB_Artwork_Sizes_Export!$B:$B,0)),""))</f>
        <v/>
      </c>
      <c r="W350" s="2" t="str">
        <f t="shared" si="52"/>
        <v/>
      </c>
      <c r="X350" s="2"/>
      <c r="Y350" s="2"/>
      <c r="Z350" s="2"/>
      <c r="AA350" s="2"/>
      <c r="AB350" s="2"/>
      <c r="AC350" s="2"/>
      <c r="AD350" s="2"/>
      <c r="AE350" s="2"/>
      <c r="AF350" s="2" t="str">
        <f t="shared" si="53"/>
        <v/>
      </c>
      <c r="AG350" s="2" t="str">
        <f t="shared" si="54"/>
        <v/>
      </c>
      <c r="AH350" s="2" t="str">
        <f>IF($AG350="","",IFERROR(VLOOKUP($AG350,DB_Categories_Export!$A:$B,2,FALSE()),"INVALID CATEGORY"))</f>
        <v/>
      </c>
      <c r="AI350" s="2" t="str">
        <f t="shared" si="55"/>
        <v/>
      </c>
      <c r="AJ350" s="2" t="str">
        <f t="shared" si="56"/>
        <v/>
      </c>
      <c r="AK350" s="2" t="str">
        <f t="shared" si="57"/>
        <v/>
      </c>
      <c r="AL350" s="2" t="str">
        <f t="shared" si="58"/>
        <v/>
      </c>
      <c r="AM350" s="2" t="str">
        <f t="shared" si="59"/>
        <v/>
      </c>
      <c r="AN350" s="2"/>
      <c r="AO350" s="2"/>
    </row>
    <row r="351" spans="1:41" ht="12" customHeight="1" x14ac:dyDescent="0.3">
      <c r="A351" s="2"/>
      <c r="B351" s="2" t="str">
        <f t="shared" si="50"/>
        <v/>
      </c>
      <c r="C351" s="2" t="str">
        <f t="shared" si="51"/>
        <v/>
      </c>
      <c r="D351" s="2" t="str">
        <f>IF(DB_Artworks_Export!A351="","",DB_Artworks_Export!A351)</f>
        <v/>
      </c>
      <c r="E351" s="2" t="str">
        <f>IF(DB_Artworks_Export!B351="","",DB_Artworks_Export!B351)</f>
        <v/>
      </c>
      <c r="F351" s="2" t="str">
        <f>IF(DB_Artworks_Export!C351="","",DB_Artworks_Export!C351)</f>
        <v/>
      </c>
      <c r="G351" s="2" t="str">
        <f>IF(DB_Artworks_Export!D351="","",DB_Artworks_Export!D351)</f>
        <v/>
      </c>
      <c r="H351" s="2" t="str">
        <f>IF(DB_Artworks_Export!E351="","",DB_Artworks_Export!E351)</f>
        <v/>
      </c>
      <c r="I351" s="2" t="str">
        <f>IF(DB_Artworks_Export!F351="","",DB_Artworks_Export!F351)</f>
        <v/>
      </c>
      <c r="J351" s="2" t="str">
        <f>IF(DB_Artworks_Export!G351="","",DB_Artworks_Export!G351)</f>
        <v/>
      </c>
      <c r="K351" s="2" t="str">
        <f>IF(DB_Artworks_Export!H351="","",DB_Artworks_Export!H351)</f>
        <v/>
      </c>
      <c r="L351" s="2" t="str">
        <f>IF(DB_Artworks_Export!I351="","",DB_Artworks_Export!I351)</f>
        <v/>
      </c>
      <c r="M351" s="2" t="str">
        <f>IF(DB_Artworks_Export!J351="","",DB_Artworks_Export!J351)</f>
        <v/>
      </c>
      <c r="N351" s="2" t="str">
        <f>IF(DB_Artworks_Export!K351="","",DB_Artworks_Export!K351)</f>
        <v/>
      </c>
      <c r="O351" s="2" t="str">
        <f>IF(DB_Artworks_Export!L351="","",DB_Artworks_Export!L351)</f>
        <v/>
      </c>
      <c r="P351" s="2" t="str">
        <f>IF(DB_Artworks_Export!M351="","",DB_Artworks_Export!M351)</f>
        <v/>
      </c>
      <c r="Q351" s="2" t="str">
        <f>IF(DB_Artworks_Export!N351="","",DB_Artworks_Export!N351)</f>
        <v/>
      </c>
      <c r="R351" s="2" t="str">
        <f>IF($D351="","",IF(COUNTIF(DB_Categories_Export!$A:$A,$F351)&gt;0,"OK","INVALID CATEGORY"))</f>
        <v/>
      </c>
      <c r="S351" s="2" t="str">
        <f>IF($D351="","",COUNTIF(DB_Artwork_Sizes_Export!$B:$B,$D351))</f>
        <v/>
      </c>
      <c r="T351" s="2" t="str">
        <f>IF($D351="","",IFERROR(INDEX(DB_Artwork_Sizes_Export!$D:$D,MATCH($D351,DB_Artwork_Sizes_Export!$B:$B,0)),""))</f>
        <v/>
      </c>
      <c r="U351" s="2" t="str">
        <f>IF($D351="","",IFERROR(INDEX(DB_Artwork_Sizes_Export!$E:$E,MATCH($D351,DB_Artwork_Sizes_Export!$B:$B,0)),""))</f>
        <v/>
      </c>
      <c r="V351" s="2" t="str">
        <f>IF($D351="","",IFERROR(INDEX(DB_Artwork_Sizes_Export!$F:$F,MATCH($D351,DB_Artwork_Sizes_Export!$B:$B,0)),""))</f>
        <v/>
      </c>
      <c r="W351" s="2" t="str">
        <f t="shared" si="52"/>
        <v/>
      </c>
      <c r="X351" s="2"/>
      <c r="Y351" s="2"/>
      <c r="Z351" s="2"/>
      <c r="AA351" s="2"/>
      <c r="AB351" s="2"/>
      <c r="AC351" s="2"/>
      <c r="AD351" s="2"/>
      <c r="AE351" s="2"/>
      <c r="AF351" s="2" t="str">
        <f t="shared" si="53"/>
        <v/>
      </c>
      <c r="AG351" s="2" t="str">
        <f t="shared" si="54"/>
        <v/>
      </c>
      <c r="AH351" s="2" t="str">
        <f>IF($AG351="","",IFERROR(VLOOKUP($AG351,DB_Categories_Export!$A:$B,2,FALSE()),"INVALID CATEGORY"))</f>
        <v/>
      </c>
      <c r="AI351" s="2" t="str">
        <f t="shared" si="55"/>
        <v/>
      </c>
      <c r="AJ351" s="2" t="str">
        <f t="shared" si="56"/>
        <v/>
      </c>
      <c r="AK351" s="2" t="str">
        <f t="shared" si="57"/>
        <v/>
      </c>
      <c r="AL351" s="2" t="str">
        <f t="shared" si="58"/>
        <v/>
      </c>
      <c r="AM351" s="2" t="str">
        <f t="shared" si="59"/>
        <v/>
      </c>
      <c r="AN351" s="2"/>
      <c r="AO351" s="2"/>
    </row>
    <row r="352" spans="1:41" ht="12" customHeight="1" x14ac:dyDescent="0.3">
      <c r="A352" s="2"/>
      <c r="B352" s="2" t="str">
        <f t="shared" si="50"/>
        <v/>
      </c>
      <c r="C352" s="2" t="str">
        <f t="shared" si="51"/>
        <v/>
      </c>
      <c r="D352" s="2" t="str">
        <f>IF(DB_Artworks_Export!A352="","",DB_Artworks_Export!A352)</f>
        <v/>
      </c>
      <c r="E352" s="2" t="str">
        <f>IF(DB_Artworks_Export!B352="","",DB_Artworks_Export!B352)</f>
        <v/>
      </c>
      <c r="F352" s="2" t="str">
        <f>IF(DB_Artworks_Export!C352="","",DB_Artworks_Export!C352)</f>
        <v/>
      </c>
      <c r="G352" s="2" t="str">
        <f>IF(DB_Artworks_Export!D352="","",DB_Artworks_Export!D352)</f>
        <v/>
      </c>
      <c r="H352" s="2" t="str">
        <f>IF(DB_Artworks_Export!E352="","",DB_Artworks_Export!E352)</f>
        <v/>
      </c>
      <c r="I352" s="2" t="str">
        <f>IF(DB_Artworks_Export!F352="","",DB_Artworks_Export!F352)</f>
        <v/>
      </c>
      <c r="J352" s="2" t="str">
        <f>IF(DB_Artworks_Export!G352="","",DB_Artworks_Export!G352)</f>
        <v/>
      </c>
      <c r="K352" s="2" t="str">
        <f>IF(DB_Artworks_Export!H352="","",DB_Artworks_Export!H352)</f>
        <v/>
      </c>
      <c r="L352" s="2" t="str">
        <f>IF(DB_Artworks_Export!I352="","",DB_Artworks_Export!I352)</f>
        <v/>
      </c>
      <c r="M352" s="2" t="str">
        <f>IF(DB_Artworks_Export!J352="","",DB_Artworks_Export!J352)</f>
        <v/>
      </c>
      <c r="N352" s="2" t="str">
        <f>IF(DB_Artworks_Export!K352="","",DB_Artworks_Export!K352)</f>
        <v/>
      </c>
      <c r="O352" s="2" t="str">
        <f>IF(DB_Artworks_Export!L352="","",DB_Artworks_Export!L352)</f>
        <v/>
      </c>
      <c r="P352" s="2" t="str">
        <f>IF(DB_Artworks_Export!M352="","",DB_Artworks_Export!M352)</f>
        <v/>
      </c>
      <c r="Q352" s="2" t="str">
        <f>IF(DB_Artworks_Export!N352="","",DB_Artworks_Export!N352)</f>
        <v/>
      </c>
      <c r="R352" s="2" t="str">
        <f>IF($D352="","",IF(COUNTIF(DB_Categories_Export!$A:$A,$F352)&gt;0,"OK","INVALID CATEGORY"))</f>
        <v/>
      </c>
      <c r="S352" s="2" t="str">
        <f>IF($D352="","",COUNTIF(DB_Artwork_Sizes_Export!$B:$B,$D352))</f>
        <v/>
      </c>
      <c r="T352" s="2" t="str">
        <f>IF($D352="","",IFERROR(INDEX(DB_Artwork_Sizes_Export!$D:$D,MATCH($D352,DB_Artwork_Sizes_Export!$B:$B,0)),""))</f>
        <v/>
      </c>
      <c r="U352" s="2" t="str">
        <f>IF($D352="","",IFERROR(INDEX(DB_Artwork_Sizes_Export!$E:$E,MATCH($D352,DB_Artwork_Sizes_Export!$B:$B,0)),""))</f>
        <v/>
      </c>
      <c r="V352" s="2" t="str">
        <f>IF($D352="","",IFERROR(INDEX(DB_Artwork_Sizes_Export!$F:$F,MATCH($D352,DB_Artwork_Sizes_Export!$B:$B,0)),""))</f>
        <v/>
      </c>
      <c r="W352" s="2" t="str">
        <f t="shared" si="52"/>
        <v/>
      </c>
      <c r="X352" s="2"/>
      <c r="Y352" s="2"/>
      <c r="Z352" s="2"/>
      <c r="AA352" s="2"/>
      <c r="AB352" s="2"/>
      <c r="AC352" s="2"/>
      <c r="AD352" s="2"/>
      <c r="AE352" s="2"/>
      <c r="AF352" s="2" t="str">
        <f t="shared" si="53"/>
        <v/>
      </c>
      <c r="AG352" s="2" t="str">
        <f t="shared" si="54"/>
        <v/>
      </c>
      <c r="AH352" s="2" t="str">
        <f>IF($AG352="","",IFERROR(VLOOKUP($AG352,DB_Categories_Export!$A:$B,2,FALSE()),"INVALID CATEGORY"))</f>
        <v/>
      </c>
      <c r="AI352" s="2" t="str">
        <f t="shared" si="55"/>
        <v/>
      </c>
      <c r="AJ352" s="2" t="str">
        <f t="shared" si="56"/>
        <v/>
      </c>
      <c r="AK352" s="2" t="str">
        <f t="shared" si="57"/>
        <v/>
      </c>
      <c r="AL352" s="2" t="str">
        <f t="shared" si="58"/>
        <v/>
      </c>
      <c r="AM352" s="2" t="str">
        <f t="shared" si="59"/>
        <v/>
      </c>
      <c r="AN352" s="2"/>
      <c r="AO352" s="2"/>
    </row>
    <row r="353" spans="1:41" ht="12" customHeight="1" x14ac:dyDescent="0.3">
      <c r="A353" s="2"/>
      <c r="B353" s="2" t="str">
        <f t="shared" si="50"/>
        <v/>
      </c>
      <c r="C353" s="2" t="str">
        <f t="shared" si="51"/>
        <v/>
      </c>
      <c r="D353" s="2" t="str">
        <f>IF(DB_Artworks_Export!A353="","",DB_Artworks_Export!A353)</f>
        <v/>
      </c>
      <c r="E353" s="2" t="str">
        <f>IF(DB_Artworks_Export!B353="","",DB_Artworks_Export!B353)</f>
        <v/>
      </c>
      <c r="F353" s="2" t="str">
        <f>IF(DB_Artworks_Export!C353="","",DB_Artworks_Export!C353)</f>
        <v/>
      </c>
      <c r="G353" s="2" t="str">
        <f>IF(DB_Artworks_Export!D353="","",DB_Artworks_Export!D353)</f>
        <v/>
      </c>
      <c r="H353" s="2" t="str">
        <f>IF(DB_Artworks_Export!E353="","",DB_Artworks_Export!E353)</f>
        <v/>
      </c>
      <c r="I353" s="2" t="str">
        <f>IF(DB_Artworks_Export!F353="","",DB_Artworks_Export!F353)</f>
        <v/>
      </c>
      <c r="J353" s="2" t="str">
        <f>IF(DB_Artworks_Export!G353="","",DB_Artworks_Export!G353)</f>
        <v/>
      </c>
      <c r="K353" s="2" t="str">
        <f>IF(DB_Artworks_Export!H353="","",DB_Artworks_Export!H353)</f>
        <v/>
      </c>
      <c r="L353" s="2" t="str">
        <f>IF(DB_Artworks_Export!I353="","",DB_Artworks_Export!I353)</f>
        <v/>
      </c>
      <c r="M353" s="2" t="str">
        <f>IF(DB_Artworks_Export!J353="","",DB_Artworks_Export!J353)</f>
        <v/>
      </c>
      <c r="N353" s="2" t="str">
        <f>IF(DB_Artworks_Export!K353="","",DB_Artworks_Export!K353)</f>
        <v/>
      </c>
      <c r="O353" s="2" t="str">
        <f>IF(DB_Artworks_Export!L353="","",DB_Artworks_Export!L353)</f>
        <v/>
      </c>
      <c r="P353" s="2" t="str">
        <f>IF(DB_Artworks_Export!M353="","",DB_Artworks_Export!M353)</f>
        <v/>
      </c>
      <c r="Q353" s="2" t="str">
        <f>IF(DB_Artworks_Export!N353="","",DB_Artworks_Export!N353)</f>
        <v/>
      </c>
      <c r="R353" s="2" t="str">
        <f>IF($D353="","",IF(COUNTIF(DB_Categories_Export!$A:$A,$F353)&gt;0,"OK","INVALID CATEGORY"))</f>
        <v/>
      </c>
      <c r="S353" s="2" t="str">
        <f>IF($D353="","",COUNTIF(DB_Artwork_Sizes_Export!$B:$B,$D353))</f>
        <v/>
      </c>
      <c r="T353" s="2" t="str">
        <f>IF($D353="","",IFERROR(INDEX(DB_Artwork_Sizes_Export!$D:$D,MATCH($D353,DB_Artwork_Sizes_Export!$B:$B,0)),""))</f>
        <v/>
      </c>
      <c r="U353" s="2" t="str">
        <f>IF($D353="","",IFERROR(INDEX(DB_Artwork_Sizes_Export!$E:$E,MATCH($D353,DB_Artwork_Sizes_Export!$B:$B,0)),""))</f>
        <v/>
      </c>
      <c r="V353" s="2" t="str">
        <f>IF($D353="","",IFERROR(INDEX(DB_Artwork_Sizes_Export!$F:$F,MATCH($D353,DB_Artwork_Sizes_Export!$B:$B,0)),""))</f>
        <v/>
      </c>
      <c r="W353" s="2" t="str">
        <f t="shared" si="52"/>
        <v/>
      </c>
      <c r="X353" s="2"/>
      <c r="Y353" s="2"/>
      <c r="Z353" s="2"/>
      <c r="AA353" s="2"/>
      <c r="AB353" s="2"/>
      <c r="AC353" s="2"/>
      <c r="AD353" s="2"/>
      <c r="AE353" s="2"/>
      <c r="AF353" s="2" t="str">
        <f t="shared" si="53"/>
        <v/>
      </c>
      <c r="AG353" s="2" t="str">
        <f t="shared" si="54"/>
        <v/>
      </c>
      <c r="AH353" s="2" t="str">
        <f>IF($AG353="","",IFERROR(VLOOKUP($AG353,DB_Categories_Export!$A:$B,2,FALSE()),"INVALID CATEGORY"))</f>
        <v/>
      </c>
      <c r="AI353" s="2" t="str">
        <f t="shared" si="55"/>
        <v/>
      </c>
      <c r="AJ353" s="2" t="str">
        <f t="shared" si="56"/>
        <v/>
      </c>
      <c r="AK353" s="2" t="str">
        <f t="shared" si="57"/>
        <v/>
      </c>
      <c r="AL353" s="2" t="str">
        <f t="shared" si="58"/>
        <v/>
      </c>
      <c r="AM353" s="2" t="str">
        <f t="shared" si="59"/>
        <v/>
      </c>
      <c r="AN353" s="2"/>
      <c r="AO353" s="2"/>
    </row>
    <row r="354" spans="1:41" ht="12" customHeight="1" x14ac:dyDescent="0.3">
      <c r="A354" s="2"/>
      <c r="B354" s="2" t="str">
        <f t="shared" si="50"/>
        <v/>
      </c>
      <c r="C354" s="2" t="str">
        <f t="shared" si="51"/>
        <v/>
      </c>
      <c r="D354" s="2" t="str">
        <f>IF(DB_Artworks_Export!A354="","",DB_Artworks_Export!A354)</f>
        <v/>
      </c>
      <c r="E354" s="2" t="str">
        <f>IF(DB_Artworks_Export!B354="","",DB_Artworks_Export!B354)</f>
        <v/>
      </c>
      <c r="F354" s="2" t="str">
        <f>IF(DB_Artworks_Export!C354="","",DB_Artworks_Export!C354)</f>
        <v/>
      </c>
      <c r="G354" s="2" t="str">
        <f>IF(DB_Artworks_Export!D354="","",DB_Artworks_Export!D354)</f>
        <v/>
      </c>
      <c r="H354" s="2" t="str">
        <f>IF(DB_Artworks_Export!E354="","",DB_Artworks_Export!E354)</f>
        <v/>
      </c>
      <c r="I354" s="2" t="str">
        <f>IF(DB_Artworks_Export!F354="","",DB_Artworks_Export!F354)</f>
        <v/>
      </c>
      <c r="J354" s="2" t="str">
        <f>IF(DB_Artworks_Export!G354="","",DB_Artworks_Export!G354)</f>
        <v/>
      </c>
      <c r="K354" s="2" t="str">
        <f>IF(DB_Artworks_Export!H354="","",DB_Artworks_Export!H354)</f>
        <v/>
      </c>
      <c r="L354" s="2" t="str">
        <f>IF(DB_Artworks_Export!I354="","",DB_Artworks_Export!I354)</f>
        <v/>
      </c>
      <c r="M354" s="2" t="str">
        <f>IF(DB_Artworks_Export!J354="","",DB_Artworks_Export!J354)</f>
        <v/>
      </c>
      <c r="N354" s="2" t="str">
        <f>IF(DB_Artworks_Export!K354="","",DB_Artworks_Export!K354)</f>
        <v/>
      </c>
      <c r="O354" s="2" t="str">
        <f>IF(DB_Artworks_Export!L354="","",DB_Artworks_Export!L354)</f>
        <v/>
      </c>
      <c r="P354" s="2" t="str">
        <f>IF(DB_Artworks_Export!M354="","",DB_Artworks_Export!M354)</f>
        <v/>
      </c>
      <c r="Q354" s="2" t="str">
        <f>IF(DB_Artworks_Export!N354="","",DB_Artworks_Export!N354)</f>
        <v/>
      </c>
      <c r="R354" s="2" t="str">
        <f>IF($D354="","",IF(COUNTIF(DB_Categories_Export!$A:$A,$F354)&gt;0,"OK","INVALID CATEGORY"))</f>
        <v/>
      </c>
      <c r="S354" s="2" t="str">
        <f>IF($D354="","",COUNTIF(DB_Artwork_Sizes_Export!$B:$B,$D354))</f>
        <v/>
      </c>
      <c r="T354" s="2" t="str">
        <f>IF($D354="","",IFERROR(INDEX(DB_Artwork_Sizes_Export!$D:$D,MATCH($D354,DB_Artwork_Sizes_Export!$B:$B,0)),""))</f>
        <v/>
      </c>
      <c r="U354" s="2" t="str">
        <f>IF($D354="","",IFERROR(INDEX(DB_Artwork_Sizes_Export!$E:$E,MATCH($D354,DB_Artwork_Sizes_Export!$B:$B,0)),""))</f>
        <v/>
      </c>
      <c r="V354" s="2" t="str">
        <f>IF($D354="","",IFERROR(INDEX(DB_Artwork_Sizes_Export!$F:$F,MATCH($D354,DB_Artwork_Sizes_Export!$B:$B,0)),""))</f>
        <v/>
      </c>
      <c r="W354" s="2" t="str">
        <f t="shared" si="52"/>
        <v/>
      </c>
      <c r="X354" s="2"/>
      <c r="Y354" s="2"/>
      <c r="Z354" s="2"/>
      <c r="AA354" s="2"/>
      <c r="AB354" s="2"/>
      <c r="AC354" s="2"/>
      <c r="AD354" s="2"/>
      <c r="AE354" s="2"/>
      <c r="AF354" s="2" t="str">
        <f t="shared" si="53"/>
        <v/>
      </c>
      <c r="AG354" s="2" t="str">
        <f t="shared" si="54"/>
        <v/>
      </c>
      <c r="AH354" s="2" t="str">
        <f>IF($AG354="","",IFERROR(VLOOKUP($AG354,DB_Categories_Export!$A:$B,2,FALSE()),"INVALID CATEGORY"))</f>
        <v/>
      </c>
      <c r="AI354" s="2" t="str">
        <f t="shared" si="55"/>
        <v/>
      </c>
      <c r="AJ354" s="2" t="str">
        <f t="shared" si="56"/>
        <v/>
      </c>
      <c r="AK354" s="2" t="str">
        <f t="shared" si="57"/>
        <v/>
      </c>
      <c r="AL354" s="2" t="str">
        <f t="shared" si="58"/>
        <v/>
      </c>
      <c r="AM354" s="2" t="str">
        <f t="shared" si="59"/>
        <v/>
      </c>
      <c r="AN354" s="2"/>
      <c r="AO354" s="2"/>
    </row>
    <row r="355" spans="1:41" ht="12" customHeight="1" x14ac:dyDescent="0.3">
      <c r="A355" s="2"/>
      <c r="B355" s="2" t="str">
        <f t="shared" si="50"/>
        <v/>
      </c>
      <c r="C355" s="2" t="str">
        <f t="shared" si="51"/>
        <v/>
      </c>
      <c r="D355" s="2" t="str">
        <f>IF(DB_Artworks_Export!A355="","",DB_Artworks_Export!A355)</f>
        <v/>
      </c>
      <c r="E355" s="2" t="str">
        <f>IF(DB_Artworks_Export!B355="","",DB_Artworks_Export!B355)</f>
        <v/>
      </c>
      <c r="F355" s="2" t="str">
        <f>IF(DB_Artworks_Export!C355="","",DB_Artworks_Export!C355)</f>
        <v/>
      </c>
      <c r="G355" s="2" t="str">
        <f>IF(DB_Artworks_Export!D355="","",DB_Artworks_Export!D355)</f>
        <v/>
      </c>
      <c r="H355" s="2" t="str">
        <f>IF(DB_Artworks_Export!E355="","",DB_Artworks_Export!E355)</f>
        <v/>
      </c>
      <c r="I355" s="2" t="str">
        <f>IF(DB_Artworks_Export!F355="","",DB_Artworks_Export!F355)</f>
        <v/>
      </c>
      <c r="J355" s="2" t="str">
        <f>IF(DB_Artworks_Export!G355="","",DB_Artworks_Export!G355)</f>
        <v/>
      </c>
      <c r="K355" s="2" t="str">
        <f>IF(DB_Artworks_Export!H355="","",DB_Artworks_Export!H355)</f>
        <v/>
      </c>
      <c r="L355" s="2" t="str">
        <f>IF(DB_Artworks_Export!I355="","",DB_Artworks_Export!I355)</f>
        <v/>
      </c>
      <c r="M355" s="2" t="str">
        <f>IF(DB_Artworks_Export!J355="","",DB_Artworks_Export!J355)</f>
        <v/>
      </c>
      <c r="N355" s="2" t="str">
        <f>IF(DB_Artworks_Export!K355="","",DB_Artworks_Export!K355)</f>
        <v/>
      </c>
      <c r="O355" s="2" t="str">
        <f>IF(DB_Artworks_Export!L355="","",DB_Artworks_Export!L355)</f>
        <v/>
      </c>
      <c r="P355" s="2" t="str">
        <f>IF(DB_Artworks_Export!M355="","",DB_Artworks_Export!M355)</f>
        <v/>
      </c>
      <c r="Q355" s="2" t="str">
        <f>IF(DB_Artworks_Export!N355="","",DB_Artworks_Export!N355)</f>
        <v/>
      </c>
      <c r="R355" s="2" t="str">
        <f>IF($D355="","",IF(COUNTIF(DB_Categories_Export!$A:$A,$F355)&gt;0,"OK","INVALID CATEGORY"))</f>
        <v/>
      </c>
      <c r="S355" s="2" t="str">
        <f>IF($D355="","",COUNTIF(DB_Artwork_Sizes_Export!$B:$B,$D355))</f>
        <v/>
      </c>
      <c r="T355" s="2" t="str">
        <f>IF($D355="","",IFERROR(INDEX(DB_Artwork_Sizes_Export!$D:$D,MATCH($D355,DB_Artwork_Sizes_Export!$B:$B,0)),""))</f>
        <v/>
      </c>
      <c r="U355" s="2" t="str">
        <f>IF($D355="","",IFERROR(INDEX(DB_Artwork_Sizes_Export!$E:$E,MATCH($D355,DB_Artwork_Sizes_Export!$B:$B,0)),""))</f>
        <v/>
      </c>
      <c r="V355" s="2" t="str">
        <f>IF($D355="","",IFERROR(INDEX(DB_Artwork_Sizes_Export!$F:$F,MATCH($D355,DB_Artwork_Sizes_Export!$B:$B,0)),""))</f>
        <v/>
      </c>
      <c r="W355" s="2" t="str">
        <f t="shared" si="52"/>
        <v/>
      </c>
      <c r="X355" s="2"/>
      <c r="Y355" s="2"/>
      <c r="Z355" s="2"/>
      <c r="AA355" s="2"/>
      <c r="AB355" s="2"/>
      <c r="AC355" s="2"/>
      <c r="AD355" s="2"/>
      <c r="AE355" s="2"/>
      <c r="AF355" s="2" t="str">
        <f t="shared" si="53"/>
        <v/>
      </c>
      <c r="AG355" s="2" t="str">
        <f t="shared" si="54"/>
        <v/>
      </c>
      <c r="AH355" s="2" t="str">
        <f>IF($AG355="","",IFERROR(VLOOKUP($AG355,DB_Categories_Export!$A:$B,2,FALSE()),"INVALID CATEGORY"))</f>
        <v/>
      </c>
      <c r="AI355" s="2" t="str">
        <f t="shared" si="55"/>
        <v/>
      </c>
      <c r="AJ355" s="2" t="str">
        <f t="shared" si="56"/>
        <v/>
      </c>
      <c r="AK355" s="2" t="str">
        <f t="shared" si="57"/>
        <v/>
      </c>
      <c r="AL355" s="2" t="str">
        <f t="shared" si="58"/>
        <v/>
      </c>
      <c r="AM355" s="2" t="str">
        <f t="shared" si="59"/>
        <v/>
      </c>
      <c r="AN355" s="2"/>
      <c r="AO355" s="2"/>
    </row>
    <row r="356" spans="1:41" ht="12" customHeight="1" x14ac:dyDescent="0.3">
      <c r="A356" s="2"/>
      <c r="B356" s="2" t="str">
        <f t="shared" si="50"/>
        <v/>
      </c>
      <c r="C356" s="2" t="str">
        <f t="shared" si="51"/>
        <v/>
      </c>
      <c r="D356" s="2" t="str">
        <f>IF(DB_Artworks_Export!A356="","",DB_Artworks_Export!A356)</f>
        <v/>
      </c>
      <c r="E356" s="2" t="str">
        <f>IF(DB_Artworks_Export!B356="","",DB_Artworks_Export!B356)</f>
        <v/>
      </c>
      <c r="F356" s="2" t="str">
        <f>IF(DB_Artworks_Export!C356="","",DB_Artworks_Export!C356)</f>
        <v/>
      </c>
      <c r="G356" s="2" t="str">
        <f>IF(DB_Artworks_Export!D356="","",DB_Artworks_Export!D356)</f>
        <v/>
      </c>
      <c r="H356" s="2" t="str">
        <f>IF(DB_Artworks_Export!E356="","",DB_Artworks_Export!E356)</f>
        <v/>
      </c>
      <c r="I356" s="2" t="str">
        <f>IF(DB_Artworks_Export!F356="","",DB_Artworks_Export!F356)</f>
        <v/>
      </c>
      <c r="J356" s="2" t="str">
        <f>IF(DB_Artworks_Export!G356="","",DB_Artworks_Export!G356)</f>
        <v/>
      </c>
      <c r="K356" s="2" t="str">
        <f>IF(DB_Artworks_Export!H356="","",DB_Artworks_Export!H356)</f>
        <v/>
      </c>
      <c r="L356" s="2" t="str">
        <f>IF(DB_Artworks_Export!I356="","",DB_Artworks_Export!I356)</f>
        <v/>
      </c>
      <c r="M356" s="2" t="str">
        <f>IF(DB_Artworks_Export!J356="","",DB_Artworks_Export!J356)</f>
        <v/>
      </c>
      <c r="N356" s="2" t="str">
        <f>IF(DB_Artworks_Export!K356="","",DB_Artworks_Export!K356)</f>
        <v/>
      </c>
      <c r="O356" s="2" t="str">
        <f>IF(DB_Artworks_Export!L356="","",DB_Artworks_Export!L356)</f>
        <v/>
      </c>
      <c r="P356" s="2" t="str">
        <f>IF(DB_Artworks_Export!M356="","",DB_Artworks_Export!M356)</f>
        <v/>
      </c>
      <c r="Q356" s="2" t="str">
        <f>IF(DB_Artworks_Export!N356="","",DB_Artworks_Export!N356)</f>
        <v/>
      </c>
      <c r="R356" s="2" t="str">
        <f>IF($D356="","",IF(COUNTIF(DB_Categories_Export!$A:$A,$F356)&gt;0,"OK","INVALID CATEGORY"))</f>
        <v/>
      </c>
      <c r="S356" s="2" t="str">
        <f>IF($D356="","",COUNTIF(DB_Artwork_Sizes_Export!$B:$B,$D356))</f>
        <v/>
      </c>
      <c r="T356" s="2" t="str">
        <f>IF($D356="","",IFERROR(INDEX(DB_Artwork_Sizes_Export!$D:$D,MATCH($D356,DB_Artwork_Sizes_Export!$B:$B,0)),""))</f>
        <v/>
      </c>
      <c r="U356" s="2" t="str">
        <f>IF($D356="","",IFERROR(INDEX(DB_Artwork_Sizes_Export!$E:$E,MATCH($D356,DB_Artwork_Sizes_Export!$B:$B,0)),""))</f>
        <v/>
      </c>
      <c r="V356" s="2" t="str">
        <f>IF($D356="","",IFERROR(INDEX(DB_Artwork_Sizes_Export!$F:$F,MATCH($D356,DB_Artwork_Sizes_Export!$B:$B,0)),""))</f>
        <v/>
      </c>
      <c r="W356" s="2" t="str">
        <f t="shared" si="52"/>
        <v/>
      </c>
      <c r="X356" s="2"/>
      <c r="Y356" s="2"/>
      <c r="Z356" s="2"/>
      <c r="AA356" s="2"/>
      <c r="AB356" s="2"/>
      <c r="AC356" s="2"/>
      <c r="AD356" s="2"/>
      <c r="AE356" s="2"/>
      <c r="AF356" s="2" t="str">
        <f t="shared" si="53"/>
        <v/>
      </c>
      <c r="AG356" s="2" t="str">
        <f t="shared" si="54"/>
        <v/>
      </c>
      <c r="AH356" s="2" t="str">
        <f>IF($AG356="","",IFERROR(VLOOKUP($AG356,DB_Categories_Export!$A:$B,2,FALSE()),"INVALID CATEGORY"))</f>
        <v/>
      </c>
      <c r="AI356" s="2" t="str">
        <f t="shared" si="55"/>
        <v/>
      </c>
      <c r="AJ356" s="2" t="str">
        <f t="shared" si="56"/>
        <v/>
      </c>
      <c r="AK356" s="2" t="str">
        <f t="shared" si="57"/>
        <v/>
      </c>
      <c r="AL356" s="2" t="str">
        <f t="shared" si="58"/>
        <v/>
      </c>
      <c r="AM356" s="2" t="str">
        <f t="shared" si="59"/>
        <v/>
      </c>
      <c r="AN356" s="2"/>
      <c r="AO356" s="2"/>
    </row>
    <row r="357" spans="1:41" ht="12" customHeight="1" x14ac:dyDescent="0.3">
      <c r="A357" s="2"/>
      <c r="B357" s="2" t="str">
        <f t="shared" si="50"/>
        <v/>
      </c>
      <c r="C357" s="2" t="str">
        <f t="shared" si="51"/>
        <v/>
      </c>
      <c r="D357" s="2" t="str">
        <f>IF(DB_Artworks_Export!A357="","",DB_Artworks_Export!A357)</f>
        <v/>
      </c>
      <c r="E357" s="2" t="str">
        <f>IF(DB_Artworks_Export!B357="","",DB_Artworks_Export!B357)</f>
        <v/>
      </c>
      <c r="F357" s="2" t="str">
        <f>IF(DB_Artworks_Export!C357="","",DB_Artworks_Export!C357)</f>
        <v/>
      </c>
      <c r="G357" s="2" t="str">
        <f>IF(DB_Artworks_Export!D357="","",DB_Artworks_Export!D357)</f>
        <v/>
      </c>
      <c r="H357" s="2" t="str">
        <f>IF(DB_Artworks_Export!E357="","",DB_Artworks_Export!E357)</f>
        <v/>
      </c>
      <c r="I357" s="2" t="str">
        <f>IF(DB_Artworks_Export!F357="","",DB_Artworks_Export!F357)</f>
        <v/>
      </c>
      <c r="J357" s="2" t="str">
        <f>IF(DB_Artworks_Export!G357="","",DB_Artworks_Export!G357)</f>
        <v/>
      </c>
      <c r="K357" s="2" t="str">
        <f>IF(DB_Artworks_Export!H357="","",DB_Artworks_Export!H357)</f>
        <v/>
      </c>
      <c r="L357" s="2" t="str">
        <f>IF(DB_Artworks_Export!I357="","",DB_Artworks_Export!I357)</f>
        <v/>
      </c>
      <c r="M357" s="2" t="str">
        <f>IF(DB_Artworks_Export!J357="","",DB_Artworks_Export!J357)</f>
        <v/>
      </c>
      <c r="N357" s="2" t="str">
        <f>IF(DB_Artworks_Export!K357="","",DB_Artworks_Export!K357)</f>
        <v/>
      </c>
      <c r="O357" s="2" t="str">
        <f>IF(DB_Artworks_Export!L357="","",DB_Artworks_Export!L357)</f>
        <v/>
      </c>
      <c r="P357" s="2" t="str">
        <f>IF(DB_Artworks_Export!M357="","",DB_Artworks_Export!M357)</f>
        <v/>
      </c>
      <c r="Q357" s="2" t="str">
        <f>IF(DB_Artworks_Export!N357="","",DB_Artworks_Export!N357)</f>
        <v/>
      </c>
      <c r="R357" s="2" t="str">
        <f>IF($D357="","",IF(COUNTIF(DB_Categories_Export!$A:$A,$F357)&gt;0,"OK","INVALID CATEGORY"))</f>
        <v/>
      </c>
      <c r="S357" s="2" t="str">
        <f>IF($D357="","",COUNTIF(DB_Artwork_Sizes_Export!$B:$B,$D357))</f>
        <v/>
      </c>
      <c r="T357" s="2" t="str">
        <f>IF($D357="","",IFERROR(INDEX(DB_Artwork_Sizes_Export!$D:$D,MATCH($D357,DB_Artwork_Sizes_Export!$B:$B,0)),""))</f>
        <v/>
      </c>
      <c r="U357" s="2" t="str">
        <f>IF($D357="","",IFERROR(INDEX(DB_Artwork_Sizes_Export!$E:$E,MATCH($D357,DB_Artwork_Sizes_Export!$B:$B,0)),""))</f>
        <v/>
      </c>
      <c r="V357" s="2" t="str">
        <f>IF($D357="","",IFERROR(INDEX(DB_Artwork_Sizes_Export!$F:$F,MATCH($D357,DB_Artwork_Sizes_Export!$B:$B,0)),""))</f>
        <v/>
      </c>
      <c r="W357" s="2" t="str">
        <f t="shared" si="52"/>
        <v/>
      </c>
      <c r="X357" s="2"/>
      <c r="Y357" s="2"/>
      <c r="Z357" s="2"/>
      <c r="AA357" s="2"/>
      <c r="AB357" s="2"/>
      <c r="AC357" s="2"/>
      <c r="AD357" s="2"/>
      <c r="AE357" s="2"/>
      <c r="AF357" s="2" t="str">
        <f t="shared" si="53"/>
        <v/>
      </c>
      <c r="AG357" s="2" t="str">
        <f t="shared" si="54"/>
        <v/>
      </c>
      <c r="AH357" s="2" t="str">
        <f>IF($AG357="","",IFERROR(VLOOKUP($AG357,DB_Categories_Export!$A:$B,2,FALSE()),"INVALID CATEGORY"))</f>
        <v/>
      </c>
      <c r="AI357" s="2" t="str">
        <f t="shared" si="55"/>
        <v/>
      </c>
      <c r="AJ357" s="2" t="str">
        <f t="shared" si="56"/>
        <v/>
      </c>
      <c r="AK357" s="2" t="str">
        <f t="shared" si="57"/>
        <v/>
      </c>
      <c r="AL357" s="2" t="str">
        <f t="shared" si="58"/>
        <v/>
      </c>
      <c r="AM357" s="2" t="str">
        <f t="shared" si="59"/>
        <v/>
      </c>
      <c r="AN357" s="2"/>
      <c r="AO357" s="2"/>
    </row>
    <row r="358" spans="1:41" ht="12" customHeight="1" x14ac:dyDescent="0.3">
      <c r="A358" s="2"/>
      <c r="B358" s="2" t="str">
        <f t="shared" si="50"/>
        <v/>
      </c>
      <c r="C358" s="2" t="str">
        <f t="shared" si="51"/>
        <v/>
      </c>
      <c r="D358" s="2" t="str">
        <f>IF(DB_Artworks_Export!A358="","",DB_Artworks_Export!A358)</f>
        <v/>
      </c>
      <c r="E358" s="2" t="str">
        <f>IF(DB_Artworks_Export!B358="","",DB_Artworks_Export!B358)</f>
        <v/>
      </c>
      <c r="F358" s="2" t="str">
        <f>IF(DB_Artworks_Export!C358="","",DB_Artworks_Export!C358)</f>
        <v/>
      </c>
      <c r="G358" s="2" t="str">
        <f>IF(DB_Artworks_Export!D358="","",DB_Artworks_Export!D358)</f>
        <v/>
      </c>
      <c r="H358" s="2" t="str">
        <f>IF(DB_Artworks_Export!E358="","",DB_Artworks_Export!E358)</f>
        <v/>
      </c>
      <c r="I358" s="2" t="str">
        <f>IF(DB_Artworks_Export!F358="","",DB_Artworks_Export!F358)</f>
        <v/>
      </c>
      <c r="J358" s="2" t="str">
        <f>IF(DB_Artworks_Export!G358="","",DB_Artworks_Export!G358)</f>
        <v/>
      </c>
      <c r="K358" s="2" t="str">
        <f>IF(DB_Artworks_Export!H358="","",DB_Artworks_Export!H358)</f>
        <v/>
      </c>
      <c r="L358" s="2" t="str">
        <f>IF(DB_Artworks_Export!I358="","",DB_Artworks_Export!I358)</f>
        <v/>
      </c>
      <c r="M358" s="2" t="str">
        <f>IF(DB_Artworks_Export!J358="","",DB_Artworks_Export!J358)</f>
        <v/>
      </c>
      <c r="N358" s="2" t="str">
        <f>IF(DB_Artworks_Export!K358="","",DB_Artworks_Export!K358)</f>
        <v/>
      </c>
      <c r="O358" s="2" t="str">
        <f>IF(DB_Artworks_Export!L358="","",DB_Artworks_Export!L358)</f>
        <v/>
      </c>
      <c r="P358" s="2" t="str">
        <f>IF(DB_Artworks_Export!M358="","",DB_Artworks_Export!M358)</f>
        <v/>
      </c>
      <c r="Q358" s="2" t="str">
        <f>IF(DB_Artworks_Export!N358="","",DB_Artworks_Export!N358)</f>
        <v/>
      </c>
      <c r="R358" s="2" t="str">
        <f>IF($D358="","",IF(COUNTIF(DB_Categories_Export!$A:$A,$F358)&gt;0,"OK","INVALID CATEGORY"))</f>
        <v/>
      </c>
      <c r="S358" s="2" t="str">
        <f>IF($D358="","",COUNTIF(DB_Artwork_Sizes_Export!$B:$B,$D358))</f>
        <v/>
      </c>
      <c r="T358" s="2" t="str">
        <f>IF($D358="","",IFERROR(INDEX(DB_Artwork_Sizes_Export!$D:$D,MATCH($D358,DB_Artwork_Sizes_Export!$B:$B,0)),""))</f>
        <v/>
      </c>
      <c r="U358" s="2" t="str">
        <f>IF($D358="","",IFERROR(INDEX(DB_Artwork_Sizes_Export!$E:$E,MATCH($D358,DB_Artwork_Sizes_Export!$B:$B,0)),""))</f>
        <v/>
      </c>
      <c r="V358" s="2" t="str">
        <f>IF($D358="","",IFERROR(INDEX(DB_Artwork_Sizes_Export!$F:$F,MATCH($D358,DB_Artwork_Sizes_Export!$B:$B,0)),""))</f>
        <v/>
      </c>
      <c r="W358" s="2" t="str">
        <f t="shared" si="52"/>
        <v/>
      </c>
      <c r="X358" s="2"/>
      <c r="Y358" s="2"/>
      <c r="Z358" s="2"/>
      <c r="AA358" s="2"/>
      <c r="AB358" s="2"/>
      <c r="AC358" s="2"/>
      <c r="AD358" s="2"/>
      <c r="AE358" s="2"/>
      <c r="AF358" s="2" t="str">
        <f t="shared" si="53"/>
        <v/>
      </c>
      <c r="AG358" s="2" t="str">
        <f t="shared" si="54"/>
        <v/>
      </c>
      <c r="AH358" s="2" t="str">
        <f>IF($AG358="","",IFERROR(VLOOKUP($AG358,DB_Categories_Export!$A:$B,2,FALSE()),"INVALID CATEGORY"))</f>
        <v/>
      </c>
      <c r="AI358" s="2" t="str">
        <f t="shared" si="55"/>
        <v/>
      </c>
      <c r="AJ358" s="2" t="str">
        <f t="shared" si="56"/>
        <v/>
      </c>
      <c r="AK358" s="2" t="str">
        <f t="shared" si="57"/>
        <v/>
      </c>
      <c r="AL358" s="2" t="str">
        <f t="shared" si="58"/>
        <v/>
      </c>
      <c r="AM358" s="2" t="str">
        <f t="shared" si="59"/>
        <v/>
      </c>
      <c r="AN358" s="2"/>
      <c r="AO358" s="2"/>
    </row>
    <row r="359" spans="1:41" ht="12" customHeight="1" x14ac:dyDescent="0.3">
      <c r="A359" s="2"/>
      <c r="B359" s="2" t="str">
        <f t="shared" si="50"/>
        <v/>
      </c>
      <c r="C359" s="2" t="str">
        <f t="shared" si="51"/>
        <v/>
      </c>
      <c r="D359" s="2" t="str">
        <f>IF(DB_Artworks_Export!A359="","",DB_Artworks_Export!A359)</f>
        <v/>
      </c>
      <c r="E359" s="2" t="str">
        <f>IF(DB_Artworks_Export!B359="","",DB_Artworks_Export!B359)</f>
        <v/>
      </c>
      <c r="F359" s="2" t="str">
        <f>IF(DB_Artworks_Export!C359="","",DB_Artworks_Export!C359)</f>
        <v/>
      </c>
      <c r="G359" s="2" t="str">
        <f>IF(DB_Artworks_Export!D359="","",DB_Artworks_Export!D359)</f>
        <v/>
      </c>
      <c r="H359" s="2" t="str">
        <f>IF(DB_Artworks_Export!E359="","",DB_Artworks_Export!E359)</f>
        <v/>
      </c>
      <c r="I359" s="2" t="str">
        <f>IF(DB_Artworks_Export!F359="","",DB_Artworks_Export!F359)</f>
        <v/>
      </c>
      <c r="J359" s="2" t="str">
        <f>IF(DB_Artworks_Export!G359="","",DB_Artworks_Export!G359)</f>
        <v/>
      </c>
      <c r="K359" s="2" t="str">
        <f>IF(DB_Artworks_Export!H359="","",DB_Artworks_Export!H359)</f>
        <v/>
      </c>
      <c r="L359" s="2" t="str">
        <f>IF(DB_Artworks_Export!I359="","",DB_Artworks_Export!I359)</f>
        <v/>
      </c>
      <c r="M359" s="2" t="str">
        <f>IF(DB_Artworks_Export!J359="","",DB_Artworks_Export!J359)</f>
        <v/>
      </c>
      <c r="N359" s="2" t="str">
        <f>IF(DB_Artworks_Export!K359="","",DB_Artworks_Export!K359)</f>
        <v/>
      </c>
      <c r="O359" s="2" t="str">
        <f>IF(DB_Artworks_Export!L359="","",DB_Artworks_Export!L359)</f>
        <v/>
      </c>
      <c r="P359" s="2" t="str">
        <f>IF(DB_Artworks_Export!M359="","",DB_Artworks_Export!M359)</f>
        <v/>
      </c>
      <c r="Q359" s="2" t="str">
        <f>IF(DB_Artworks_Export!N359="","",DB_Artworks_Export!N359)</f>
        <v/>
      </c>
      <c r="R359" s="2" t="str">
        <f>IF($D359="","",IF(COUNTIF(DB_Categories_Export!$A:$A,$F359)&gt;0,"OK","INVALID CATEGORY"))</f>
        <v/>
      </c>
      <c r="S359" s="2" t="str">
        <f>IF($D359="","",COUNTIF(DB_Artwork_Sizes_Export!$B:$B,$D359))</f>
        <v/>
      </c>
      <c r="T359" s="2" t="str">
        <f>IF($D359="","",IFERROR(INDEX(DB_Artwork_Sizes_Export!$D:$D,MATCH($D359,DB_Artwork_Sizes_Export!$B:$B,0)),""))</f>
        <v/>
      </c>
      <c r="U359" s="2" t="str">
        <f>IF($D359="","",IFERROR(INDEX(DB_Artwork_Sizes_Export!$E:$E,MATCH($D359,DB_Artwork_Sizes_Export!$B:$B,0)),""))</f>
        <v/>
      </c>
      <c r="V359" s="2" t="str">
        <f>IF($D359="","",IFERROR(INDEX(DB_Artwork_Sizes_Export!$F:$F,MATCH($D359,DB_Artwork_Sizes_Export!$B:$B,0)),""))</f>
        <v/>
      </c>
      <c r="W359" s="2" t="str">
        <f t="shared" si="52"/>
        <v/>
      </c>
      <c r="X359" s="2"/>
      <c r="Y359" s="2"/>
      <c r="Z359" s="2"/>
      <c r="AA359" s="2"/>
      <c r="AB359" s="2"/>
      <c r="AC359" s="2"/>
      <c r="AD359" s="2"/>
      <c r="AE359" s="2"/>
      <c r="AF359" s="2" t="str">
        <f t="shared" si="53"/>
        <v/>
      </c>
      <c r="AG359" s="2" t="str">
        <f t="shared" si="54"/>
        <v/>
      </c>
      <c r="AH359" s="2" t="str">
        <f>IF($AG359="","",IFERROR(VLOOKUP($AG359,DB_Categories_Export!$A:$B,2,FALSE()),"INVALID CATEGORY"))</f>
        <v/>
      </c>
      <c r="AI359" s="2" t="str">
        <f t="shared" si="55"/>
        <v/>
      </c>
      <c r="AJ359" s="2" t="str">
        <f t="shared" si="56"/>
        <v/>
      </c>
      <c r="AK359" s="2" t="str">
        <f t="shared" si="57"/>
        <v/>
      </c>
      <c r="AL359" s="2" t="str">
        <f t="shared" si="58"/>
        <v/>
      </c>
      <c r="AM359" s="2" t="str">
        <f t="shared" si="59"/>
        <v/>
      </c>
      <c r="AN359" s="2"/>
      <c r="AO359" s="2"/>
    </row>
    <row r="360" spans="1:41" ht="12" customHeight="1" x14ac:dyDescent="0.3">
      <c r="A360" s="2"/>
      <c r="B360" s="2" t="str">
        <f t="shared" si="50"/>
        <v/>
      </c>
      <c r="C360" s="2" t="str">
        <f t="shared" si="51"/>
        <v/>
      </c>
      <c r="D360" s="2" t="str">
        <f>IF(DB_Artworks_Export!A360="","",DB_Artworks_Export!A360)</f>
        <v/>
      </c>
      <c r="E360" s="2" t="str">
        <f>IF(DB_Artworks_Export!B360="","",DB_Artworks_Export!B360)</f>
        <v/>
      </c>
      <c r="F360" s="2" t="str">
        <f>IF(DB_Artworks_Export!C360="","",DB_Artworks_Export!C360)</f>
        <v/>
      </c>
      <c r="G360" s="2" t="str">
        <f>IF(DB_Artworks_Export!D360="","",DB_Artworks_Export!D360)</f>
        <v/>
      </c>
      <c r="H360" s="2" t="str">
        <f>IF(DB_Artworks_Export!E360="","",DB_Artworks_Export!E360)</f>
        <v/>
      </c>
      <c r="I360" s="2" t="str">
        <f>IF(DB_Artworks_Export!F360="","",DB_Artworks_Export!F360)</f>
        <v/>
      </c>
      <c r="J360" s="2" t="str">
        <f>IF(DB_Artworks_Export!G360="","",DB_Artworks_Export!G360)</f>
        <v/>
      </c>
      <c r="K360" s="2" t="str">
        <f>IF(DB_Artworks_Export!H360="","",DB_Artworks_Export!H360)</f>
        <v/>
      </c>
      <c r="L360" s="2" t="str">
        <f>IF(DB_Artworks_Export!I360="","",DB_Artworks_Export!I360)</f>
        <v/>
      </c>
      <c r="M360" s="2" t="str">
        <f>IF(DB_Artworks_Export!J360="","",DB_Artworks_Export!J360)</f>
        <v/>
      </c>
      <c r="N360" s="2" t="str">
        <f>IF(DB_Artworks_Export!K360="","",DB_Artworks_Export!K360)</f>
        <v/>
      </c>
      <c r="O360" s="2" t="str">
        <f>IF(DB_Artworks_Export!L360="","",DB_Artworks_Export!L360)</f>
        <v/>
      </c>
      <c r="P360" s="2" t="str">
        <f>IF(DB_Artworks_Export!M360="","",DB_Artworks_Export!M360)</f>
        <v/>
      </c>
      <c r="Q360" s="2" t="str">
        <f>IF(DB_Artworks_Export!N360="","",DB_Artworks_Export!N360)</f>
        <v/>
      </c>
      <c r="R360" s="2" t="str">
        <f>IF($D360="","",IF(COUNTIF(DB_Categories_Export!$A:$A,$F360)&gt;0,"OK","INVALID CATEGORY"))</f>
        <v/>
      </c>
      <c r="S360" s="2" t="str">
        <f>IF($D360="","",COUNTIF(DB_Artwork_Sizes_Export!$B:$B,$D360))</f>
        <v/>
      </c>
      <c r="T360" s="2" t="str">
        <f>IF($D360="","",IFERROR(INDEX(DB_Artwork_Sizes_Export!$D:$D,MATCH($D360,DB_Artwork_Sizes_Export!$B:$B,0)),""))</f>
        <v/>
      </c>
      <c r="U360" s="2" t="str">
        <f>IF($D360="","",IFERROR(INDEX(DB_Artwork_Sizes_Export!$E:$E,MATCH($D360,DB_Artwork_Sizes_Export!$B:$B,0)),""))</f>
        <v/>
      </c>
      <c r="V360" s="2" t="str">
        <f>IF($D360="","",IFERROR(INDEX(DB_Artwork_Sizes_Export!$F:$F,MATCH($D360,DB_Artwork_Sizes_Export!$B:$B,0)),""))</f>
        <v/>
      </c>
      <c r="W360" s="2" t="str">
        <f t="shared" si="52"/>
        <v/>
      </c>
      <c r="X360" s="2"/>
      <c r="Y360" s="2"/>
      <c r="Z360" s="2"/>
      <c r="AA360" s="2"/>
      <c r="AB360" s="2"/>
      <c r="AC360" s="2"/>
      <c r="AD360" s="2"/>
      <c r="AE360" s="2"/>
      <c r="AF360" s="2" t="str">
        <f t="shared" si="53"/>
        <v/>
      </c>
      <c r="AG360" s="2" t="str">
        <f t="shared" si="54"/>
        <v/>
      </c>
      <c r="AH360" s="2" t="str">
        <f>IF($AG360="","",IFERROR(VLOOKUP($AG360,DB_Categories_Export!$A:$B,2,FALSE()),"INVALID CATEGORY"))</f>
        <v/>
      </c>
      <c r="AI360" s="2" t="str">
        <f t="shared" si="55"/>
        <v/>
      </c>
      <c r="AJ360" s="2" t="str">
        <f t="shared" si="56"/>
        <v/>
      </c>
      <c r="AK360" s="2" t="str">
        <f t="shared" si="57"/>
        <v/>
      </c>
      <c r="AL360" s="2" t="str">
        <f t="shared" si="58"/>
        <v/>
      </c>
      <c r="AM360" s="2" t="str">
        <f t="shared" si="59"/>
        <v/>
      </c>
      <c r="AN360" s="2"/>
      <c r="AO360" s="2"/>
    </row>
    <row r="361" spans="1:41" ht="12" customHeight="1" x14ac:dyDescent="0.3">
      <c r="A361" s="2"/>
      <c r="B361" s="2" t="str">
        <f t="shared" si="50"/>
        <v/>
      </c>
      <c r="C361" s="2" t="str">
        <f t="shared" si="51"/>
        <v/>
      </c>
      <c r="D361" s="2" t="str">
        <f>IF(DB_Artworks_Export!A361="","",DB_Artworks_Export!A361)</f>
        <v/>
      </c>
      <c r="E361" s="2" t="str">
        <f>IF(DB_Artworks_Export!B361="","",DB_Artworks_Export!B361)</f>
        <v/>
      </c>
      <c r="F361" s="2" t="str">
        <f>IF(DB_Artworks_Export!C361="","",DB_Artworks_Export!C361)</f>
        <v/>
      </c>
      <c r="G361" s="2" t="str">
        <f>IF(DB_Artworks_Export!D361="","",DB_Artworks_Export!D361)</f>
        <v/>
      </c>
      <c r="H361" s="2" t="str">
        <f>IF(DB_Artworks_Export!E361="","",DB_Artworks_Export!E361)</f>
        <v/>
      </c>
      <c r="I361" s="2" t="str">
        <f>IF(DB_Artworks_Export!F361="","",DB_Artworks_Export!F361)</f>
        <v/>
      </c>
      <c r="J361" s="2" t="str">
        <f>IF(DB_Artworks_Export!G361="","",DB_Artworks_Export!G361)</f>
        <v/>
      </c>
      <c r="K361" s="2" t="str">
        <f>IF(DB_Artworks_Export!H361="","",DB_Artworks_Export!H361)</f>
        <v/>
      </c>
      <c r="L361" s="2" t="str">
        <f>IF(DB_Artworks_Export!I361="","",DB_Artworks_Export!I361)</f>
        <v/>
      </c>
      <c r="M361" s="2" t="str">
        <f>IF(DB_Artworks_Export!J361="","",DB_Artworks_Export!J361)</f>
        <v/>
      </c>
      <c r="N361" s="2" t="str">
        <f>IF(DB_Artworks_Export!K361="","",DB_Artworks_Export!K361)</f>
        <v/>
      </c>
      <c r="O361" s="2" t="str">
        <f>IF(DB_Artworks_Export!L361="","",DB_Artworks_Export!L361)</f>
        <v/>
      </c>
      <c r="P361" s="2" t="str">
        <f>IF(DB_Artworks_Export!M361="","",DB_Artworks_Export!M361)</f>
        <v/>
      </c>
      <c r="Q361" s="2" t="str">
        <f>IF(DB_Artworks_Export!N361="","",DB_Artworks_Export!N361)</f>
        <v/>
      </c>
      <c r="R361" s="2" t="str">
        <f>IF($D361="","",IF(COUNTIF(DB_Categories_Export!$A:$A,$F361)&gt;0,"OK","INVALID CATEGORY"))</f>
        <v/>
      </c>
      <c r="S361" s="2" t="str">
        <f>IF($D361="","",COUNTIF(DB_Artwork_Sizes_Export!$B:$B,$D361))</f>
        <v/>
      </c>
      <c r="T361" s="2" t="str">
        <f>IF($D361="","",IFERROR(INDEX(DB_Artwork_Sizes_Export!$D:$D,MATCH($D361,DB_Artwork_Sizes_Export!$B:$B,0)),""))</f>
        <v/>
      </c>
      <c r="U361" s="2" t="str">
        <f>IF($D361="","",IFERROR(INDEX(DB_Artwork_Sizes_Export!$E:$E,MATCH($D361,DB_Artwork_Sizes_Export!$B:$B,0)),""))</f>
        <v/>
      </c>
      <c r="V361" s="2" t="str">
        <f>IF($D361="","",IFERROR(INDEX(DB_Artwork_Sizes_Export!$F:$F,MATCH($D361,DB_Artwork_Sizes_Export!$B:$B,0)),""))</f>
        <v/>
      </c>
      <c r="W361" s="2" t="str">
        <f t="shared" si="52"/>
        <v/>
      </c>
      <c r="X361" s="2"/>
      <c r="Y361" s="2"/>
      <c r="Z361" s="2"/>
      <c r="AA361" s="2"/>
      <c r="AB361" s="2"/>
      <c r="AC361" s="2"/>
      <c r="AD361" s="2"/>
      <c r="AE361" s="2"/>
      <c r="AF361" s="2" t="str">
        <f t="shared" si="53"/>
        <v/>
      </c>
      <c r="AG361" s="2" t="str">
        <f t="shared" si="54"/>
        <v/>
      </c>
      <c r="AH361" s="2" t="str">
        <f>IF($AG361="","",IFERROR(VLOOKUP($AG361,DB_Categories_Export!$A:$B,2,FALSE()),"INVALID CATEGORY"))</f>
        <v/>
      </c>
      <c r="AI361" s="2" t="str">
        <f t="shared" si="55"/>
        <v/>
      </c>
      <c r="AJ361" s="2" t="str">
        <f t="shared" si="56"/>
        <v/>
      </c>
      <c r="AK361" s="2" t="str">
        <f t="shared" si="57"/>
        <v/>
      </c>
      <c r="AL361" s="2" t="str">
        <f t="shared" si="58"/>
        <v/>
      </c>
      <c r="AM361" s="2" t="str">
        <f t="shared" si="59"/>
        <v/>
      </c>
      <c r="AN361" s="2"/>
      <c r="AO361" s="2"/>
    </row>
    <row r="362" spans="1:41" ht="12" customHeight="1" x14ac:dyDescent="0.3">
      <c r="A362" s="2"/>
      <c r="B362" s="2" t="str">
        <f t="shared" si="50"/>
        <v/>
      </c>
      <c r="C362" s="2" t="str">
        <f t="shared" si="51"/>
        <v/>
      </c>
      <c r="D362" s="2" t="str">
        <f>IF(DB_Artworks_Export!A362="","",DB_Artworks_Export!A362)</f>
        <v/>
      </c>
      <c r="E362" s="2" t="str">
        <f>IF(DB_Artworks_Export!B362="","",DB_Artworks_Export!B362)</f>
        <v/>
      </c>
      <c r="F362" s="2" t="str">
        <f>IF(DB_Artworks_Export!C362="","",DB_Artworks_Export!C362)</f>
        <v/>
      </c>
      <c r="G362" s="2" t="str">
        <f>IF(DB_Artworks_Export!D362="","",DB_Artworks_Export!D362)</f>
        <v/>
      </c>
      <c r="H362" s="2" t="str">
        <f>IF(DB_Artworks_Export!E362="","",DB_Artworks_Export!E362)</f>
        <v/>
      </c>
      <c r="I362" s="2" t="str">
        <f>IF(DB_Artworks_Export!F362="","",DB_Artworks_Export!F362)</f>
        <v/>
      </c>
      <c r="J362" s="2" t="str">
        <f>IF(DB_Artworks_Export!G362="","",DB_Artworks_Export!G362)</f>
        <v/>
      </c>
      <c r="K362" s="2" t="str">
        <f>IF(DB_Artworks_Export!H362="","",DB_Artworks_Export!H362)</f>
        <v/>
      </c>
      <c r="L362" s="2" t="str">
        <f>IF(DB_Artworks_Export!I362="","",DB_Artworks_Export!I362)</f>
        <v/>
      </c>
      <c r="M362" s="2" t="str">
        <f>IF(DB_Artworks_Export!J362="","",DB_Artworks_Export!J362)</f>
        <v/>
      </c>
      <c r="N362" s="2" t="str">
        <f>IF(DB_Artworks_Export!K362="","",DB_Artworks_Export!K362)</f>
        <v/>
      </c>
      <c r="O362" s="2" t="str">
        <f>IF(DB_Artworks_Export!L362="","",DB_Artworks_Export!L362)</f>
        <v/>
      </c>
      <c r="P362" s="2" t="str">
        <f>IF(DB_Artworks_Export!M362="","",DB_Artworks_Export!M362)</f>
        <v/>
      </c>
      <c r="Q362" s="2" t="str">
        <f>IF(DB_Artworks_Export!N362="","",DB_Artworks_Export!N362)</f>
        <v/>
      </c>
      <c r="R362" s="2" t="str">
        <f>IF($D362="","",IF(COUNTIF(DB_Categories_Export!$A:$A,$F362)&gt;0,"OK","INVALID CATEGORY"))</f>
        <v/>
      </c>
      <c r="S362" s="2" t="str">
        <f>IF($D362="","",COUNTIF(DB_Artwork_Sizes_Export!$B:$B,$D362))</f>
        <v/>
      </c>
      <c r="T362" s="2" t="str">
        <f>IF($D362="","",IFERROR(INDEX(DB_Artwork_Sizes_Export!$D:$D,MATCH($D362,DB_Artwork_Sizes_Export!$B:$B,0)),""))</f>
        <v/>
      </c>
      <c r="U362" s="2" t="str">
        <f>IF($D362="","",IFERROR(INDEX(DB_Artwork_Sizes_Export!$E:$E,MATCH($D362,DB_Artwork_Sizes_Export!$B:$B,0)),""))</f>
        <v/>
      </c>
      <c r="V362" s="2" t="str">
        <f>IF($D362="","",IFERROR(INDEX(DB_Artwork_Sizes_Export!$F:$F,MATCH($D362,DB_Artwork_Sizes_Export!$B:$B,0)),""))</f>
        <v/>
      </c>
      <c r="W362" s="2" t="str">
        <f t="shared" si="52"/>
        <v/>
      </c>
      <c r="X362" s="2"/>
      <c r="Y362" s="2"/>
      <c r="Z362" s="2"/>
      <c r="AA362" s="2"/>
      <c r="AB362" s="2"/>
      <c r="AC362" s="2"/>
      <c r="AD362" s="2"/>
      <c r="AE362" s="2"/>
      <c r="AF362" s="2" t="str">
        <f t="shared" si="53"/>
        <v/>
      </c>
      <c r="AG362" s="2" t="str">
        <f t="shared" si="54"/>
        <v/>
      </c>
      <c r="AH362" s="2" t="str">
        <f>IF($AG362="","",IFERROR(VLOOKUP($AG362,DB_Categories_Export!$A:$B,2,FALSE()),"INVALID CATEGORY"))</f>
        <v/>
      </c>
      <c r="AI362" s="2" t="str">
        <f t="shared" si="55"/>
        <v/>
      </c>
      <c r="AJ362" s="2" t="str">
        <f t="shared" si="56"/>
        <v/>
      </c>
      <c r="AK362" s="2" t="str">
        <f t="shared" si="57"/>
        <v/>
      </c>
      <c r="AL362" s="2" t="str">
        <f t="shared" si="58"/>
        <v/>
      </c>
      <c r="AM362" s="2" t="str">
        <f t="shared" si="59"/>
        <v/>
      </c>
      <c r="AN362" s="2"/>
      <c r="AO362" s="2"/>
    </row>
    <row r="363" spans="1:41" ht="12" customHeight="1" x14ac:dyDescent="0.3">
      <c r="A363" s="2"/>
      <c r="B363" s="2" t="str">
        <f t="shared" si="50"/>
        <v/>
      </c>
      <c r="C363" s="2" t="str">
        <f t="shared" si="51"/>
        <v/>
      </c>
      <c r="D363" s="2" t="str">
        <f>IF(DB_Artworks_Export!A363="","",DB_Artworks_Export!A363)</f>
        <v/>
      </c>
      <c r="E363" s="2" t="str">
        <f>IF(DB_Artworks_Export!B363="","",DB_Artworks_Export!B363)</f>
        <v/>
      </c>
      <c r="F363" s="2" t="str">
        <f>IF(DB_Artworks_Export!C363="","",DB_Artworks_Export!C363)</f>
        <v/>
      </c>
      <c r="G363" s="2" t="str">
        <f>IF(DB_Artworks_Export!D363="","",DB_Artworks_Export!D363)</f>
        <v/>
      </c>
      <c r="H363" s="2" t="str">
        <f>IF(DB_Artworks_Export!E363="","",DB_Artworks_Export!E363)</f>
        <v/>
      </c>
      <c r="I363" s="2" t="str">
        <f>IF(DB_Artworks_Export!F363="","",DB_Artworks_Export!F363)</f>
        <v/>
      </c>
      <c r="J363" s="2" t="str">
        <f>IF(DB_Artworks_Export!G363="","",DB_Artworks_Export!G363)</f>
        <v/>
      </c>
      <c r="K363" s="2" t="str">
        <f>IF(DB_Artworks_Export!H363="","",DB_Artworks_Export!H363)</f>
        <v/>
      </c>
      <c r="L363" s="2" t="str">
        <f>IF(DB_Artworks_Export!I363="","",DB_Artworks_Export!I363)</f>
        <v/>
      </c>
      <c r="M363" s="2" t="str">
        <f>IF(DB_Artworks_Export!J363="","",DB_Artworks_Export!J363)</f>
        <v/>
      </c>
      <c r="N363" s="2" t="str">
        <f>IF(DB_Artworks_Export!K363="","",DB_Artworks_Export!K363)</f>
        <v/>
      </c>
      <c r="O363" s="2" t="str">
        <f>IF(DB_Artworks_Export!L363="","",DB_Artworks_Export!L363)</f>
        <v/>
      </c>
      <c r="P363" s="2" t="str">
        <f>IF(DB_Artworks_Export!M363="","",DB_Artworks_Export!M363)</f>
        <v/>
      </c>
      <c r="Q363" s="2" t="str">
        <f>IF(DB_Artworks_Export!N363="","",DB_Artworks_Export!N363)</f>
        <v/>
      </c>
      <c r="R363" s="2" t="str">
        <f>IF($D363="","",IF(COUNTIF(DB_Categories_Export!$A:$A,$F363)&gt;0,"OK","INVALID CATEGORY"))</f>
        <v/>
      </c>
      <c r="S363" s="2" t="str">
        <f>IF($D363="","",COUNTIF(DB_Artwork_Sizes_Export!$B:$B,$D363))</f>
        <v/>
      </c>
      <c r="T363" s="2" t="str">
        <f>IF($D363="","",IFERROR(INDEX(DB_Artwork_Sizes_Export!$D:$D,MATCH($D363,DB_Artwork_Sizes_Export!$B:$B,0)),""))</f>
        <v/>
      </c>
      <c r="U363" s="2" t="str">
        <f>IF($D363="","",IFERROR(INDEX(DB_Artwork_Sizes_Export!$E:$E,MATCH($D363,DB_Artwork_Sizes_Export!$B:$B,0)),""))</f>
        <v/>
      </c>
      <c r="V363" s="2" t="str">
        <f>IF($D363="","",IFERROR(INDEX(DB_Artwork_Sizes_Export!$F:$F,MATCH($D363,DB_Artwork_Sizes_Export!$B:$B,0)),""))</f>
        <v/>
      </c>
      <c r="W363" s="2" t="str">
        <f t="shared" si="52"/>
        <v/>
      </c>
      <c r="X363" s="2"/>
      <c r="Y363" s="2"/>
      <c r="Z363" s="2"/>
      <c r="AA363" s="2"/>
      <c r="AB363" s="2"/>
      <c r="AC363" s="2"/>
      <c r="AD363" s="2"/>
      <c r="AE363" s="2"/>
      <c r="AF363" s="2" t="str">
        <f t="shared" si="53"/>
        <v/>
      </c>
      <c r="AG363" s="2" t="str">
        <f t="shared" si="54"/>
        <v/>
      </c>
      <c r="AH363" s="2" t="str">
        <f>IF($AG363="","",IFERROR(VLOOKUP($AG363,DB_Categories_Export!$A:$B,2,FALSE()),"INVALID CATEGORY"))</f>
        <v/>
      </c>
      <c r="AI363" s="2" t="str">
        <f t="shared" si="55"/>
        <v/>
      </c>
      <c r="AJ363" s="2" t="str">
        <f t="shared" si="56"/>
        <v/>
      </c>
      <c r="AK363" s="2" t="str">
        <f t="shared" si="57"/>
        <v/>
      </c>
      <c r="AL363" s="2" t="str">
        <f t="shared" si="58"/>
        <v/>
      </c>
      <c r="AM363" s="2" t="str">
        <f t="shared" si="59"/>
        <v/>
      </c>
      <c r="AN363" s="2"/>
      <c r="AO363" s="2"/>
    </row>
    <row r="364" spans="1:41" ht="12" customHeight="1" x14ac:dyDescent="0.3">
      <c r="A364" s="2"/>
      <c r="B364" s="2" t="str">
        <f t="shared" si="50"/>
        <v/>
      </c>
      <c r="C364" s="2" t="str">
        <f t="shared" si="51"/>
        <v/>
      </c>
      <c r="D364" s="2" t="str">
        <f>IF(DB_Artworks_Export!A364="","",DB_Artworks_Export!A364)</f>
        <v/>
      </c>
      <c r="E364" s="2" t="str">
        <f>IF(DB_Artworks_Export!B364="","",DB_Artworks_Export!B364)</f>
        <v/>
      </c>
      <c r="F364" s="2" t="str">
        <f>IF(DB_Artworks_Export!C364="","",DB_Artworks_Export!C364)</f>
        <v/>
      </c>
      <c r="G364" s="2" t="str">
        <f>IF(DB_Artworks_Export!D364="","",DB_Artworks_Export!D364)</f>
        <v/>
      </c>
      <c r="H364" s="2" t="str">
        <f>IF(DB_Artworks_Export!E364="","",DB_Artworks_Export!E364)</f>
        <v/>
      </c>
      <c r="I364" s="2" t="str">
        <f>IF(DB_Artworks_Export!F364="","",DB_Artworks_Export!F364)</f>
        <v/>
      </c>
      <c r="J364" s="2" t="str">
        <f>IF(DB_Artworks_Export!G364="","",DB_Artworks_Export!G364)</f>
        <v/>
      </c>
      <c r="K364" s="2" t="str">
        <f>IF(DB_Artworks_Export!H364="","",DB_Artworks_Export!H364)</f>
        <v/>
      </c>
      <c r="L364" s="2" t="str">
        <f>IF(DB_Artworks_Export!I364="","",DB_Artworks_Export!I364)</f>
        <v/>
      </c>
      <c r="M364" s="2" t="str">
        <f>IF(DB_Artworks_Export!J364="","",DB_Artworks_Export!J364)</f>
        <v/>
      </c>
      <c r="N364" s="2" t="str">
        <f>IF(DB_Artworks_Export!K364="","",DB_Artworks_Export!K364)</f>
        <v/>
      </c>
      <c r="O364" s="2" t="str">
        <f>IF(DB_Artworks_Export!L364="","",DB_Artworks_Export!L364)</f>
        <v/>
      </c>
      <c r="P364" s="2" t="str">
        <f>IF(DB_Artworks_Export!M364="","",DB_Artworks_Export!M364)</f>
        <v/>
      </c>
      <c r="Q364" s="2" t="str">
        <f>IF(DB_Artworks_Export!N364="","",DB_Artworks_Export!N364)</f>
        <v/>
      </c>
      <c r="R364" s="2" t="str">
        <f>IF($D364="","",IF(COUNTIF(DB_Categories_Export!$A:$A,$F364)&gt;0,"OK","INVALID CATEGORY"))</f>
        <v/>
      </c>
      <c r="S364" s="2" t="str">
        <f>IF($D364="","",COUNTIF(DB_Artwork_Sizes_Export!$B:$B,$D364))</f>
        <v/>
      </c>
      <c r="T364" s="2" t="str">
        <f>IF($D364="","",IFERROR(INDEX(DB_Artwork_Sizes_Export!$D:$D,MATCH($D364,DB_Artwork_Sizes_Export!$B:$B,0)),""))</f>
        <v/>
      </c>
      <c r="U364" s="2" t="str">
        <f>IF($D364="","",IFERROR(INDEX(DB_Artwork_Sizes_Export!$E:$E,MATCH($D364,DB_Artwork_Sizes_Export!$B:$B,0)),""))</f>
        <v/>
      </c>
      <c r="V364" s="2" t="str">
        <f>IF($D364="","",IFERROR(INDEX(DB_Artwork_Sizes_Export!$F:$F,MATCH($D364,DB_Artwork_Sizes_Export!$B:$B,0)),""))</f>
        <v/>
      </c>
      <c r="W364" s="2" t="str">
        <f t="shared" si="52"/>
        <v/>
      </c>
      <c r="X364" s="2"/>
      <c r="Y364" s="2"/>
      <c r="Z364" s="2"/>
      <c r="AA364" s="2"/>
      <c r="AB364" s="2"/>
      <c r="AC364" s="2"/>
      <c r="AD364" s="2"/>
      <c r="AE364" s="2"/>
      <c r="AF364" s="2" t="str">
        <f t="shared" si="53"/>
        <v/>
      </c>
      <c r="AG364" s="2" t="str">
        <f t="shared" si="54"/>
        <v/>
      </c>
      <c r="AH364" s="2" t="str">
        <f>IF($AG364="","",IFERROR(VLOOKUP($AG364,DB_Categories_Export!$A:$B,2,FALSE()),"INVALID CATEGORY"))</f>
        <v/>
      </c>
      <c r="AI364" s="2" t="str">
        <f t="shared" si="55"/>
        <v/>
      </c>
      <c r="AJ364" s="2" t="str">
        <f t="shared" si="56"/>
        <v/>
      </c>
      <c r="AK364" s="2" t="str">
        <f t="shared" si="57"/>
        <v/>
      </c>
      <c r="AL364" s="2" t="str">
        <f t="shared" si="58"/>
        <v/>
      </c>
      <c r="AM364" s="2" t="str">
        <f t="shared" si="59"/>
        <v/>
      </c>
      <c r="AN364" s="2"/>
      <c r="AO364" s="2"/>
    </row>
    <row r="365" spans="1:41" ht="12" customHeight="1" x14ac:dyDescent="0.3">
      <c r="A365" s="2"/>
      <c r="B365" s="2" t="str">
        <f t="shared" si="50"/>
        <v/>
      </c>
      <c r="C365" s="2" t="str">
        <f t="shared" si="51"/>
        <v/>
      </c>
      <c r="D365" s="2" t="str">
        <f>IF(DB_Artworks_Export!A365="","",DB_Artworks_Export!A365)</f>
        <v/>
      </c>
      <c r="E365" s="2" t="str">
        <f>IF(DB_Artworks_Export!B365="","",DB_Artworks_Export!B365)</f>
        <v/>
      </c>
      <c r="F365" s="2" t="str">
        <f>IF(DB_Artworks_Export!C365="","",DB_Artworks_Export!C365)</f>
        <v/>
      </c>
      <c r="G365" s="2" t="str">
        <f>IF(DB_Artworks_Export!D365="","",DB_Artworks_Export!D365)</f>
        <v/>
      </c>
      <c r="H365" s="2" t="str">
        <f>IF(DB_Artworks_Export!E365="","",DB_Artworks_Export!E365)</f>
        <v/>
      </c>
      <c r="I365" s="2" t="str">
        <f>IF(DB_Artworks_Export!F365="","",DB_Artworks_Export!F365)</f>
        <v/>
      </c>
      <c r="J365" s="2" t="str">
        <f>IF(DB_Artworks_Export!G365="","",DB_Artworks_Export!G365)</f>
        <v/>
      </c>
      <c r="K365" s="2" t="str">
        <f>IF(DB_Artworks_Export!H365="","",DB_Artworks_Export!H365)</f>
        <v/>
      </c>
      <c r="L365" s="2" t="str">
        <f>IF(DB_Artworks_Export!I365="","",DB_Artworks_Export!I365)</f>
        <v/>
      </c>
      <c r="M365" s="2" t="str">
        <f>IF(DB_Artworks_Export!J365="","",DB_Artworks_Export!J365)</f>
        <v/>
      </c>
      <c r="N365" s="2" t="str">
        <f>IF(DB_Artworks_Export!K365="","",DB_Artworks_Export!K365)</f>
        <v/>
      </c>
      <c r="O365" s="2" t="str">
        <f>IF(DB_Artworks_Export!L365="","",DB_Artworks_Export!L365)</f>
        <v/>
      </c>
      <c r="P365" s="2" t="str">
        <f>IF(DB_Artworks_Export!M365="","",DB_Artworks_Export!M365)</f>
        <v/>
      </c>
      <c r="Q365" s="2" t="str">
        <f>IF(DB_Artworks_Export!N365="","",DB_Artworks_Export!N365)</f>
        <v/>
      </c>
      <c r="R365" s="2" t="str">
        <f>IF($D365="","",IF(COUNTIF(DB_Categories_Export!$A:$A,$F365)&gt;0,"OK","INVALID CATEGORY"))</f>
        <v/>
      </c>
      <c r="S365" s="2" t="str">
        <f>IF($D365="","",COUNTIF(DB_Artwork_Sizes_Export!$B:$B,$D365))</f>
        <v/>
      </c>
      <c r="T365" s="2" t="str">
        <f>IF($D365="","",IFERROR(INDEX(DB_Artwork_Sizes_Export!$D:$D,MATCH($D365,DB_Artwork_Sizes_Export!$B:$B,0)),""))</f>
        <v/>
      </c>
      <c r="U365" s="2" t="str">
        <f>IF($D365="","",IFERROR(INDEX(DB_Artwork_Sizes_Export!$E:$E,MATCH($D365,DB_Artwork_Sizes_Export!$B:$B,0)),""))</f>
        <v/>
      </c>
      <c r="V365" s="2" t="str">
        <f>IF($D365="","",IFERROR(INDEX(DB_Artwork_Sizes_Export!$F:$F,MATCH($D365,DB_Artwork_Sizes_Export!$B:$B,0)),""))</f>
        <v/>
      </c>
      <c r="W365" s="2" t="str">
        <f t="shared" si="52"/>
        <v/>
      </c>
      <c r="X365" s="2"/>
      <c r="Y365" s="2"/>
      <c r="Z365" s="2"/>
      <c r="AA365" s="2"/>
      <c r="AB365" s="2"/>
      <c r="AC365" s="2"/>
      <c r="AD365" s="2"/>
      <c r="AE365" s="2"/>
      <c r="AF365" s="2" t="str">
        <f t="shared" si="53"/>
        <v/>
      </c>
      <c r="AG365" s="2" t="str">
        <f t="shared" si="54"/>
        <v/>
      </c>
      <c r="AH365" s="2" t="str">
        <f>IF($AG365="","",IFERROR(VLOOKUP($AG365,DB_Categories_Export!$A:$B,2,FALSE()),"INVALID CATEGORY"))</f>
        <v/>
      </c>
      <c r="AI365" s="2" t="str">
        <f t="shared" si="55"/>
        <v/>
      </c>
      <c r="AJ365" s="2" t="str">
        <f t="shared" si="56"/>
        <v/>
      </c>
      <c r="AK365" s="2" t="str">
        <f t="shared" si="57"/>
        <v/>
      </c>
      <c r="AL365" s="2" t="str">
        <f t="shared" si="58"/>
        <v/>
      </c>
      <c r="AM365" s="2" t="str">
        <f t="shared" si="59"/>
        <v/>
      </c>
      <c r="AN365" s="2"/>
      <c r="AO365" s="2"/>
    </row>
    <row r="366" spans="1:41" ht="12" customHeight="1" x14ac:dyDescent="0.3">
      <c r="A366" s="2"/>
      <c r="B366" s="2" t="str">
        <f t="shared" si="50"/>
        <v/>
      </c>
      <c r="C366" s="2" t="str">
        <f t="shared" si="51"/>
        <v/>
      </c>
      <c r="D366" s="2" t="str">
        <f>IF(DB_Artworks_Export!A366="","",DB_Artworks_Export!A366)</f>
        <v/>
      </c>
      <c r="E366" s="2" t="str">
        <f>IF(DB_Artworks_Export!B366="","",DB_Artworks_Export!B366)</f>
        <v/>
      </c>
      <c r="F366" s="2" t="str">
        <f>IF(DB_Artworks_Export!C366="","",DB_Artworks_Export!C366)</f>
        <v/>
      </c>
      <c r="G366" s="2" t="str">
        <f>IF(DB_Artworks_Export!D366="","",DB_Artworks_Export!D366)</f>
        <v/>
      </c>
      <c r="H366" s="2" t="str">
        <f>IF(DB_Artworks_Export!E366="","",DB_Artworks_Export!E366)</f>
        <v/>
      </c>
      <c r="I366" s="2" t="str">
        <f>IF(DB_Artworks_Export!F366="","",DB_Artworks_Export!F366)</f>
        <v/>
      </c>
      <c r="J366" s="2" t="str">
        <f>IF(DB_Artworks_Export!G366="","",DB_Artworks_Export!G366)</f>
        <v/>
      </c>
      <c r="K366" s="2" t="str">
        <f>IF(DB_Artworks_Export!H366="","",DB_Artworks_Export!H366)</f>
        <v/>
      </c>
      <c r="L366" s="2" t="str">
        <f>IF(DB_Artworks_Export!I366="","",DB_Artworks_Export!I366)</f>
        <v/>
      </c>
      <c r="M366" s="2" t="str">
        <f>IF(DB_Artworks_Export!J366="","",DB_Artworks_Export!J366)</f>
        <v/>
      </c>
      <c r="N366" s="2" t="str">
        <f>IF(DB_Artworks_Export!K366="","",DB_Artworks_Export!K366)</f>
        <v/>
      </c>
      <c r="O366" s="2" t="str">
        <f>IF(DB_Artworks_Export!L366="","",DB_Artworks_Export!L366)</f>
        <v/>
      </c>
      <c r="P366" s="2" t="str">
        <f>IF(DB_Artworks_Export!M366="","",DB_Artworks_Export!M366)</f>
        <v/>
      </c>
      <c r="Q366" s="2" t="str">
        <f>IF(DB_Artworks_Export!N366="","",DB_Artworks_Export!N366)</f>
        <v/>
      </c>
      <c r="R366" s="2" t="str">
        <f>IF($D366="","",IF(COUNTIF(DB_Categories_Export!$A:$A,$F366)&gt;0,"OK","INVALID CATEGORY"))</f>
        <v/>
      </c>
      <c r="S366" s="2" t="str">
        <f>IF($D366="","",COUNTIF(DB_Artwork_Sizes_Export!$B:$B,$D366))</f>
        <v/>
      </c>
      <c r="T366" s="2" t="str">
        <f>IF($D366="","",IFERROR(INDEX(DB_Artwork_Sizes_Export!$D:$D,MATCH($D366,DB_Artwork_Sizes_Export!$B:$B,0)),""))</f>
        <v/>
      </c>
      <c r="U366" s="2" t="str">
        <f>IF($D366="","",IFERROR(INDEX(DB_Artwork_Sizes_Export!$E:$E,MATCH($D366,DB_Artwork_Sizes_Export!$B:$B,0)),""))</f>
        <v/>
      </c>
      <c r="V366" s="2" t="str">
        <f>IF($D366="","",IFERROR(INDEX(DB_Artwork_Sizes_Export!$F:$F,MATCH($D366,DB_Artwork_Sizes_Export!$B:$B,0)),""))</f>
        <v/>
      </c>
      <c r="W366" s="2" t="str">
        <f t="shared" si="52"/>
        <v/>
      </c>
      <c r="X366" s="2"/>
      <c r="Y366" s="2"/>
      <c r="Z366" s="2"/>
      <c r="AA366" s="2"/>
      <c r="AB366" s="2"/>
      <c r="AC366" s="2"/>
      <c r="AD366" s="2"/>
      <c r="AE366" s="2"/>
      <c r="AF366" s="2" t="str">
        <f t="shared" si="53"/>
        <v/>
      </c>
      <c r="AG366" s="2" t="str">
        <f t="shared" si="54"/>
        <v/>
      </c>
      <c r="AH366" s="2" t="str">
        <f>IF($AG366="","",IFERROR(VLOOKUP($AG366,DB_Categories_Export!$A:$B,2,FALSE()),"INVALID CATEGORY"))</f>
        <v/>
      </c>
      <c r="AI366" s="2" t="str">
        <f t="shared" si="55"/>
        <v/>
      </c>
      <c r="AJ366" s="2" t="str">
        <f t="shared" si="56"/>
        <v/>
      </c>
      <c r="AK366" s="2" t="str">
        <f t="shared" si="57"/>
        <v/>
      </c>
      <c r="AL366" s="2" t="str">
        <f t="shared" si="58"/>
        <v/>
      </c>
      <c r="AM366" s="2" t="str">
        <f t="shared" si="59"/>
        <v/>
      </c>
      <c r="AN366" s="2"/>
      <c r="AO366" s="2"/>
    </row>
    <row r="367" spans="1:41" ht="12" customHeight="1" x14ac:dyDescent="0.3">
      <c r="A367" s="2"/>
      <c r="B367" s="2" t="str">
        <f t="shared" si="50"/>
        <v/>
      </c>
      <c r="C367" s="2" t="str">
        <f t="shared" si="51"/>
        <v/>
      </c>
      <c r="D367" s="2" t="str">
        <f>IF(DB_Artworks_Export!A367="","",DB_Artworks_Export!A367)</f>
        <v/>
      </c>
      <c r="E367" s="2" t="str">
        <f>IF(DB_Artworks_Export!B367="","",DB_Artworks_Export!B367)</f>
        <v/>
      </c>
      <c r="F367" s="2" t="str">
        <f>IF(DB_Artworks_Export!C367="","",DB_Artworks_Export!C367)</f>
        <v/>
      </c>
      <c r="G367" s="2" t="str">
        <f>IF(DB_Artworks_Export!D367="","",DB_Artworks_Export!D367)</f>
        <v/>
      </c>
      <c r="H367" s="2" t="str">
        <f>IF(DB_Artworks_Export!E367="","",DB_Artworks_Export!E367)</f>
        <v/>
      </c>
      <c r="I367" s="2" t="str">
        <f>IF(DB_Artworks_Export!F367="","",DB_Artworks_Export!F367)</f>
        <v/>
      </c>
      <c r="J367" s="2" t="str">
        <f>IF(DB_Artworks_Export!G367="","",DB_Artworks_Export!G367)</f>
        <v/>
      </c>
      <c r="K367" s="2" t="str">
        <f>IF(DB_Artworks_Export!H367="","",DB_Artworks_Export!H367)</f>
        <v/>
      </c>
      <c r="L367" s="2" t="str">
        <f>IF(DB_Artworks_Export!I367="","",DB_Artworks_Export!I367)</f>
        <v/>
      </c>
      <c r="M367" s="2" t="str">
        <f>IF(DB_Artworks_Export!J367="","",DB_Artworks_Export!J367)</f>
        <v/>
      </c>
      <c r="N367" s="2" t="str">
        <f>IF(DB_Artworks_Export!K367="","",DB_Artworks_Export!K367)</f>
        <v/>
      </c>
      <c r="O367" s="2" t="str">
        <f>IF(DB_Artworks_Export!L367="","",DB_Artworks_Export!L367)</f>
        <v/>
      </c>
      <c r="P367" s="2" t="str">
        <f>IF(DB_Artworks_Export!M367="","",DB_Artworks_Export!M367)</f>
        <v/>
      </c>
      <c r="Q367" s="2" t="str">
        <f>IF(DB_Artworks_Export!N367="","",DB_Artworks_Export!N367)</f>
        <v/>
      </c>
      <c r="R367" s="2" t="str">
        <f>IF($D367="","",IF(COUNTIF(DB_Categories_Export!$A:$A,$F367)&gt;0,"OK","INVALID CATEGORY"))</f>
        <v/>
      </c>
      <c r="S367" s="2" t="str">
        <f>IF($D367="","",COUNTIF(DB_Artwork_Sizes_Export!$B:$B,$D367))</f>
        <v/>
      </c>
      <c r="T367" s="2" t="str">
        <f>IF($D367="","",IFERROR(INDEX(DB_Artwork_Sizes_Export!$D:$D,MATCH($D367,DB_Artwork_Sizes_Export!$B:$B,0)),""))</f>
        <v/>
      </c>
      <c r="U367" s="2" t="str">
        <f>IF($D367="","",IFERROR(INDEX(DB_Artwork_Sizes_Export!$E:$E,MATCH($D367,DB_Artwork_Sizes_Export!$B:$B,0)),""))</f>
        <v/>
      </c>
      <c r="V367" s="2" t="str">
        <f>IF($D367="","",IFERROR(INDEX(DB_Artwork_Sizes_Export!$F:$F,MATCH($D367,DB_Artwork_Sizes_Export!$B:$B,0)),""))</f>
        <v/>
      </c>
      <c r="W367" s="2" t="str">
        <f t="shared" si="52"/>
        <v/>
      </c>
      <c r="X367" s="2"/>
      <c r="Y367" s="2"/>
      <c r="Z367" s="2"/>
      <c r="AA367" s="2"/>
      <c r="AB367" s="2"/>
      <c r="AC367" s="2"/>
      <c r="AD367" s="2"/>
      <c r="AE367" s="2"/>
      <c r="AF367" s="2" t="str">
        <f t="shared" si="53"/>
        <v/>
      </c>
      <c r="AG367" s="2" t="str">
        <f t="shared" si="54"/>
        <v/>
      </c>
      <c r="AH367" s="2" t="str">
        <f>IF($AG367="","",IFERROR(VLOOKUP($AG367,DB_Categories_Export!$A:$B,2,FALSE()),"INVALID CATEGORY"))</f>
        <v/>
      </c>
      <c r="AI367" s="2" t="str">
        <f t="shared" si="55"/>
        <v/>
      </c>
      <c r="AJ367" s="2" t="str">
        <f t="shared" si="56"/>
        <v/>
      </c>
      <c r="AK367" s="2" t="str">
        <f t="shared" si="57"/>
        <v/>
      </c>
      <c r="AL367" s="2" t="str">
        <f t="shared" si="58"/>
        <v/>
      </c>
      <c r="AM367" s="2" t="str">
        <f t="shared" si="59"/>
        <v/>
      </c>
      <c r="AN367" s="2"/>
      <c r="AO367" s="2"/>
    </row>
    <row r="368" spans="1:41" ht="12" customHeight="1" x14ac:dyDescent="0.3">
      <c r="A368" s="2"/>
      <c r="B368" s="2" t="str">
        <f t="shared" si="50"/>
        <v/>
      </c>
      <c r="C368" s="2" t="str">
        <f t="shared" si="51"/>
        <v/>
      </c>
      <c r="D368" s="2" t="str">
        <f>IF(DB_Artworks_Export!A368="","",DB_Artworks_Export!A368)</f>
        <v/>
      </c>
      <c r="E368" s="2" t="str">
        <f>IF(DB_Artworks_Export!B368="","",DB_Artworks_Export!B368)</f>
        <v/>
      </c>
      <c r="F368" s="2" t="str">
        <f>IF(DB_Artworks_Export!C368="","",DB_Artworks_Export!C368)</f>
        <v/>
      </c>
      <c r="G368" s="2" t="str">
        <f>IF(DB_Artworks_Export!D368="","",DB_Artworks_Export!D368)</f>
        <v/>
      </c>
      <c r="H368" s="2" t="str">
        <f>IF(DB_Artworks_Export!E368="","",DB_Artworks_Export!E368)</f>
        <v/>
      </c>
      <c r="I368" s="2" t="str">
        <f>IF(DB_Artworks_Export!F368="","",DB_Artworks_Export!F368)</f>
        <v/>
      </c>
      <c r="J368" s="2" t="str">
        <f>IF(DB_Artworks_Export!G368="","",DB_Artworks_Export!G368)</f>
        <v/>
      </c>
      <c r="K368" s="2" t="str">
        <f>IF(DB_Artworks_Export!H368="","",DB_Artworks_Export!H368)</f>
        <v/>
      </c>
      <c r="L368" s="2" t="str">
        <f>IF(DB_Artworks_Export!I368="","",DB_Artworks_Export!I368)</f>
        <v/>
      </c>
      <c r="M368" s="2" t="str">
        <f>IF(DB_Artworks_Export!J368="","",DB_Artworks_Export!J368)</f>
        <v/>
      </c>
      <c r="N368" s="2" t="str">
        <f>IF(DB_Artworks_Export!K368="","",DB_Artworks_Export!K368)</f>
        <v/>
      </c>
      <c r="O368" s="2" t="str">
        <f>IF(DB_Artworks_Export!L368="","",DB_Artworks_Export!L368)</f>
        <v/>
      </c>
      <c r="P368" s="2" t="str">
        <f>IF(DB_Artworks_Export!M368="","",DB_Artworks_Export!M368)</f>
        <v/>
      </c>
      <c r="Q368" s="2" t="str">
        <f>IF(DB_Artworks_Export!N368="","",DB_Artworks_Export!N368)</f>
        <v/>
      </c>
      <c r="R368" s="2" t="str">
        <f>IF($D368="","",IF(COUNTIF(DB_Categories_Export!$A:$A,$F368)&gt;0,"OK","INVALID CATEGORY"))</f>
        <v/>
      </c>
      <c r="S368" s="2" t="str">
        <f>IF($D368="","",COUNTIF(DB_Artwork_Sizes_Export!$B:$B,$D368))</f>
        <v/>
      </c>
      <c r="T368" s="2" t="str">
        <f>IF($D368="","",IFERROR(INDEX(DB_Artwork_Sizes_Export!$D:$D,MATCH($D368,DB_Artwork_Sizes_Export!$B:$B,0)),""))</f>
        <v/>
      </c>
      <c r="U368" s="2" t="str">
        <f>IF($D368="","",IFERROR(INDEX(DB_Artwork_Sizes_Export!$E:$E,MATCH($D368,DB_Artwork_Sizes_Export!$B:$B,0)),""))</f>
        <v/>
      </c>
      <c r="V368" s="2" t="str">
        <f>IF($D368="","",IFERROR(INDEX(DB_Artwork_Sizes_Export!$F:$F,MATCH($D368,DB_Artwork_Sizes_Export!$B:$B,0)),""))</f>
        <v/>
      </c>
      <c r="W368" s="2" t="str">
        <f t="shared" si="52"/>
        <v/>
      </c>
      <c r="X368" s="2"/>
      <c r="Y368" s="2"/>
      <c r="Z368" s="2"/>
      <c r="AA368" s="2"/>
      <c r="AB368" s="2"/>
      <c r="AC368" s="2"/>
      <c r="AD368" s="2"/>
      <c r="AE368" s="2"/>
      <c r="AF368" s="2" t="str">
        <f t="shared" si="53"/>
        <v/>
      </c>
      <c r="AG368" s="2" t="str">
        <f t="shared" si="54"/>
        <v/>
      </c>
      <c r="AH368" s="2" t="str">
        <f>IF($AG368="","",IFERROR(VLOOKUP($AG368,DB_Categories_Export!$A:$B,2,FALSE()),"INVALID CATEGORY"))</f>
        <v/>
      </c>
      <c r="AI368" s="2" t="str">
        <f t="shared" si="55"/>
        <v/>
      </c>
      <c r="AJ368" s="2" t="str">
        <f t="shared" si="56"/>
        <v/>
      </c>
      <c r="AK368" s="2" t="str">
        <f t="shared" si="57"/>
        <v/>
      </c>
      <c r="AL368" s="2" t="str">
        <f t="shared" si="58"/>
        <v/>
      </c>
      <c r="AM368" s="2" t="str">
        <f t="shared" si="59"/>
        <v/>
      </c>
      <c r="AN368" s="2"/>
      <c r="AO368" s="2"/>
    </row>
    <row r="369" spans="1:41" ht="12" customHeight="1" x14ac:dyDescent="0.3">
      <c r="A369" s="2"/>
      <c r="B369" s="2" t="str">
        <f t="shared" si="50"/>
        <v/>
      </c>
      <c r="C369" s="2" t="str">
        <f t="shared" si="51"/>
        <v/>
      </c>
      <c r="D369" s="2" t="str">
        <f>IF(DB_Artworks_Export!A369="","",DB_Artworks_Export!A369)</f>
        <v/>
      </c>
      <c r="E369" s="2" t="str">
        <f>IF(DB_Artworks_Export!B369="","",DB_Artworks_Export!B369)</f>
        <v/>
      </c>
      <c r="F369" s="2" t="str">
        <f>IF(DB_Artworks_Export!C369="","",DB_Artworks_Export!C369)</f>
        <v/>
      </c>
      <c r="G369" s="2" t="str">
        <f>IF(DB_Artworks_Export!D369="","",DB_Artworks_Export!D369)</f>
        <v/>
      </c>
      <c r="H369" s="2" t="str">
        <f>IF(DB_Artworks_Export!E369="","",DB_Artworks_Export!E369)</f>
        <v/>
      </c>
      <c r="I369" s="2" t="str">
        <f>IF(DB_Artworks_Export!F369="","",DB_Artworks_Export!F369)</f>
        <v/>
      </c>
      <c r="J369" s="2" t="str">
        <f>IF(DB_Artworks_Export!G369="","",DB_Artworks_Export!G369)</f>
        <v/>
      </c>
      <c r="K369" s="2" t="str">
        <f>IF(DB_Artworks_Export!H369="","",DB_Artworks_Export!H369)</f>
        <v/>
      </c>
      <c r="L369" s="2" t="str">
        <f>IF(DB_Artworks_Export!I369="","",DB_Artworks_Export!I369)</f>
        <v/>
      </c>
      <c r="M369" s="2" t="str">
        <f>IF(DB_Artworks_Export!J369="","",DB_Artworks_Export!J369)</f>
        <v/>
      </c>
      <c r="N369" s="2" t="str">
        <f>IF(DB_Artworks_Export!K369="","",DB_Artworks_Export!K369)</f>
        <v/>
      </c>
      <c r="O369" s="2" t="str">
        <f>IF(DB_Artworks_Export!L369="","",DB_Artworks_Export!L369)</f>
        <v/>
      </c>
      <c r="P369" s="2" t="str">
        <f>IF(DB_Artworks_Export!M369="","",DB_Artworks_Export!M369)</f>
        <v/>
      </c>
      <c r="Q369" s="2" t="str">
        <f>IF(DB_Artworks_Export!N369="","",DB_Artworks_Export!N369)</f>
        <v/>
      </c>
      <c r="R369" s="2" t="str">
        <f>IF($D369="","",IF(COUNTIF(DB_Categories_Export!$A:$A,$F369)&gt;0,"OK","INVALID CATEGORY"))</f>
        <v/>
      </c>
      <c r="S369" s="2" t="str">
        <f>IF($D369="","",COUNTIF(DB_Artwork_Sizes_Export!$B:$B,$D369))</f>
        <v/>
      </c>
      <c r="T369" s="2" t="str">
        <f>IF($D369="","",IFERROR(INDEX(DB_Artwork_Sizes_Export!$D:$D,MATCH($D369,DB_Artwork_Sizes_Export!$B:$B,0)),""))</f>
        <v/>
      </c>
      <c r="U369" s="2" t="str">
        <f>IF($D369="","",IFERROR(INDEX(DB_Artwork_Sizes_Export!$E:$E,MATCH($D369,DB_Artwork_Sizes_Export!$B:$B,0)),""))</f>
        <v/>
      </c>
      <c r="V369" s="2" t="str">
        <f>IF($D369="","",IFERROR(INDEX(DB_Artwork_Sizes_Export!$F:$F,MATCH($D369,DB_Artwork_Sizes_Export!$B:$B,0)),""))</f>
        <v/>
      </c>
      <c r="W369" s="2" t="str">
        <f t="shared" si="52"/>
        <v/>
      </c>
      <c r="X369" s="2"/>
      <c r="Y369" s="2"/>
      <c r="Z369" s="2"/>
      <c r="AA369" s="2"/>
      <c r="AB369" s="2"/>
      <c r="AC369" s="2"/>
      <c r="AD369" s="2"/>
      <c r="AE369" s="2"/>
      <c r="AF369" s="2" t="str">
        <f t="shared" si="53"/>
        <v/>
      </c>
      <c r="AG369" s="2" t="str">
        <f t="shared" si="54"/>
        <v/>
      </c>
      <c r="AH369" s="2" t="str">
        <f>IF($AG369="","",IFERROR(VLOOKUP($AG369,DB_Categories_Export!$A:$B,2,FALSE()),"INVALID CATEGORY"))</f>
        <v/>
      </c>
      <c r="AI369" s="2" t="str">
        <f t="shared" si="55"/>
        <v/>
      </c>
      <c r="AJ369" s="2" t="str">
        <f t="shared" si="56"/>
        <v/>
      </c>
      <c r="AK369" s="2" t="str">
        <f t="shared" si="57"/>
        <v/>
      </c>
      <c r="AL369" s="2" t="str">
        <f t="shared" si="58"/>
        <v/>
      </c>
      <c r="AM369" s="2" t="str">
        <f t="shared" si="59"/>
        <v/>
      </c>
      <c r="AN369" s="2"/>
      <c r="AO369" s="2"/>
    </row>
    <row r="370" spans="1:41" ht="12" customHeight="1" x14ac:dyDescent="0.3">
      <c r="A370" s="2"/>
      <c r="B370" s="2" t="str">
        <f t="shared" si="50"/>
        <v/>
      </c>
      <c r="C370" s="2" t="str">
        <f t="shared" si="51"/>
        <v/>
      </c>
      <c r="D370" s="2" t="str">
        <f>IF(DB_Artworks_Export!A370="","",DB_Artworks_Export!A370)</f>
        <v/>
      </c>
      <c r="E370" s="2" t="str">
        <f>IF(DB_Artworks_Export!B370="","",DB_Artworks_Export!B370)</f>
        <v/>
      </c>
      <c r="F370" s="2" t="str">
        <f>IF(DB_Artworks_Export!C370="","",DB_Artworks_Export!C370)</f>
        <v/>
      </c>
      <c r="G370" s="2" t="str">
        <f>IF(DB_Artworks_Export!D370="","",DB_Artworks_Export!D370)</f>
        <v/>
      </c>
      <c r="H370" s="2" t="str">
        <f>IF(DB_Artworks_Export!E370="","",DB_Artworks_Export!E370)</f>
        <v/>
      </c>
      <c r="I370" s="2" t="str">
        <f>IF(DB_Artworks_Export!F370="","",DB_Artworks_Export!F370)</f>
        <v/>
      </c>
      <c r="J370" s="2" t="str">
        <f>IF(DB_Artworks_Export!G370="","",DB_Artworks_Export!G370)</f>
        <v/>
      </c>
      <c r="K370" s="2" t="str">
        <f>IF(DB_Artworks_Export!H370="","",DB_Artworks_Export!H370)</f>
        <v/>
      </c>
      <c r="L370" s="2" t="str">
        <f>IF(DB_Artworks_Export!I370="","",DB_Artworks_Export!I370)</f>
        <v/>
      </c>
      <c r="M370" s="2" t="str">
        <f>IF(DB_Artworks_Export!J370="","",DB_Artworks_Export!J370)</f>
        <v/>
      </c>
      <c r="N370" s="2" t="str">
        <f>IF(DB_Artworks_Export!K370="","",DB_Artworks_Export!K370)</f>
        <v/>
      </c>
      <c r="O370" s="2" t="str">
        <f>IF(DB_Artworks_Export!L370="","",DB_Artworks_Export!L370)</f>
        <v/>
      </c>
      <c r="P370" s="2" t="str">
        <f>IF(DB_Artworks_Export!M370="","",DB_Artworks_Export!M370)</f>
        <v/>
      </c>
      <c r="Q370" s="2" t="str">
        <f>IF(DB_Artworks_Export!N370="","",DB_Artworks_Export!N370)</f>
        <v/>
      </c>
      <c r="R370" s="2" t="str">
        <f>IF($D370="","",IF(COUNTIF(DB_Categories_Export!$A:$A,$F370)&gt;0,"OK","INVALID CATEGORY"))</f>
        <v/>
      </c>
      <c r="S370" s="2" t="str">
        <f>IF($D370="","",COUNTIF(DB_Artwork_Sizes_Export!$B:$B,$D370))</f>
        <v/>
      </c>
      <c r="T370" s="2" t="str">
        <f>IF($D370="","",IFERROR(INDEX(DB_Artwork_Sizes_Export!$D:$D,MATCH($D370,DB_Artwork_Sizes_Export!$B:$B,0)),""))</f>
        <v/>
      </c>
      <c r="U370" s="2" t="str">
        <f>IF($D370="","",IFERROR(INDEX(DB_Artwork_Sizes_Export!$E:$E,MATCH($D370,DB_Artwork_Sizes_Export!$B:$B,0)),""))</f>
        <v/>
      </c>
      <c r="V370" s="2" t="str">
        <f>IF($D370="","",IFERROR(INDEX(DB_Artwork_Sizes_Export!$F:$F,MATCH($D370,DB_Artwork_Sizes_Export!$B:$B,0)),""))</f>
        <v/>
      </c>
      <c r="W370" s="2" t="str">
        <f t="shared" si="52"/>
        <v/>
      </c>
      <c r="X370" s="2"/>
      <c r="Y370" s="2"/>
      <c r="Z370" s="2"/>
      <c r="AA370" s="2"/>
      <c r="AB370" s="2"/>
      <c r="AC370" s="2"/>
      <c r="AD370" s="2"/>
      <c r="AE370" s="2"/>
      <c r="AF370" s="2" t="str">
        <f t="shared" si="53"/>
        <v/>
      </c>
      <c r="AG370" s="2" t="str">
        <f t="shared" si="54"/>
        <v/>
      </c>
      <c r="AH370" s="2" t="str">
        <f>IF($AG370="","",IFERROR(VLOOKUP($AG370,DB_Categories_Export!$A:$B,2,FALSE()),"INVALID CATEGORY"))</f>
        <v/>
      </c>
      <c r="AI370" s="2" t="str">
        <f t="shared" si="55"/>
        <v/>
      </c>
      <c r="AJ370" s="2" t="str">
        <f t="shared" si="56"/>
        <v/>
      </c>
      <c r="AK370" s="2" t="str">
        <f t="shared" si="57"/>
        <v/>
      </c>
      <c r="AL370" s="2" t="str">
        <f t="shared" si="58"/>
        <v/>
      </c>
      <c r="AM370" s="2" t="str">
        <f t="shared" si="59"/>
        <v/>
      </c>
      <c r="AN370" s="2"/>
      <c r="AO370" s="2"/>
    </row>
    <row r="371" spans="1:41" ht="12" customHeight="1" x14ac:dyDescent="0.3">
      <c r="A371" s="2"/>
      <c r="B371" s="2" t="str">
        <f t="shared" si="50"/>
        <v/>
      </c>
      <c r="C371" s="2" t="str">
        <f t="shared" si="51"/>
        <v/>
      </c>
      <c r="D371" s="2" t="str">
        <f>IF(DB_Artworks_Export!A371="","",DB_Artworks_Export!A371)</f>
        <v/>
      </c>
      <c r="E371" s="2" t="str">
        <f>IF(DB_Artworks_Export!B371="","",DB_Artworks_Export!B371)</f>
        <v/>
      </c>
      <c r="F371" s="2" t="str">
        <f>IF(DB_Artworks_Export!C371="","",DB_Artworks_Export!C371)</f>
        <v/>
      </c>
      <c r="G371" s="2" t="str">
        <f>IF(DB_Artworks_Export!D371="","",DB_Artworks_Export!D371)</f>
        <v/>
      </c>
      <c r="H371" s="2" t="str">
        <f>IF(DB_Artworks_Export!E371="","",DB_Artworks_Export!E371)</f>
        <v/>
      </c>
      <c r="I371" s="2" t="str">
        <f>IF(DB_Artworks_Export!F371="","",DB_Artworks_Export!F371)</f>
        <v/>
      </c>
      <c r="J371" s="2" t="str">
        <f>IF(DB_Artworks_Export!G371="","",DB_Artworks_Export!G371)</f>
        <v/>
      </c>
      <c r="K371" s="2" t="str">
        <f>IF(DB_Artworks_Export!H371="","",DB_Artworks_Export!H371)</f>
        <v/>
      </c>
      <c r="L371" s="2" t="str">
        <f>IF(DB_Artworks_Export!I371="","",DB_Artworks_Export!I371)</f>
        <v/>
      </c>
      <c r="M371" s="2" t="str">
        <f>IF(DB_Artworks_Export!J371="","",DB_Artworks_Export!J371)</f>
        <v/>
      </c>
      <c r="N371" s="2" t="str">
        <f>IF(DB_Artworks_Export!K371="","",DB_Artworks_Export!K371)</f>
        <v/>
      </c>
      <c r="O371" s="2" t="str">
        <f>IF(DB_Artworks_Export!L371="","",DB_Artworks_Export!L371)</f>
        <v/>
      </c>
      <c r="P371" s="2" t="str">
        <f>IF(DB_Artworks_Export!M371="","",DB_Artworks_Export!M371)</f>
        <v/>
      </c>
      <c r="Q371" s="2" t="str">
        <f>IF(DB_Artworks_Export!N371="","",DB_Artworks_Export!N371)</f>
        <v/>
      </c>
      <c r="R371" s="2" t="str">
        <f>IF($D371="","",IF(COUNTIF(DB_Categories_Export!$A:$A,$F371)&gt;0,"OK","INVALID CATEGORY"))</f>
        <v/>
      </c>
      <c r="S371" s="2" t="str">
        <f>IF($D371="","",COUNTIF(DB_Artwork_Sizes_Export!$B:$B,$D371))</f>
        <v/>
      </c>
      <c r="T371" s="2" t="str">
        <f>IF($D371="","",IFERROR(INDEX(DB_Artwork_Sizes_Export!$D:$D,MATCH($D371,DB_Artwork_Sizes_Export!$B:$B,0)),""))</f>
        <v/>
      </c>
      <c r="U371" s="2" t="str">
        <f>IF($D371="","",IFERROR(INDEX(DB_Artwork_Sizes_Export!$E:$E,MATCH($D371,DB_Artwork_Sizes_Export!$B:$B,0)),""))</f>
        <v/>
      </c>
      <c r="V371" s="2" t="str">
        <f>IF($D371="","",IFERROR(INDEX(DB_Artwork_Sizes_Export!$F:$F,MATCH($D371,DB_Artwork_Sizes_Export!$B:$B,0)),""))</f>
        <v/>
      </c>
      <c r="W371" s="2" t="str">
        <f t="shared" si="52"/>
        <v/>
      </c>
      <c r="X371" s="2"/>
      <c r="Y371" s="2"/>
      <c r="Z371" s="2"/>
      <c r="AA371" s="2"/>
      <c r="AB371" s="2"/>
      <c r="AC371" s="2"/>
      <c r="AD371" s="2"/>
      <c r="AE371" s="2"/>
      <c r="AF371" s="2" t="str">
        <f t="shared" si="53"/>
        <v/>
      </c>
      <c r="AG371" s="2" t="str">
        <f t="shared" si="54"/>
        <v/>
      </c>
      <c r="AH371" s="2" t="str">
        <f>IF($AG371="","",IFERROR(VLOOKUP($AG371,DB_Categories_Export!$A:$B,2,FALSE()),"INVALID CATEGORY"))</f>
        <v/>
      </c>
      <c r="AI371" s="2" t="str">
        <f t="shared" si="55"/>
        <v/>
      </c>
      <c r="AJ371" s="2" t="str">
        <f t="shared" si="56"/>
        <v/>
      </c>
      <c r="AK371" s="2" t="str">
        <f t="shared" si="57"/>
        <v/>
      </c>
      <c r="AL371" s="2" t="str">
        <f t="shared" si="58"/>
        <v/>
      </c>
      <c r="AM371" s="2" t="str">
        <f t="shared" si="59"/>
        <v/>
      </c>
      <c r="AN371" s="2"/>
      <c r="AO371" s="2"/>
    </row>
    <row r="372" spans="1:41" ht="12" customHeight="1" x14ac:dyDescent="0.3">
      <c r="A372" s="2"/>
      <c r="B372" s="2" t="str">
        <f t="shared" si="50"/>
        <v/>
      </c>
      <c r="C372" s="2" t="str">
        <f t="shared" si="51"/>
        <v/>
      </c>
      <c r="D372" s="2" t="str">
        <f>IF(DB_Artworks_Export!A372="","",DB_Artworks_Export!A372)</f>
        <v/>
      </c>
      <c r="E372" s="2" t="str">
        <f>IF(DB_Artworks_Export!B372="","",DB_Artworks_Export!B372)</f>
        <v/>
      </c>
      <c r="F372" s="2" t="str">
        <f>IF(DB_Artworks_Export!C372="","",DB_Artworks_Export!C372)</f>
        <v/>
      </c>
      <c r="G372" s="2" t="str">
        <f>IF(DB_Artworks_Export!D372="","",DB_Artworks_Export!D372)</f>
        <v/>
      </c>
      <c r="H372" s="2" t="str">
        <f>IF(DB_Artworks_Export!E372="","",DB_Artworks_Export!E372)</f>
        <v/>
      </c>
      <c r="I372" s="2" t="str">
        <f>IF(DB_Artworks_Export!F372="","",DB_Artworks_Export!F372)</f>
        <v/>
      </c>
      <c r="J372" s="2" t="str">
        <f>IF(DB_Artworks_Export!G372="","",DB_Artworks_Export!G372)</f>
        <v/>
      </c>
      <c r="K372" s="2" t="str">
        <f>IF(DB_Artworks_Export!H372="","",DB_Artworks_Export!H372)</f>
        <v/>
      </c>
      <c r="L372" s="2" t="str">
        <f>IF(DB_Artworks_Export!I372="","",DB_Artworks_Export!I372)</f>
        <v/>
      </c>
      <c r="M372" s="2" t="str">
        <f>IF(DB_Artworks_Export!J372="","",DB_Artworks_Export!J372)</f>
        <v/>
      </c>
      <c r="N372" s="2" t="str">
        <f>IF(DB_Artworks_Export!K372="","",DB_Artworks_Export!K372)</f>
        <v/>
      </c>
      <c r="O372" s="2" t="str">
        <f>IF(DB_Artworks_Export!L372="","",DB_Artworks_Export!L372)</f>
        <v/>
      </c>
      <c r="P372" s="2" t="str">
        <f>IF(DB_Artworks_Export!M372="","",DB_Artworks_Export!M372)</f>
        <v/>
      </c>
      <c r="Q372" s="2" t="str">
        <f>IF(DB_Artworks_Export!N372="","",DB_Artworks_Export!N372)</f>
        <v/>
      </c>
      <c r="R372" s="2" t="str">
        <f>IF($D372="","",IF(COUNTIF(DB_Categories_Export!$A:$A,$F372)&gt;0,"OK","INVALID CATEGORY"))</f>
        <v/>
      </c>
      <c r="S372" s="2" t="str">
        <f>IF($D372="","",COUNTIF(DB_Artwork_Sizes_Export!$B:$B,$D372))</f>
        <v/>
      </c>
      <c r="T372" s="2" t="str">
        <f>IF($D372="","",IFERROR(INDEX(DB_Artwork_Sizes_Export!$D:$D,MATCH($D372,DB_Artwork_Sizes_Export!$B:$B,0)),""))</f>
        <v/>
      </c>
      <c r="U372" s="2" t="str">
        <f>IF($D372="","",IFERROR(INDEX(DB_Artwork_Sizes_Export!$E:$E,MATCH($D372,DB_Artwork_Sizes_Export!$B:$B,0)),""))</f>
        <v/>
      </c>
      <c r="V372" s="2" t="str">
        <f>IF($D372="","",IFERROR(INDEX(DB_Artwork_Sizes_Export!$F:$F,MATCH($D372,DB_Artwork_Sizes_Export!$B:$B,0)),""))</f>
        <v/>
      </c>
      <c r="W372" s="2" t="str">
        <f t="shared" si="52"/>
        <v/>
      </c>
      <c r="X372" s="2"/>
      <c r="Y372" s="2"/>
      <c r="Z372" s="2"/>
      <c r="AA372" s="2"/>
      <c r="AB372" s="2"/>
      <c r="AC372" s="2"/>
      <c r="AD372" s="2"/>
      <c r="AE372" s="2"/>
      <c r="AF372" s="2" t="str">
        <f t="shared" si="53"/>
        <v/>
      </c>
      <c r="AG372" s="2" t="str">
        <f t="shared" si="54"/>
        <v/>
      </c>
      <c r="AH372" s="2" t="str">
        <f>IF($AG372="","",IFERROR(VLOOKUP($AG372,DB_Categories_Export!$A:$B,2,FALSE()),"INVALID CATEGORY"))</f>
        <v/>
      </c>
      <c r="AI372" s="2" t="str">
        <f t="shared" si="55"/>
        <v/>
      </c>
      <c r="AJ372" s="2" t="str">
        <f t="shared" si="56"/>
        <v/>
      </c>
      <c r="AK372" s="2" t="str">
        <f t="shared" si="57"/>
        <v/>
      </c>
      <c r="AL372" s="2" t="str">
        <f t="shared" si="58"/>
        <v/>
      </c>
      <c r="AM372" s="2" t="str">
        <f t="shared" si="59"/>
        <v/>
      </c>
      <c r="AN372" s="2"/>
      <c r="AO372" s="2"/>
    </row>
    <row r="373" spans="1:41" ht="12" customHeight="1" x14ac:dyDescent="0.3">
      <c r="A373" s="2"/>
      <c r="B373" s="2" t="str">
        <f t="shared" si="50"/>
        <v/>
      </c>
      <c r="C373" s="2" t="str">
        <f t="shared" si="51"/>
        <v/>
      </c>
      <c r="D373" s="2" t="str">
        <f>IF(DB_Artworks_Export!A373="","",DB_Artworks_Export!A373)</f>
        <v/>
      </c>
      <c r="E373" s="2" t="str">
        <f>IF(DB_Artworks_Export!B373="","",DB_Artworks_Export!B373)</f>
        <v/>
      </c>
      <c r="F373" s="2" t="str">
        <f>IF(DB_Artworks_Export!C373="","",DB_Artworks_Export!C373)</f>
        <v/>
      </c>
      <c r="G373" s="2" t="str">
        <f>IF(DB_Artworks_Export!D373="","",DB_Artworks_Export!D373)</f>
        <v/>
      </c>
      <c r="H373" s="2" t="str">
        <f>IF(DB_Artworks_Export!E373="","",DB_Artworks_Export!E373)</f>
        <v/>
      </c>
      <c r="I373" s="2" t="str">
        <f>IF(DB_Artworks_Export!F373="","",DB_Artworks_Export!F373)</f>
        <v/>
      </c>
      <c r="J373" s="2" t="str">
        <f>IF(DB_Artworks_Export!G373="","",DB_Artworks_Export!G373)</f>
        <v/>
      </c>
      <c r="K373" s="2" t="str">
        <f>IF(DB_Artworks_Export!H373="","",DB_Artworks_Export!H373)</f>
        <v/>
      </c>
      <c r="L373" s="2" t="str">
        <f>IF(DB_Artworks_Export!I373="","",DB_Artworks_Export!I373)</f>
        <v/>
      </c>
      <c r="M373" s="2" t="str">
        <f>IF(DB_Artworks_Export!J373="","",DB_Artworks_Export!J373)</f>
        <v/>
      </c>
      <c r="N373" s="2" t="str">
        <f>IF(DB_Artworks_Export!K373="","",DB_Artworks_Export!K373)</f>
        <v/>
      </c>
      <c r="O373" s="2" t="str">
        <f>IF(DB_Artworks_Export!L373="","",DB_Artworks_Export!L373)</f>
        <v/>
      </c>
      <c r="P373" s="2" t="str">
        <f>IF(DB_Artworks_Export!M373="","",DB_Artworks_Export!M373)</f>
        <v/>
      </c>
      <c r="Q373" s="2" t="str">
        <f>IF(DB_Artworks_Export!N373="","",DB_Artworks_Export!N373)</f>
        <v/>
      </c>
      <c r="R373" s="2" t="str">
        <f>IF($D373="","",IF(COUNTIF(DB_Categories_Export!$A:$A,$F373)&gt;0,"OK","INVALID CATEGORY"))</f>
        <v/>
      </c>
      <c r="S373" s="2" t="str">
        <f>IF($D373="","",COUNTIF(DB_Artwork_Sizes_Export!$B:$B,$D373))</f>
        <v/>
      </c>
      <c r="T373" s="2" t="str">
        <f>IF($D373="","",IFERROR(INDEX(DB_Artwork_Sizes_Export!$D:$D,MATCH($D373,DB_Artwork_Sizes_Export!$B:$B,0)),""))</f>
        <v/>
      </c>
      <c r="U373" s="2" t="str">
        <f>IF($D373="","",IFERROR(INDEX(DB_Artwork_Sizes_Export!$E:$E,MATCH($D373,DB_Artwork_Sizes_Export!$B:$B,0)),""))</f>
        <v/>
      </c>
      <c r="V373" s="2" t="str">
        <f>IF($D373="","",IFERROR(INDEX(DB_Artwork_Sizes_Export!$F:$F,MATCH($D373,DB_Artwork_Sizes_Export!$B:$B,0)),""))</f>
        <v/>
      </c>
      <c r="W373" s="2" t="str">
        <f t="shared" si="52"/>
        <v/>
      </c>
      <c r="X373" s="2"/>
      <c r="Y373" s="2"/>
      <c r="Z373" s="2"/>
      <c r="AA373" s="2"/>
      <c r="AB373" s="2"/>
      <c r="AC373" s="2"/>
      <c r="AD373" s="2"/>
      <c r="AE373" s="2"/>
      <c r="AF373" s="2" t="str">
        <f t="shared" si="53"/>
        <v/>
      </c>
      <c r="AG373" s="2" t="str">
        <f t="shared" si="54"/>
        <v/>
      </c>
      <c r="AH373" s="2" t="str">
        <f>IF($AG373="","",IFERROR(VLOOKUP($AG373,DB_Categories_Export!$A:$B,2,FALSE()),"INVALID CATEGORY"))</f>
        <v/>
      </c>
      <c r="AI373" s="2" t="str">
        <f t="shared" si="55"/>
        <v/>
      </c>
      <c r="AJ373" s="2" t="str">
        <f t="shared" si="56"/>
        <v/>
      </c>
      <c r="AK373" s="2" t="str">
        <f t="shared" si="57"/>
        <v/>
      </c>
      <c r="AL373" s="2" t="str">
        <f t="shared" si="58"/>
        <v/>
      </c>
      <c r="AM373" s="2" t="str">
        <f t="shared" si="59"/>
        <v/>
      </c>
      <c r="AN373" s="2"/>
      <c r="AO373" s="2"/>
    </row>
    <row r="374" spans="1:41" ht="12" customHeight="1" x14ac:dyDescent="0.3">
      <c r="A374" s="2"/>
      <c r="B374" s="2" t="str">
        <f t="shared" si="50"/>
        <v/>
      </c>
      <c r="C374" s="2" t="str">
        <f t="shared" si="51"/>
        <v/>
      </c>
      <c r="D374" s="2" t="str">
        <f>IF(DB_Artworks_Export!A374="","",DB_Artworks_Export!A374)</f>
        <v/>
      </c>
      <c r="E374" s="2" t="str">
        <f>IF(DB_Artworks_Export!B374="","",DB_Artworks_Export!B374)</f>
        <v/>
      </c>
      <c r="F374" s="2" t="str">
        <f>IF(DB_Artworks_Export!C374="","",DB_Artworks_Export!C374)</f>
        <v/>
      </c>
      <c r="G374" s="2" t="str">
        <f>IF(DB_Artworks_Export!D374="","",DB_Artworks_Export!D374)</f>
        <v/>
      </c>
      <c r="H374" s="2" t="str">
        <f>IF(DB_Artworks_Export!E374="","",DB_Artworks_Export!E374)</f>
        <v/>
      </c>
      <c r="I374" s="2" t="str">
        <f>IF(DB_Artworks_Export!F374="","",DB_Artworks_Export!F374)</f>
        <v/>
      </c>
      <c r="J374" s="2" t="str">
        <f>IF(DB_Artworks_Export!G374="","",DB_Artworks_Export!G374)</f>
        <v/>
      </c>
      <c r="K374" s="2" t="str">
        <f>IF(DB_Artworks_Export!H374="","",DB_Artworks_Export!H374)</f>
        <v/>
      </c>
      <c r="L374" s="2" t="str">
        <f>IF(DB_Artworks_Export!I374="","",DB_Artworks_Export!I374)</f>
        <v/>
      </c>
      <c r="M374" s="2" t="str">
        <f>IF(DB_Artworks_Export!J374="","",DB_Artworks_Export!J374)</f>
        <v/>
      </c>
      <c r="N374" s="2" t="str">
        <f>IF(DB_Artworks_Export!K374="","",DB_Artworks_Export!K374)</f>
        <v/>
      </c>
      <c r="O374" s="2" t="str">
        <f>IF(DB_Artworks_Export!L374="","",DB_Artworks_Export!L374)</f>
        <v/>
      </c>
      <c r="P374" s="2" t="str">
        <f>IF(DB_Artworks_Export!M374="","",DB_Artworks_Export!M374)</f>
        <v/>
      </c>
      <c r="Q374" s="2" t="str">
        <f>IF(DB_Artworks_Export!N374="","",DB_Artworks_Export!N374)</f>
        <v/>
      </c>
      <c r="R374" s="2" t="str">
        <f>IF($D374="","",IF(COUNTIF(DB_Categories_Export!$A:$A,$F374)&gt;0,"OK","INVALID CATEGORY"))</f>
        <v/>
      </c>
      <c r="S374" s="2" t="str">
        <f>IF($D374="","",COUNTIF(DB_Artwork_Sizes_Export!$B:$B,$D374))</f>
        <v/>
      </c>
      <c r="T374" s="2" t="str">
        <f>IF($D374="","",IFERROR(INDEX(DB_Artwork_Sizes_Export!$D:$D,MATCH($D374,DB_Artwork_Sizes_Export!$B:$B,0)),""))</f>
        <v/>
      </c>
      <c r="U374" s="2" t="str">
        <f>IF($D374="","",IFERROR(INDEX(DB_Artwork_Sizes_Export!$E:$E,MATCH($D374,DB_Artwork_Sizes_Export!$B:$B,0)),""))</f>
        <v/>
      </c>
      <c r="V374" s="2" t="str">
        <f>IF($D374="","",IFERROR(INDEX(DB_Artwork_Sizes_Export!$F:$F,MATCH($D374,DB_Artwork_Sizes_Export!$B:$B,0)),""))</f>
        <v/>
      </c>
      <c r="W374" s="2" t="str">
        <f t="shared" si="52"/>
        <v/>
      </c>
      <c r="X374" s="2"/>
      <c r="Y374" s="2"/>
      <c r="Z374" s="2"/>
      <c r="AA374" s="2"/>
      <c r="AB374" s="2"/>
      <c r="AC374" s="2"/>
      <c r="AD374" s="2"/>
      <c r="AE374" s="2"/>
      <c r="AF374" s="2" t="str">
        <f t="shared" si="53"/>
        <v/>
      </c>
      <c r="AG374" s="2" t="str">
        <f t="shared" si="54"/>
        <v/>
      </c>
      <c r="AH374" s="2" t="str">
        <f>IF($AG374="","",IFERROR(VLOOKUP($AG374,DB_Categories_Export!$A:$B,2,FALSE()),"INVALID CATEGORY"))</f>
        <v/>
      </c>
      <c r="AI374" s="2" t="str">
        <f t="shared" si="55"/>
        <v/>
      </c>
      <c r="AJ374" s="2" t="str">
        <f t="shared" si="56"/>
        <v/>
      </c>
      <c r="AK374" s="2" t="str">
        <f t="shared" si="57"/>
        <v/>
      </c>
      <c r="AL374" s="2" t="str">
        <f t="shared" si="58"/>
        <v/>
      </c>
      <c r="AM374" s="2" t="str">
        <f t="shared" si="59"/>
        <v/>
      </c>
      <c r="AN374" s="2"/>
      <c r="AO374" s="2"/>
    </row>
    <row r="375" spans="1:41" ht="12" customHeight="1" x14ac:dyDescent="0.3">
      <c r="A375" s="2"/>
      <c r="B375" s="2" t="str">
        <f t="shared" si="50"/>
        <v/>
      </c>
      <c r="C375" s="2" t="str">
        <f t="shared" si="51"/>
        <v/>
      </c>
      <c r="D375" s="2" t="str">
        <f>IF(DB_Artworks_Export!A375="","",DB_Artworks_Export!A375)</f>
        <v/>
      </c>
      <c r="E375" s="2" t="str">
        <f>IF(DB_Artworks_Export!B375="","",DB_Artworks_Export!B375)</f>
        <v/>
      </c>
      <c r="F375" s="2" t="str">
        <f>IF(DB_Artworks_Export!C375="","",DB_Artworks_Export!C375)</f>
        <v/>
      </c>
      <c r="G375" s="2" t="str">
        <f>IF(DB_Artworks_Export!D375="","",DB_Artworks_Export!D375)</f>
        <v/>
      </c>
      <c r="H375" s="2" t="str">
        <f>IF(DB_Artworks_Export!E375="","",DB_Artworks_Export!E375)</f>
        <v/>
      </c>
      <c r="I375" s="2" t="str">
        <f>IF(DB_Artworks_Export!F375="","",DB_Artworks_Export!F375)</f>
        <v/>
      </c>
      <c r="J375" s="2" t="str">
        <f>IF(DB_Artworks_Export!G375="","",DB_Artworks_Export!G375)</f>
        <v/>
      </c>
      <c r="K375" s="2" t="str">
        <f>IF(DB_Artworks_Export!H375="","",DB_Artworks_Export!H375)</f>
        <v/>
      </c>
      <c r="L375" s="2" t="str">
        <f>IF(DB_Artworks_Export!I375="","",DB_Artworks_Export!I375)</f>
        <v/>
      </c>
      <c r="M375" s="2" t="str">
        <f>IF(DB_Artworks_Export!J375="","",DB_Artworks_Export!J375)</f>
        <v/>
      </c>
      <c r="N375" s="2" t="str">
        <f>IF(DB_Artworks_Export!K375="","",DB_Artworks_Export!K375)</f>
        <v/>
      </c>
      <c r="O375" s="2" t="str">
        <f>IF(DB_Artworks_Export!L375="","",DB_Artworks_Export!L375)</f>
        <v/>
      </c>
      <c r="P375" s="2" t="str">
        <f>IF(DB_Artworks_Export!M375="","",DB_Artworks_Export!M375)</f>
        <v/>
      </c>
      <c r="Q375" s="2" t="str">
        <f>IF(DB_Artworks_Export!N375="","",DB_Artworks_Export!N375)</f>
        <v/>
      </c>
      <c r="R375" s="2" t="str">
        <f>IF($D375="","",IF(COUNTIF(DB_Categories_Export!$A:$A,$F375)&gt;0,"OK","INVALID CATEGORY"))</f>
        <v/>
      </c>
      <c r="S375" s="2" t="str">
        <f>IF($D375="","",COUNTIF(DB_Artwork_Sizes_Export!$B:$B,$D375))</f>
        <v/>
      </c>
      <c r="T375" s="2" t="str">
        <f>IF($D375="","",IFERROR(INDEX(DB_Artwork_Sizes_Export!$D:$D,MATCH($D375,DB_Artwork_Sizes_Export!$B:$B,0)),""))</f>
        <v/>
      </c>
      <c r="U375" s="2" t="str">
        <f>IF($D375="","",IFERROR(INDEX(DB_Artwork_Sizes_Export!$E:$E,MATCH($D375,DB_Artwork_Sizes_Export!$B:$B,0)),""))</f>
        <v/>
      </c>
      <c r="V375" s="2" t="str">
        <f>IF($D375="","",IFERROR(INDEX(DB_Artwork_Sizes_Export!$F:$F,MATCH($D375,DB_Artwork_Sizes_Export!$B:$B,0)),""))</f>
        <v/>
      </c>
      <c r="W375" s="2" t="str">
        <f t="shared" si="52"/>
        <v/>
      </c>
      <c r="X375" s="2"/>
      <c r="Y375" s="2"/>
      <c r="Z375" s="2"/>
      <c r="AA375" s="2"/>
      <c r="AB375" s="2"/>
      <c r="AC375" s="2"/>
      <c r="AD375" s="2"/>
      <c r="AE375" s="2"/>
      <c r="AF375" s="2" t="str">
        <f t="shared" si="53"/>
        <v/>
      </c>
      <c r="AG375" s="2" t="str">
        <f t="shared" si="54"/>
        <v/>
      </c>
      <c r="AH375" s="2" t="str">
        <f>IF($AG375="","",IFERROR(VLOOKUP($AG375,DB_Categories_Export!$A:$B,2,FALSE()),"INVALID CATEGORY"))</f>
        <v/>
      </c>
      <c r="AI375" s="2" t="str">
        <f t="shared" si="55"/>
        <v/>
      </c>
      <c r="AJ375" s="2" t="str">
        <f t="shared" si="56"/>
        <v/>
      </c>
      <c r="AK375" s="2" t="str">
        <f t="shared" si="57"/>
        <v/>
      </c>
      <c r="AL375" s="2" t="str">
        <f t="shared" si="58"/>
        <v/>
      </c>
      <c r="AM375" s="2" t="str">
        <f t="shared" si="59"/>
        <v/>
      </c>
      <c r="AN375" s="2"/>
      <c r="AO375" s="2"/>
    </row>
    <row r="376" spans="1:41" ht="12" customHeight="1" x14ac:dyDescent="0.3">
      <c r="A376" s="2"/>
      <c r="B376" s="2" t="str">
        <f t="shared" si="50"/>
        <v/>
      </c>
      <c r="C376" s="2" t="str">
        <f t="shared" si="51"/>
        <v/>
      </c>
      <c r="D376" s="2" t="str">
        <f>IF(DB_Artworks_Export!A376="","",DB_Artworks_Export!A376)</f>
        <v/>
      </c>
      <c r="E376" s="2" t="str">
        <f>IF(DB_Artworks_Export!B376="","",DB_Artworks_Export!B376)</f>
        <v/>
      </c>
      <c r="F376" s="2" t="str">
        <f>IF(DB_Artworks_Export!C376="","",DB_Artworks_Export!C376)</f>
        <v/>
      </c>
      <c r="G376" s="2" t="str">
        <f>IF(DB_Artworks_Export!D376="","",DB_Artworks_Export!D376)</f>
        <v/>
      </c>
      <c r="H376" s="2" t="str">
        <f>IF(DB_Artworks_Export!E376="","",DB_Artworks_Export!E376)</f>
        <v/>
      </c>
      <c r="I376" s="2" t="str">
        <f>IF(DB_Artworks_Export!F376="","",DB_Artworks_Export!F376)</f>
        <v/>
      </c>
      <c r="J376" s="2" t="str">
        <f>IF(DB_Artworks_Export!G376="","",DB_Artworks_Export!G376)</f>
        <v/>
      </c>
      <c r="K376" s="2" t="str">
        <f>IF(DB_Artworks_Export!H376="","",DB_Artworks_Export!H376)</f>
        <v/>
      </c>
      <c r="L376" s="2" t="str">
        <f>IF(DB_Artworks_Export!I376="","",DB_Artworks_Export!I376)</f>
        <v/>
      </c>
      <c r="M376" s="2" t="str">
        <f>IF(DB_Artworks_Export!J376="","",DB_Artworks_Export!J376)</f>
        <v/>
      </c>
      <c r="N376" s="2" t="str">
        <f>IF(DB_Artworks_Export!K376="","",DB_Artworks_Export!K376)</f>
        <v/>
      </c>
      <c r="O376" s="2" t="str">
        <f>IF(DB_Artworks_Export!L376="","",DB_Artworks_Export!L376)</f>
        <v/>
      </c>
      <c r="P376" s="2" t="str">
        <f>IF(DB_Artworks_Export!M376="","",DB_Artworks_Export!M376)</f>
        <v/>
      </c>
      <c r="Q376" s="2" t="str">
        <f>IF(DB_Artworks_Export!N376="","",DB_Artworks_Export!N376)</f>
        <v/>
      </c>
      <c r="R376" s="2" t="str">
        <f>IF($D376="","",IF(COUNTIF(DB_Categories_Export!$A:$A,$F376)&gt;0,"OK","INVALID CATEGORY"))</f>
        <v/>
      </c>
      <c r="S376" s="2" t="str">
        <f>IF($D376="","",COUNTIF(DB_Artwork_Sizes_Export!$B:$B,$D376))</f>
        <v/>
      </c>
      <c r="T376" s="2" t="str">
        <f>IF($D376="","",IFERROR(INDEX(DB_Artwork_Sizes_Export!$D:$D,MATCH($D376,DB_Artwork_Sizes_Export!$B:$B,0)),""))</f>
        <v/>
      </c>
      <c r="U376" s="2" t="str">
        <f>IF($D376="","",IFERROR(INDEX(DB_Artwork_Sizes_Export!$E:$E,MATCH($D376,DB_Artwork_Sizes_Export!$B:$B,0)),""))</f>
        <v/>
      </c>
      <c r="V376" s="2" t="str">
        <f>IF($D376="","",IFERROR(INDEX(DB_Artwork_Sizes_Export!$F:$F,MATCH($D376,DB_Artwork_Sizes_Export!$B:$B,0)),""))</f>
        <v/>
      </c>
      <c r="W376" s="2" t="str">
        <f t="shared" si="52"/>
        <v/>
      </c>
      <c r="X376" s="2"/>
      <c r="Y376" s="2"/>
      <c r="Z376" s="2"/>
      <c r="AA376" s="2"/>
      <c r="AB376" s="2"/>
      <c r="AC376" s="2"/>
      <c r="AD376" s="2"/>
      <c r="AE376" s="2"/>
      <c r="AF376" s="2" t="str">
        <f t="shared" si="53"/>
        <v/>
      </c>
      <c r="AG376" s="2" t="str">
        <f t="shared" si="54"/>
        <v/>
      </c>
      <c r="AH376" s="2" t="str">
        <f>IF($AG376="","",IFERROR(VLOOKUP($AG376,DB_Categories_Export!$A:$B,2,FALSE()),"INVALID CATEGORY"))</f>
        <v/>
      </c>
      <c r="AI376" s="2" t="str">
        <f t="shared" si="55"/>
        <v/>
      </c>
      <c r="AJ376" s="2" t="str">
        <f t="shared" si="56"/>
        <v/>
      </c>
      <c r="AK376" s="2" t="str">
        <f t="shared" si="57"/>
        <v/>
      </c>
      <c r="AL376" s="2" t="str">
        <f t="shared" si="58"/>
        <v/>
      </c>
      <c r="AM376" s="2" t="str">
        <f t="shared" si="59"/>
        <v/>
      </c>
      <c r="AN376" s="2"/>
      <c r="AO376" s="2"/>
    </row>
    <row r="377" spans="1:41" ht="12" customHeight="1" x14ac:dyDescent="0.3">
      <c r="A377" s="2"/>
      <c r="B377" s="2" t="str">
        <f t="shared" si="50"/>
        <v/>
      </c>
      <c r="C377" s="2" t="str">
        <f t="shared" si="51"/>
        <v/>
      </c>
      <c r="D377" s="2" t="str">
        <f>IF(DB_Artworks_Export!A377="","",DB_Artworks_Export!A377)</f>
        <v/>
      </c>
      <c r="E377" s="2" t="str">
        <f>IF(DB_Artworks_Export!B377="","",DB_Artworks_Export!B377)</f>
        <v/>
      </c>
      <c r="F377" s="2" t="str">
        <f>IF(DB_Artworks_Export!C377="","",DB_Artworks_Export!C377)</f>
        <v/>
      </c>
      <c r="G377" s="2" t="str">
        <f>IF(DB_Artworks_Export!D377="","",DB_Artworks_Export!D377)</f>
        <v/>
      </c>
      <c r="H377" s="2" t="str">
        <f>IF(DB_Artworks_Export!E377="","",DB_Artworks_Export!E377)</f>
        <v/>
      </c>
      <c r="I377" s="2" t="str">
        <f>IF(DB_Artworks_Export!F377="","",DB_Artworks_Export!F377)</f>
        <v/>
      </c>
      <c r="J377" s="2" t="str">
        <f>IF(DB_Artworks_Export!G377="","",DB_Artworks_Export!G377)</f>
        <v/>
      </c>
      <c r="K377" s="2" t="str">
        <f>IF(DB_Artworks_Export!H377="","",DB_Artworks_Export!H377)</f>
        <v/>
      </c>
      <c r="L377" s="2" t="str">
        <f>IF(DB_Artworks_Export!I377="","",DB_Artworks_Export!I377)</f>
        <v/>
      </c>
      <c r="M377" s="2" t="str">
        <f>IF(DB_Artworks_Export!J377="","",DB_Artworks_Export!J377)</f>
        <v/>
      </c>
      <c r="N377" s="2" t="str">
        <f>IF(DB_Artworks_Export!K377="","",DB_Artworks_Export!K377)</f>
        <v/>
      </c>
      <c r="O377" s="2" t="str">
        <f>IF(DB_Artworks_Export!L377="","",DB_Artworks_Export!L377)</f>
        <v/>
      </c>
      <c r="P377" s="2" t="str">
        <f>IF(DB_Artworks_Export!M377="","",DB_Artworks_Export!M377)</f>
        <v/>
      </c>
      <c r="Q377" s="2" t="str">
        <f>IF(DB_Artworks_Export!N377="","",DB_Artworks_Export!N377)</f>
        <v/>
      </c>
      <c r="R377" s="2" t="str">
        <f>IF($D377="","",IF(COUNTIF(DB_Categories_Export!$A:$A,$F377)&gt;0,"OK","INVALID CATEGORY"))</f>
        <v/>
      </c>
      <c r="S377" s="2" t="str">
        <f>IF($D377="","",COUNTIF(DB_Artwork_Sizes_Export!$B:$B,$D377))</f>
        <v/>
      </c>
      <c r="T377" s="2" t="str">
        <f>IF($D377="","",IFERROR(INDEX(DB_Artwork_Sizes_Export!$D:$D,MATCH($D377,DB_Artwork_Sizes_Export!$B:$B,0)),""))</f>
        <v/>
      </c>
      <c r="U377" s="2" t="str">
        <f>IF($D377="","",IFERROR(INDEX(DB_Artwork_Sizes_Export!$E:$E,MATCH($D377,DB_Artwork_Sizes_Export!$B:$B,0)),""))</f>
        <v/>
      </c>
      <c r="V377" s="2" t="str">
        <f>IF($D377="","",IFERROR(INDEX(DB_Artwork_Sizes_Export!$F:$F,MATCH($D377,DB_Artwork_Sizes_Export!$B:$B,0)),""))</f>
        <v/>
      </c>
      <c r="W377" s="2" t="str">
        <f t="shared" si="52"/>
        <v/>
      </c>
      <c r="X377" s="2"/>
      <c r="Y377" s="2"/>
      <c r="Z377" s="2"/>
      <c r="AA377" s="2"/>
      <c r="AB377" s="2"/>
      <c r="AC377" s="2"/>
      <c r="AD377" s="2"/>
      <c r="AE377" s="2"/>
      <c r="AF377" s="2" t="str">
        <f t="shared" si="53"/>
        <v/>
      </c>
      <c r="AG377" s="2" t="str">
        <f t="shared" si="54"/>
        <v/>
      </c>
      <c r="AH377" s="2" t="str">
        <f>IF($AG377="","",IFERROR(VLOOKUP($AG377,DB_Categories_Export!$A:$B,2,FALSE()),"INVALID CATEGORY"))</f>
        <v/>
      </c>
      <c r="AI377" s="2" t="str">
        <f t="shared" si="55"/>
        <v/>
      </c>
      <c r="AJ377" s="2" t="str">
        <f t="shared" si="56"/>
        <v/>
      </c>
      <c r="AK377" s="2" t="str">
        <f t="shared" si="57"/>
        <v/>
      </c>
      <c r="AL377" s="2" t="str">
        <f t="shared" si="58"/>
        <v/>
      </c>
      <c r="AM377" s="2" t="str">
        <f t="shared" si="59"/>
        <v/>
      </c>
      <c r="AN377" s="2"/>
      <c r="AO377" s="2"/>
    </row>
    <row r="378" spans="1:41" ht="12" customHeight="1" x14ac:dyDescent="0.3">
      <c r="A378" s="2"/>
      <c r="B378" s="2" t="str">
        <f t="shared" si="50"/>
        <v/>
      </c>
      <c r="C378" s="2" t="str">
        <f t="shared" si="51"/>
        <v/>
      </c>
      <c r="D378" s="2" t="str">
        <f>IF(DB_Artworks_Export!A378="","",DB_Artworks_Export!A378)</f>
        <v/>
      </c>
      <c r="E378" s="2" t="str">
        <f>IF(DB_Artworks_Export!B378="","",DB_Artworks_Export!B378)</f>
        <v/>
      </c>
      <c r="F378" s="2" t="str">
        <f>IF(DB_Artworks_Export!C378="","",DB_Artworks_Export!C378)</f>
        <v/>
      </c>
      <c r="G378" s="2" t="str">
        <f>IF(DB_Artworks_Export!D378="","",DB_Artworks_Export!D378)</f>
        <v/>
      </c>
      <c r="H378" s="2" t="str">
        <f>IF(DB_Artworks_Export!E378="","",DB_Artworks_Export!E378)</f>
        <v/>
      </c>
      <c r="I378" s="2" t="str">
        <f>IF(DB_Artworks_Export!F378="","",DB_Artworks_Export!F378)</f>
        <v/>
      </c>
      <c r="J378" s="2" t="str">
        <f>IF(DB_Artworks_Export!G378="","",DB_Artworks_Export!G378)</f>
        <v/>
      </c>
      <c r="K378" s="2" t="str">
        <f>IF(DB_Artworks_Export!H378="","",DB_Artworks_Export!H378)</f>
        <v/>
      </c>
      <c r="L378" s="2" t="str">
        <f>IF(DB_Artworks_Export!I378="","",DB_Artworks_Export!I378)</f>
        <v/>
      </c>
      <c r="M378" s="2" t="str">
        <f>IF(DB_Artworks_Export!J378="","",DB_Artworks_Export!J378)</f>
        <v/>
      </c>
      <c r="N378" s="2" t="str">
        <f>IF(DB_Artworks_Export!K378="","",DB_Artworks_Export!K378)</f>
        <v/>
      </c>
      <c r="O378" s="2" t="str">
        <f>IF(DB_Artworks_Export!L378="","",DB_Artworks_Export!L378)</f>
        <v/>
      </c>
      <c r="P378" s="2" t="str">
        <f>IF(DB_Artworks_Export!M378="","",DB_Artworks_Export!M378)</f>
        <v/>
      </c>
      <c r="Q378" s="2" t="str">
        <f>IF(DB_Artworks_Export!N378="","",DB_Artworks_Export!N378)</f>
        <v/>
      </c>
      <c r="R378" s="2" t="str">
        <f>IF($D378="","",IF(COUNTIF(DB_Categories_Export!$A:$A,$F378)&gt;0,"OK","INVALID CATEGORY"))</f>
        <v/>
      </c>
      <c r="S378" s="2" t="str">
        <f>IF($D378="","",COUNTIF(DB_Artwork_Sizes_Export!$B:$B,$D378))</f>
        <v/>
      </c>
      <c r="T378" s="2" t="str">
        <f>IF($D378="","",IFERROR(INDEX(DB_Artwork_Sizes_Export!$D:$D,MATCH($D378,DB_Artwork_Sizes_Export!$B:$B,0)),""))</f>
        <v/>
      </c>
      <c r="U378" s="2" t="str">
        <f>IF($D378="","",IFERROR(INDEX(DB_Artwork_Sizes_Export!$E:$E,MATCH($D378,DB_Artwork_Sizes_Export!$B:$B,0)),""))</f>
        <v/>
      </c>
      <c r="V378" s="2" t="str">
        <f>IF($D378="","",IFERROR(INDEX(DB_Artwork_Sizes_Export!$F:$F,MATCH($D378,DB_Artwork_Sizes_Export!$B:$B,0)),""))</f>
        <v/>
      </c>
      <c r="W378" s="2" t="str">
        <f t="shared" si="52"/>
        <v/>
      </c>
      <c r="X378" s="2"/>
      <c r="Y378" s="2"/>
      <c r="Z378" s="2"/>
      <c r="AA378" s="2"/>
      <c r="AB378" s="2"/>
      <c r="AC378" s="2"/>
      <c r="AD378" s="2"/>
      <c r="AE378" s="2"/>
      <c r="AF378" s="2" t="str">
        <f t="shared" si="53"/>
        <v/>
      </c>
      <c r="AG378" s="2" t="str">
        <f t="shared" si="54"/>
        <v/>
      </c>
      <c r="AH378" s="2" t="str">
        <f>IF($AG378="","",IFERROR(VLOOKUP($AG378,DB_Categories_Export!$A:$B,2,FALSE()),"INVALID CATEGORY"))</f>
        <v/>
      </c>
      <c r="AI378" s="2" t="str">
        <f t="shared" si="55"/>
        <v/>
      </c>
      <c r="AJ378" s="2" t="str">
        <f t="shared" si="56"/>
        <v/>
      </c>
      <c r="AK378" s="2" t="str">
        <f t="shared" si="57"/>
        <v/>
      </c>
      <c r="AL378" s="2" t="str">
        <f t="shared" si="58"/>
        <v/>
      </c>
      <c r="AM378" s="2" t="str">
        <f t="shared" si="59"/>
        <v/>
      </c>
      <c r="AN378" s="2"/>
      <c r="AO378" s="2"/>
    </row>
    <row r="379" spans="1:41" ht="12" customHeight="1" x14ac:dyDescent="0.3">
      <c r="A379" s="2"/>
      <c r="B379" s="2" t="str">
        <f t="shared" si="50"/>
        <v/>
      </c>
      <c r="C379" s="2" t="str">
        <f t="shared" si="51"/>
        <v/>
      </c>
      <c r="D379" s="2" t="str">
        <f>IF(DB_Artworks_Export!A379="","",DB_Artworks_Export!A379)</f>
        <v/>
      </c>
      <c r="E379" s="2" t="str">
        <f>IF(DB_Artworks_Export!B379="","",DB_Artworks_Export!B379)</f>
        <v/>
      </c>
      <c r="F379" s="2" t="str">
        <f>IF(DB_Artworks_Export!C379="","",DB_Artworks_Export!C379)</f>
        <v/>
      </c>
      <c r="G379" s="2" t="str">
        <f>IF(DB_Artworks_Export!D379="","",DB_Artworks_Export!D379)</f>
        <v/>
      </c>
      <c r="H379" s="2" t="str">
        <f>IF(DB_Artworks_Export!E379="","",DB_Artworks_Export!E379)</f>
        <v/>
      </c>
      <c r="I379" s="2" t="str">
        <f>IF(DB_Artworks_Export!F379="","",DB_Artworks_Export!F379)</f>
        <v/>
      </c>
      <c r="J379" s="2" t="str">
        <f>IF(DB_Artworks_Export!G379="","",DB_Artworks_Export!G379)</f>
        <v/>
      </c>
      <c r="K379" s="2" t="str">
        <f>IF(DB_Artworks_Export!H379="","",DB_Artworks_Export!H379)</f>
        <v/>
      </c>
      <c r="L379" s="2" t="str">
        <f>IF(DB_Artworks_Export!I379="","",DB_Artworks_Export!I379)</f>
        <v/>
      </c>
      <c r="M379" s="2" t="str">
        <f>IF(DB_Artworks_Export!J379="","",DB_Artworks_Export!J379)</f>
        <v/>
      </c>
      <c r="N379" s="2" t="str">
        <f>IF(DB_Artworks_Export!K379="","",DB_Artworks_Export!K379)</f>
        <v/>
      </c>
      <c r="O379" s="2" t="str">
        <f>IF(DB_Artworks_Export!L379="","",DB_Artworks_Export!L379)</f>
        <v/>
      </c>
      <c r="P379" s="2" t="str">
        <f>IF(DB_Artworks_Export!M379="","",DB_Artworks_Export!M379)</f>
        <v/>
      </c>
      <c r="Q379" s="2" t="str">
        <f>IF(DB_Artworks_Export!N379="","",DB_Artworks_Export!N379)</f>
        <v/>
      </c>
      <c r="R379" s="2" t="str">
        <f>IF($D379="","",IF(COUNTIF(DB_Categories_Export!$A:$A,$F379)&gt;0,"OK","INVALID CATEGORY"))</f>
        <v/>
      </c>
      <c r="S379" s="2" t="str">
        <f>IF($D379="","",COUNTIF(DB_Artwork_Sizes_Export!$B:$B,$D379))</f>
        <v/>
      </c>
      <c r="T379" s="2" t="str">
        <f>IF($D379="","",IFERROR(INDEX(DB_Artwork_Sizes_Export!$D:$D,MATCH($D379,DB_Artwork_Sizes_Export!$B:$B,0)),""))</f>
        <v/>
      </c>
      <c r="U379" s="2" t="str">
        <f>IF($D379="","",IFERROR(INDEX(DB_Artwork_Sizes_Export!$E:$E,MATCH($D379,DB_Artwork_Sizes_Export!$B:$B,0)),""))</f>
        <v/>
      </c>
      <c r="V379" s="2" t="str">
        <f>IF($D379="","",IFERROR(INDEX(DB_Artwork_Sizes_Export!$F:$F,MATCH($D379,DB_Artwork_Sizes_Export!$B:$B,0)),""))</f>
        <v/>
      </c>
      <c r="W379" s="2" t="str">
        <f t="shared" si="52"/>
        <v/>
      </c>
      <c r="X379" s="2"/>
      <c r="Y379" s="2"/>
      <c r="Z379" s="2"/>
      <c r="AA379" s="2"/>
      <c r="AB379" s="2"/>
      <c r="AC379" s="2"/>
      <c r="AD379" s="2"/>
      <c r="AE379" s="2"/>
      <c r="AF379" s="2" t="str">
        <f t="shared" si="53"/>
        <v/>
      </c>
      <c r="AG379" s="2" t="str">
        <f t="shared" si="54"/>
        <v/>
      </c>
      <c r="AH379" s="2" t="str">
        <f>IF($AG379="","",IFERROR(VLOOKUP($AG379,DB_Categories_Export!$A:$B,2,FALSE()),"INVALID CATEGORY"))</f>
        <v/>
      </c>
      <c r="AI379" s="2" t="str">
        <f t="shared" si="55"/>
        <v/>
      </c>
      <c r="AJ379" s="2" t="str">
        <f t="shared" si="56"/>
        <v/>
      </c>
      <c r="AK379" s="2" t="str">
        <f t="shared" si="57"/>
        <v/>
      </c>
      <c r="AL379" s="2" t="str">
        <f t="shared" si="58"/>
        <v/>
      </c>
      <c r="AM379" s="2" t="str">
        <f t="shared" si="59"/>
        <v/>
      </c>
      <c r="AN379" s="2"/>
      <c r="AO379" s="2"/>
    </row>
    <row r="380" spans="1:41" ht="12" customHeight="1" x14ac:dyDescent="0.3">
      <c r="A380" s="2"/>
      <c r="B380" s="2" t="str">
        <f t="shared" si="50"/>
        <v/>
      </c>
      <c r="C380" s="2" t="str">
        <f t="shared" si="51"/>
        <v/>
      </c>
      <c r="D380" s="2" t="str">
        <f>IF(DB_Artworks_Export!A380="","",DB_Artworks_Export!A380)</f>
        <v/>
      </c>
      <c r="E380" s="2" t="str">
        <f>IF(DB_Artworks_Export!B380="","",DB_Artworks_Export!B380)</f>
        <v/>
      </c>
      <c r="F380" s="2" t="str">
        <f>IF(DB_Artworks_Export!C380="","",DB_Artworks_Export!C380)</f>
        <v/>
      </c>
      <c r="G380" s="2" t="str">
        <f>IF(DB_Artworks_Export!D380="","",DB_Artworks_Export!D380)</f>
        <v/>
      </c>
      <c r="H380" s="2" t="str">
        <f>IF(DB_Artworks_Export!E380="","",DB_Artworks_Export!E380)</f>
        <v/>
      </c>
      <c r="I380" s="2" t="str">
        <f>IF(DB_Artworks_Export!F380="","",DB_Artworks_Export!F380)</f>
        <v/>
      </c>
      <c r="J380" s="2" t="str">
        <f>IF(DB_Artworks_Export!G380="","",DB_Artworks_Export!G380)</f>
        <v/>
      </c>
      <c r="K380" s="2" t="str">
        <f>IF(DB_Artworks_Export!H380="","",DB_Artworks_Export!H380)</f>
        <v/>
      </c>
      <c r="L380" s="2" t="str">
        <f>IF(DB_Artworks_Export!I380="","",DB_Artworks_Export!I380)</f>
        <v/>
      </c>
      <c r="M380" s="2" t="str">
        <f>IF(DB_Artworks_Export!J380="","",DB_Artworks_Export!J380)</f>
        <v/>
      </c>
      <c r="N380" s="2" t="str">
        <f>IF(DB_Artworks_Export!K380="","",DB_Artworks_Export!K380)</f>
        <v/>
      </c>
      <c r="O380" s="2" t="str">
        <f>IF(DB_Artworks_Export!L380="","",DB_Artworks_Export!L380)</f>
        <v/>
      </c>
      <c r="P380" s="2" t="str">
        <f>IF(DB_Artworks_Export!M380="","",DB_Artworks_Export!M380)</f>
        <v/>
      </c>
      <c r="Q380" s="2" t="str">
        <f>IF(DB_Artworks_Export!N380="","",DB_Artworks_Export!N380)</f>
        <v/>
      </c>
      <c r="R380" s="2" t="str">
        <f>IF($D380="","",IF(COUNTIF(DB_Categories_Export!$A:$A,$F380)&gt;0,"OK","INVALID CATEGORY"))</f>
        <v/>
      </c>
      <c r="S380" s="2" t="str">
        <f>IF($D380="","",COUNTIF(DB_Artwork_Sizes_Export!$B:$B,$D380))</f>
        <v/>
      </c>
      <c r="T380" s="2" t="str">
        <f>IF($D380="","",IFERROR(INDEX(DB_Artwork_Sizes_Export!$D:$D,MATCH($D380,DB_Artwork_Sizes_Export!$B:$B,0)),""))</f>
        <v/>
      </c>
      <c r="U380" s="2" t="str">
        <f>IF($D380="","",IFERROR(INDEX(DB_Artwork_Sizes_Export!$E:$E,MATCH($D380,DB_Artwork_Sizes_Export!$B:$B,0)),""))</f>
        <v/>
      </c>
      <c r="V380" s="2" t="str">
        <f>IF($D380="","",IFERROR(INDEX(DB_Artwork_Sizes_Export!$F:$F,MATCH($D380,DB_Artwork_Sizes_Export!$B:$B,0)),""))</f>
        <v/>
      </c>
      <c r="W380" s="2" t="str">
        <f t="shared" si="52"/>
        <v/>
      </c>
      <c r="X380" s="2"/>
      <c r="Y380" s="2"/>
      <c r="Z380" s="2"/>
      <c r="AA380" s="2"/>
      <c r="AB380" s="2"/>
      <c r="AC380" s="2"/>
      <c r="AD380" s="2"/>
      <c r="AE380" s="2"/>
      <c r="AF380" s="2" t="str">
        <f t="shared" si="53"/>
        <v/>
      </c>
      <c r="AG380" s="2" t="str">
        <f t="shared" si="54"/>
        <v/>
      </c>
      <c r="AH380" s="2" t="str">
        <f>IF($AG380="","",IFERROR(VLOOKUP($AG380,DB_Categories_Export!$A:$B,2,FALSE()),"INVALID CATEGORY"))</f>
        <v/>
      </c>
      <c r="AI380" s="2" t="str">
        <f t="shared" si="55"/>
        <v/>
      </c>
      <c r="AJ380" s="2" t="str">
        <f t="shared" si="56"/>
        <v/>
      </c>
      <c r="AK380" s="2" t="str">
        <f t="shared" si="57"/>
        <v/>
      </c>
      <c r="AL380" s="2" t="str">
        <f t="shared" si="58"/>
        <v/>
      </c>
      <c r="AM380" s="2" t="str">
        <f t="shared" si="59"/>
        <v/>
      </c>
      <c r="AN380" s="2"/>
      <c r="AO380" s="2"/>
    </row>
    <row r="381" spans="1:41" ht="12" customHeight="1" x14ac:dyDescent="0.3">
      <c r="A381" s="2"/>
      <c r="B381" s="2" t="str">
        <f t="shared" si="50"/>
        <v/>
      </c>
      <c r="C381" s="2" t="str">
        <f t="shared" si="51"/>
        <v/>
      </c>
      <c r="D381" s="2" t="str">
        <f>IF(DB_Artworks_Export!A381="","",DB_Artworks_Export!A381)</f>
        <v/>
      </c>
      <c r="E381" s="2" t="str">
        <f>IF(DB_Artworks_Export!B381="","",DB_Artworks_Export!B381)</f>
        <v/>
      </c>
      <c r="F381" s="2" t="str">
        <f>IF(DB_Artworks_Export!C381="","",DB_Artworks_Export!C381)</f>
        <v/>
      </c>
      <c r="G381" s="2" t="str">
        <f>IF(DB_Artworks_Export!D381="","",DB_Artworks_Export!D381)</f>
        <v/>
      </c>
      <c r="H381" s="2" t="str">
        <f>IF(DB_Artworks_Export!E381="","",DB_Artworks_Export!E381)</f>
        <v/>
      </c>
      <c r="I381" s="2" t="str">
        <f>IF(DB_Artworks_Export!F381="","",DB_Artworks_Export!F381)</f>
        <v/>
      </c>
      <c r="J381" s="2" t="str">
        <f>IF(DB_Artworks_Export!G381="","",DB_Artworks_Export!G381)</f>
        <v/>
      </c>
      <c r="K381" s="2" t="str">
        <f>IF(DB_Artworks_Export!H381="","",DB_Artworks_Export!H381)</f>
        <v/>
      </c>
      <c r="L381" s="2" t="str">
        <f>IF(DB_Artworks_Export!I381="","",DB_Artworks_Export!I381)</f>
        <v/>
      </c>
      <c r="M381" s="2" t="str">
        <f>IF(DB_Artworks_Export!J381="","",DB_Artworks_Export!J381)</f>
        <v/>
      </c>
      <c r="N381" s="2" t="str">
        <f>IF(DB_Artworks_Export!K381="","",DB_Artworks_Export!K381)</f>
        <v/>
      </c>
      <c r="O381" s="2" t="str">
        <f>IF(DB_Artworks_Export!L381="","",DB_Artworks_Export!L381)</f>
        <v/>
      </c>
      <c r="P381" s="2" t="str">
        <f>IF(DB_Artworks_Export!M381="","",DB_Artworks_Export!M381)</f>
        <v/>
      </c>
      <c r="Q381" s="2" t="str">
        <f>IF(DB_Artworks_Export!N381="","",DB_Artworks_Export!N381)</f>
        <v/>
      </c>
      <c r="R381" s="2" t="str">
        <f>IF($D381="","",IF(COUNTIF(DB_Categories_Export!$A:$A,$F381)&gt;0,"OK","INVALID CATEGORY"))</f>
        <v/>
      </c>
      <c r="S381" s="2" t="str">
        <f>IF($D381="","",COUNTIF(DB_Artwork_Sizes_Export!$B:$B,$D381))</f>
        <v/>
      </c>
      <c r="T381" s="2" t="str">
        <f>IF($D381="","",IFERROR(INDEX(DB_Artwork_Sizes_Export!$D:$D,MATCH($D381,DB_Artwork_Sizes_Export!$B:$B,0)),""))</f>
        <v/>
      </c>
      <c r="U381" s="2" t="str">
        <f>IF($D381="","",IFERROR(INDEX(DB_Artwork_Sizes_Export!$E:$E,MATCH($D381,DB_Artwork_Sizes_Export!$B:$B,0)),""))</f>
        <v/>
      </c>
      <c r="V381" s="2" t="str">
        <f>IF($D381="","",IFERROR(INDEX(DB_Artwork_Sizes_Export!$F:$F,MATCH($D381,DB_Artwork_Sizes_Export!$B:$B,0)),""))</f>
        <v/>
      </c>
      <c r="W381" s="2" t="str">
        <f t="shared" si="52"/>
        <v/>
      </c>
      <c r="X381" s="2"/>
      <c r="Y381" s="2"/>
      <c r="Z381" s="2"/>
      <c r="AA381" s="2"/>
      <c r="AB381" s="2"/>
      <c r="AC381" s="2"/>
      <c r="AD381" s="2"/>
      <c r="AE381" s="2"/>
      <c r="AF381" s="2" t="str">
        <f t="shared" si="53"/>
        <v/>
      </c>
      <c r="AG381" s="2" t="str">
        <f t="shared" si="54"/>
        <v/>
      </c>
      <c r="AH381" s="2" t="str">
        <f>IF($AG381="","",IFERROR(VLOOKUP($AG381,DB_Categories_Export!$A:$B,2,FALSE()),"INVALID CATEGORY"))</f>
        <v/>
      </c>
      <c r="AI381" s="2" t="str">
        <f t="shared" si="55"/>
        <v/>
      </c>
      <c r="AJ381" s="2" t="str">
        <f t="shared" si="56"/>
        <v/>
      </c>
      <c r="AK381" s="2" t="str">
        <f t="shared" si="57"/>
        <v/>
      </c>
      <c r="AL381" s="2" t="str">
        <f t="shared" si="58"/>
        <v/>
      </c>
      <c r="AM381" s="2" t="str">
        <f t="shared" si="59"/>
        <v/>
      </c>
      <c r="AN381" s="2"/>
      <c r="AO381" s="2"/>
    </row>
    <row r="382" spans="1:41" ht="12" customHeight="1" x14ac:dyDescent="0.3">
      <c r="A382" s="2"/>
      <c r="B382" s="2" t="str">
        <f t="shared" si="50"/>
        <v/>
      </c>
      <c r="C382" s="2" t="str">
        <f t="shared" si="51"/>
        <v/>
      </c>
      <c r="D382" s="2" t="str">
        <f>IF(DB_Artworks_Export!A382="","",DB_Artworks_Export!A382)</f>
        <v/>
      </c>
      <c r="E382" s="2" t="str">
        <f>IF(DB_Artworks_Export!B382="","",DB_Artworks_Export!B382)</f>
        <v/>
      </c>
      <c r="F382" s="2" t="str">
        <f>IF(DB_Artworks_Export!C382="","",DB_Artworks_Export!C382)</f>
        <v/>
      </c>
      <c r="G382" s="2" t="str">
        <f>IF(DB_Artworks_Export!D382="","",DB_Artworks_Export!D382)</f>
        <v/>
      </c>
      <c r="H382" s="2" t="str">
        <f>IF(DB_Artworks_Export!E382="","",DB_Artworks_Export!E382)</f>
        <v/>
      </c>
      <c r="I382" s="2" t="str">
        <f>IF(DB_Artworks_Export!F382="","",DB_Artworks_Export!F382)</f>
        <v/>
      </c>
      <c r="J382" s="2" t="str">
        <f>IF(DB_Artworks_Export!G382="","",DB_Artworks_Export!G382)</f>
        <v/>
      </c>
      <c r="K382" s="2" t="str">
        <f>IF(DB_Artworks_Export!H382="","",DB_Artworks_Export!H382)</f>
        <v/>
      </c>
      <c r="L382" s="2" t="str">
        <f>IF(DB_Artworks_Export!I382="","",DB_Artworks_Export!I382)</f>
        <v/>
      </c>
      <c r="M382" s="2" t="str">
        <f>IF(DB_Artworks_Export!J382="","",DB_Artworks_Export!J382)</f>
        <v/>
      </c>
      <c r="N382" s="2" t="str">
        <f>IF(DB_Artworks_Export!K382="","",DB_Artworks_Export!K382)</f>
        <v/>
      </c>
      <c r="O382" s="2" t="str">
        <f>IF(DB_Artworks_Export!L382="","",DB_Artworks_Export!L382)</f>
        <v/>
      </c>
      <c r="P382" s="2" t="str">
        <f>IF(DB_Artworks_Export!M382="","",DB_Artworks_Export!M382)</f>
        <v/>
      </c>
      <c r="Q382" s="2" t="str">
        <f>IF(DB_Artworks_Export!N382="","",DB_Artworks_Export!N382)</f>
        <v/>
      </c>
      <c r="R382" s="2" t="str">
        <f>IF($D382="","",IF(COUNTIF(DB_Categories_Export!$A:$A,$F382)&gt;0,"OK","INVALID CATEGORY"))</f>
        <v/>
      </c>
      <c r="S382" s="2" t="str">
        <f>IF($D382="","",COUNTIF(DB_Artwork_Sizes_Export!$B:$B,$D382))</f>
        <v/>
      </c>
      <c r="T382" s="2" t="str">
        <f>IF($D382="","",IFERROR(INDEX(DB_Artwork_Sizes_Export!$D:$D,MATCH($D382,DB_Artwork_Sizes_Export!$B:$B,0)),""))</f>
        <v/>
      </c>
      <c r="U382" s="2" t="str">
        <f>IF($D382="","",IFERROR(INDEX(DB_Artwork_Sizes_Export!$E:$E,MATCH($D382,DB_Artwork_Sizes_Export!$B:$B,0)),""))</f>
        <v/>
      </c>
      <c r="V382" s="2" t="str">
        <f>IF($D382="","",IFERROR(INDEX(DB_Artwork_Sizes_Export!$F:$F,MATCH($D382,DB_Artwork_Sizes_Export!$B:$B,0)),""))</f>
        <v/>
      </c>
      <c r="W382" s="2" t="str">
        <f t="shared" si="52"/>
        <v/>
      </c>
      <c r="X382" s="2"/>
      <c r="Y382" s="2"/>
      <c r="Z382" s="2"/>
      <c r="AA382" s="2"/>
      <c r="AB382" s="2"/>
      <c r="AC382" s="2"/>
      <c r="AD382" s="2"/>
      <c r="AE382" s="2"/>
      <c r="AF382" s="2" t="str">
        <f t="shared" si="53"/>
        <v/>
      </c>
      <c r="AG382" s="2" t="str">
        <f t="shared" si="54"/>
        <v/>
      </c>
      <c r="AH382" s="2" t="str">
        <f>IF($AG382="","",IFERROR(VLOOKUP($AG382,DB_Categories_Export!$A:$B,2,FALSE()),"INVALID CATEGORY"))</f>
        <v/>
      </c>
      <c r="AI382" s="2" t="str">
        <f t="shared" si="55"/>
        <v/>
      </c>
      <c r="AJ382" s="2" t="str">
        <f t="shared" si="56"/>
        <v/>
      </c>
      <c r="AK382" s="2" t="str">
        <f t="shared" si="57"/>
        <v/>
      </c>
      <c r="AL382" s="2" t="str">
        <f t="shared" si="58"/>
        <v/>
      </c>
      <c r="AM382" s="2" t="str">
        <f t="shared" si="59"/>
        <v/>
      </c>
      <c r="AN382" s="2"/>
      <c r="AO382" s="2"/>
    </row>
    <row r="383" spans="1:41" ht="12" customHeight="1" x14ac:dyDescent="0.3">
      <c r="A383" s="2"/>
      <c r="B383" s="2" t="str">
        <f t="shared" si="50"/>
        <v/>
      </c>
      <c r="C383" s="2" t="str">
        <f t="shared" si="51"/>
        <v/>
      </c>
      <c r="D383" s="2" t="str">
        <f>IF(DB_Artworks_Export!A383="","",DB_Artworks_Export!A383)</f>
        <v/>
      </c>
      <c r="E383" s="2" t="str">
        <f>IF(DB_Artworks_Export!B383="","",DB_Artworks_Export!B383)</f>
        <v/>
      </c>
      <c r="F383" s="2" t="str">
        <f>IF(DB_Artworks_Export!C383="","",DB_Artworks_Export!C383)</f>
        <v/>
      </c>
      <c r="G383" s="2" t="str">
        <f>IF(DB_Artworks_Export!D383="","",DB_Artworks_Export!D383)</f>
        <v/>
      </c>
      <c r="H383" s="2" t="str">
        <f>IF(DB_Artworks_Export!E383="","",DB_Artworks_Export!E383)</f>
        <v/>
      </c>
      <c r="I383" s="2" t="str">
        <f>IF(DB_Artworks_Export!F383="","",DB_Artworks_Export!F383)</f>
        <v/>
      </c>
      <c r="J383" s="2" t="str">
        <f>IF(DB_Artworks_Export!G383="","",DB_Artworks_Export!G383)</f>
        <v/>
      </c>
      <c r="K383" s="2" t="str">
        <f>IF(DB_Artworks_Export!H383="","",DB_Artworks_Export!H383)</f>
        <v/>
      </c>
      <c r="L383" s="2" t="str">
        <f>IF(DB_Artworks_Export!I383="","",DB_Artworks_Export!I383)</f>
        <v/>
      </c>
      <c r="M383" s="2" t="str">
        <f>IF(DB_Artworks_Export!J383="","",DB_Artworks_Export!J383)</f>
        <v/>
      </c>
      <c r="N383" s="2" t="str">
        <f>IF(DB_Artworks_Export!K383="","",DB_Artworks_Export!K383)</f>
        <v/>
      </c>
      <c r="O383" s="2" t="str">
        <f>IF(DB_Artworks_Export!L383="","",DB_Artworks_Export!L383)</f>
        <v/>
      </c>
      <c r="P383" s="2" t="str">
        <f>IF(DB_Artworks_Export!M383="","",DB_Artworks_Export!M383)</f>
        <v/>
      </c>
      <c r="Q383" s="2" t="str">
        <f>IF(DB_Artworks_Export!N383="","",DB_Artworks_Export!N383)</f>
        <v/>
      </c>
      <c r="R383" s="2" t="str">
        <f>IF($D383="","",IF(COUNTIF(DB_Categories_Export!$A:$A,$F383)&gt;0,"OK","INVALID CATEGORY"))</f>
        <v/>
      </c>
      <c r="S383" s="2" t="str">
        <f>IF($D383="","",COUNTIF(DB_Artwork_Sizes_Export!$B:$B,$D383))</f>
        <v/>
      </c>
      <c r="T383" s="2" t="str">
        <f>IF($D383="","",IFERROR(INDEX(DB_Artwork_Sizes_Export!$D:$D,MATCH($D383,DB_Artwork_Sizes_Export!$B:$B,0)),""))</f>
        <v/>
      </c>
      <c r="U383" s="2" t="str">
        <f>IF($D383="","",IFERROR(INDEX(DB_Artwork_Sizes_Export!$E:$E,MATCH($D383,DB_Artwork_Sizes_Export!$B:$B,0)),""))</f>
        <v/>
      </c>
      <c r="V383" s="2" t="str">
        <f>IF($D383="","",IFERROR(INDEX(DB_Artwork_Sizes_Export!$F:$F,MATCH($D383,DB_Artwork_Sizes_Export!$B:$B,0)),""))</f>
        <v/>
      </c>
      <c r="W383" s="2" t="str">
        <f t="shared" si="52"/>
        <v/>
      </c>
      <c r="X383" s="2"/>
      <c r="Y383" s="2"/>
      <c r="Z383" s="2"/>
      <c r="AA383" s="2"/>
      <c r="AB383" s="2"/>
      <c r="AC383" s="2"/>
      <c r="AD383" s="2"/>
      <c r="AE383" s="2"/>
      <c r="AF383" s="2" t="str">
        <f t="shared" si="53"/>
        <v/>
      </c>
      <c r="AG383" s="2" t="str">
        <f t="shared" si="54"/>
        <v/>
      </c>
      <c r="AH383" s="2" t="str">
        <f>IF($AG383="","",IFERROR(VLOOKUP($AG383,DB_Categories_Export!$A:$B,2,FALSE()),"INVALID CATEGORY"))</f>
        <v/>
      </c>
      <c r="AI383" s="2" t="str">
        <f t="shared" si="55"/>
        <v/>
      </c>
      <c r="AJ383" s="2" t="str">
        <f t="shared" si="56"/>
        <v/>
      </c>
      <c r="AK383" s="2" t="str">
        <f t="shared" si="57"/>
        <v/>
      </c>
      <c r="AL383" s="2" t="str">
        <f t="shared" si="58"/>
        <v/>
      </c>
      <c r="AM383" s="2" t="str">
        <f t="shared" si="59"/>
        <v/>
      </c>
      <c r="AN383" s="2"/>
      <c r="AO383" s="2"/>
    </row>
    <row r="384" spans="1:41" ht="12" customHeight="1" x14ac:dyDescent="0.3">
      <c r="A384" s="2"/>
      <c r="B384" s="2" t="str">
        <f t="shared" si="50"/>
        <v/>
      </c>
      <c r="C384" s="2" t="str">
        <f t="shared" si="51"/>
        <v/>
      </c>
      <c r="D384" s="2" t="str">
        <f>IF(DB_Artworks_Export!A384="","",DB_Artworks_Export!A384)</f>
        <v/>
      </c>
      <c r="E384" s="2" t="str">
        <f>IF(DB_Artworks_Export!B384="","",DB_Artworks_Export!B384)</f>
        <v/>
      </c>
      <c r="F384" s="2" t="str">
        <f>IF(DB_Artworks_Export!C384="","",DB_Artworks_Export!C384)</f>
        <v/>
      </c>
      <c r="G384" s="2" t="str">
        <f>IF(DB_Artworks_Export!D384="","",DB_Artworks_Export!D384)</f>
        <v/>
      </c>
      <c r="H384" s="2" t="str">
        <f>IF(DB_Artworks_Export!E384="","",DB_Artworks_Export!E384)</f>
        <v/>
      </c>
      <c r="I384" s="2" t="str">
        <f>IF(DB_Artworks_Export!F384="","",DB_Artworks_Export!F384)</f>
        <v/>
      </c>
      <c r="J384" s="2" t="str">
        <f>IF(DB_Artworks_Export!G384="","",DB_Artworks_Export!G384)</f>
        <v/>
      </c>
      <c r="K384" s="2" t="str">
        <f>IF(DB_Artworks_Export!H384="","",DB_Artworks_Export!H384)</f>
        <v/>
      </c>
      <c r="L384" s="2" t="str">
        <f>IF(DB_Artworks_Export!I384="","",DB_Artworks_Export!I384)</f>
        <v/>
      </c>
      <c r="M384" s="2" t="str">
        <f>IF(DB_Artworks_Export!J384="","",DB_Artworks_Export!J384)</f>
        <v/>
      </c>
      <c r="N384" s="2" t="str">
        <f>IF(DB_Artworks_Export!K384="","",DB_Artworks_Export!K384)</f>
        <v/>
      </c>
      <c r="O384" s="2" t="str">
        <f>IF(DB_Artworks_Export!L384="","",DB_Artworks_Export!L384)</f>
        <v/>
      </c>
      <c r="P384" s="2" t="str">
        <f>IF(DB_Artworks_Export!M384="","",DB_Artworks_Export!M384)</f>
        <v/>
      </c>
      <c r="Q384" s="2" t="str">
        <f>IF(DB_Artworks_Export!N384="","",DB_Artworks_Export!N384)</f>
        <v/>
      </c>
      <c r="R384" s="2" t="str">
        <f>IF($D384="","",IF(COUNTIF(DB_Categories_Export!$A:$A,$F384)&gt;0,"OK","INVALID CATEGORY"))</f>
        <v/>
      </c>
      <c r="S384" s="2" t="str">
        <f>IF($D384="","",COUNTIF(DB_Artwork_Sizes_Export!$B:$B,$D384))</f>
        <v/>
      </c>
      <c r="T384" s="2" t="str">
        <f>IF($D384="","",IFERROR(INDEX(DB_Artwork_Sizes_Export!$D:$D,MATCH($D384,DB_Artwork_Sizes_Export!$B:$B,0)),""))</f>
        <v/>
      </c>
      <c r="U384" s="2" t="str">
        <f>IF($D384="","",IFERROR(INDEX(DB_Artwork_Sizes_Export!$E:$E,MATCH($D384,DB_Artwork_Sizes_Export!$B:$B,0)),""))</f>
        <v/>
      </c>
      <c r="V384" s="2" t="str">
        <f>IF($D384="","",IFERROR(INDEX(DB_Artwork_Sizes_Export!$F:$F,MATCH($D384,DB_Artwork_Sizes_Export!$B:$B,0)),""))</f>
        <v/>
      </c>
      <c r="W384" s="2" t="str">
        <f t="shared" si="52"/>
        <v/>
      </c>
      <c r="X384" s="2"/>
      <c r="Y384" s="2"/>
      <c r="Z384" s="2"/>
      <c r="AA384" s="2"/>
      <c r="AB384" s="2"/>
      <c r="AC384" s="2"/>
      <c r="AD384" s="2"/>
      <c r="AE384" s="2"/>
      <c r="AF384" s="2" t="str">
        <f t="shared" si="53"/>
        <v/>
      </c>
      <c r="AG384" s="2" t="str">
        <f t="shared" si="54"/>
        <v/>
      </c>
      <c r="AH384" s="2" t="str">
        <f>IF($AG384="","",IFERROR(VLOOKUP($AG384,DB_Categories_Export!$A:$B,2,FALSE()),"INVALID CATEGORY"))</f>
        <v/>
      </c>
      <c r="AI384" s="2" t="str">
        <f t="shared" si="55"/>
        <v/>
      </c>
      <c r="AJ384" s="2" t="str">
        <f t="shared" si="56"/>
        <v/>
      </c>
      <c r="AK384" s="2" t="str">
        <f t="shared" si="57"/>
        <v/>
      </c>
      <c r="AL384" s="2" t="str">
        <f t="shared" si="58"/>
        <v/>
      </c>
      <c r="AM384" s="2" t="str">
        <f t="shared" si="59"/>
        <v/>
      </c>
      <c r="AN384" s="2"/>
      <c r="AO384" s="2"/>
    </row>
    <row r="385" spans="1:41" ht="12" customHeight="1" x14ac:dyDescent="0.3">
      <c r="A385" s="2"/>
      <c r="B385" s="2" t="str">
        <f t="shared" si="50"/>
        <v/>
      </c>
      <c r="C385" s="2" t="str">
        <f t="shared" si="51"/>
        <v/>
      </c>
      <c r="D385" s="2" t="str">
        <f>IF(DB_Artworks_Export!A385="","",DB_Artworks_Export!A385)</f>
        <v/>
      </c>
      <c r="E385" s="2" t="str">
        <f>IF(DB_Artworks_Export!B385="","",DB_Artworks_Export!B385)</f>
        <v/>
      </c>
      <c r="F385" s="2" t="str">
        <f>IF(DB_Artworks_Export!C385="","",DB_Artworks_Export!C385)</f>
        <v/>
      </c>
      <c r="G385" s="2" t="str">
        <f>IF(DB_Artworks_Export!D385="","",DB_Artworks_Export!D385)</f>
        <v/>
      </c>
      <c r="H385" s="2" t="str">
        <f>IF(DB_Artworks_Export!E385="","",DB_Artworks_Export!E385)</f>
        <v/>
      </c>
      <c r="I385" s="2" t="str">
        <f>IF(DB_Artworks_Export!F385="","",DB_Artworks_Export!F385)</f>
        <v/>
      </c>
      <c r="J385" s="2" t="str">
        <f>IF(DB_Artworks_Export!G385="","",DB_Artworks_Export!G385)</f>
        <v/>
      </c>
      <c r="K385" s="2" t="str">
        <f>IF(DB_Artworks_Export!H385="","",DB_Artworks_Export!H385)</f>
        <v/>
      </c>
      <c r="L385" s="2" t="str">
        <f>IF(DB_Artworks_Export!I385="","",DB_Artworks_Export!I385)</f>
        <v/>
      </c>
      <c r="M385" s="2" t="str">
        <f>IF(DB_Artworks_Export!J385="","",DB_Artworks_Export!J385)</f>
        <v/>
      </c>
      <c r="N385" s="2" t="str">
        <f>IF(DB_Artworks_Export!K385="","",DB_Artworks_Export!K385)</f>
        <v/>
      </c>
      <c r="O385" s="2" t="str">
        <f>IF(DB_Artworks_Export!L385="","",DB_Artworks_Export!L385)</f>
        <v/>
      </c>
      <c r="P385" s="2" t="str">
        <f>IF(DB_Artworks_Export!M385="","",DB_Artworks_Export!M385)</f>
        <v/>
      </c>
      <c r="Q385" s="2" t="str">
        <f>IF(DB_Artworks_Export!N385="","",DB_Artworks_Export!N385)</f>
        <v/>
      </c>
      <c r="R385" s="2" t="str">
        <f>IF($D385="","",IF(COUNTIF(DB_Categories_Export!$A:$A,$F385)&gt;0,"OK","INVALID CATEGORY"))</f>
        <v/>
      </c>
      <c r="S385" s="2" t="str">
        <f>IF($D385="","",COUNTIF(DB_Artwork_Sizes_Export!$B:$B,$D385))</f>
        <v/>
      </c>
      <c r="T385" s="2" t="str">
        <f>IF($D385="","",IFERROR(INDEX(DB_Artwork_Sizes_Export!$D:$D,MATCH($D385,DB_Artwork_Sizes_Export!$B:$B,0)),""))</f>
        <v/>
      </c>
      <c r="U385" s="2" t="str">
        <f>IF($D385="","",IFERROR(INDEX(DB_Artwork_Sizes_Export!$E:$E,MATCH($D385,DB_Artwork_Sizes_Export!$B:$B,0)),""))</f>
        <v/>
      </c>
      <c r="V385" s="2" t="str">
        <f>IF($D385="","",IFERROR(INDEX(DB_Artwork_Sizes_Export!$F:$F,MATCH($D385,DB_Artwork_Sizes_Export!$B:$B,0)),""))</f>
        <v/>
      </c>
      <c r="W385" s="2" t="str">
        <f t="shared" si="52"/>
        <v/>
      </c>
      <c r="X385" s="2"/>
      <c r="Y385" s="2"/>
      <c r="Z385" s="2"/>
      <c r="AA385" s="2"/>
      <c r="AB385" s="2"/>
      <c r="AC385" s="2"/>
      <c r="AD385" s="2"/>
      <c r="AE385" s="2"/>
      <c r="AF385" s="2" t="str">
        <f t="shared" si="53"/>
        <v/>
      </c>
      <c r="AG385" s="2" t="str">
        <f t="shared" si="54"/>
        <v/>
      </c>
      <c r="AH385" s="2" t="str">
        <f>IF($AG385="","",IFERROR(VLOOKUP($AG385,DB_Categories_Export!$A:$B,2,FALSE()),"INVALID CATEGORY"))</f>
        <v/>
      </c>
      <c r="AI385" s="2" t="str">
        <f t="shared" si="55"/>
        <v/>
      </c>
      <c r="AJ385" s="2" t="str">
        <f t="shared" si="56"/>
        <v/>
      </c>
      <c r="AK385" s="2" t="str">
        <f t="shared" si="57"/>
        <v/>
      </c>
      <c r="AL385" s="2" t="str">
        <f t="shared" si="58"/>
        <v/>
      </c>
      <c r="AM385" s="2" t="str">
        <f t="shared" si="59"/>
        <v/>
      </c>
      <c r="AN385" s="2"/>
      <c r="AO385" s="2"/>
    </row>
    <row r="386" spans="1:41" ht="12" customHeight="1" x14ac:dyDescent="0.3">
      <c r="A386" s="2"/>
      <c r="B386" s="2" t="str">
        <f t="shared" ref="B386:B449" si="60">IF($D386="","",IF(COUNTA($Y386:$AE386)&gt;0,"UPDATE","NO_CHANGE"))</f>
        <v/>
      </c>
      <c r="C386" s="2" t="str">
        <f t="shared" ref="C386:C449" si="61">IF($D386="","",IF($R386&lt;&gt;"OK","ERROR",IF(OR($E386="", $F386="", $J386=""),"ERROR",IF($W386&lt;&gt;"OK","WARNING","PASS"))))</f>
        <v/>
      </c>
      <c r="D386" s="2" t="str">
        <f>IF(DB_Artworks_Export!A386="","",DB_Artworks_Export!A386)</f>
        <v/>
      </c>
      <c r="E386" s="2" t="str">
        <f>IF(DB_Artworks_Export!B386="","",DB_Artworks_Export!B386)</f>
        <v/>
      </c>
      <c r="F386" s="2" t="str">
        <f>IF(DB_Artworks_Export!C386="","",DB_Artworks_Export!C386)</f>
        <v/>
      </c>
      <c r="G386" s="2" t="str">
        <f>IF(DB_Artworks_Export!D386="","",DB_Artworks_Export!D386)</f>
        <v/>
      </c>
      <c r="H386" s="2" t="str">
        <f>IF(DB_Artworks_Export!E386="","",DB_Artworks_Export!E386)</f>
        <v/>
      </c>
      <c r="I386" s="2" t="str">
        <f>IF(DB_Artworks_Export!F386="","",DB_Artworks_Export!F386)</f>
        <v/>
      </c>
      <c r="J386" s="2" t="str">
        <f>IF(DB_Artworks_Export!G386="","",DB_Artworks_Export!G386)</f>
        <v/>
      </c>
      <c r="K386" s="2" t="str">
        <f>IF(DB_Artworks_Export!H386="","",DB_Artworks_Export!H386)</f>
        <v/>
      </c>
      <c r="L386" s="2" t="str">
        <f>IF(DB_Artworks_Export!I386="","",DB_Artworks_Export!I386)</f>
        <v/>
      </c>
      <c r="M386" s="2" t="str">
        <f>IF(DB_Artworks_Export!J386="","",DB_Artworks_Export!J386)</f>
        <v/>
      </c>
      <c r="N386" s="2" t="str">
        <f>IF(DB_Artworks_Export!K386="","",DB_Artworks_Export!K386)</f>
        <v/>
      </c>
      <c r="O386" s="2" t="str">
        <f>IF(DB_Artworks_Export!L386="","",DB_Artworks_Export!L386)</f>
        <v/>
      </c>
      <c r="P386" s="2" t="str">
        <f>IF(DB_Artworks_Export!M386="","",DB_Artworks_Export!M386)</f>
        <v/>
      </c>
      <c r="Q386" s="2" t="str">
        <f>IF(DB_Artworks_Export!N386="","",DB_Artworks_Export!N386)</f>
        <v/>
      </c>
      <c r="R386" s="2" t="str">
        <f>IF($D386="","",IF(COUNTIF(DB_Categories_Export!$A:$A,$F386)&gt;0,"OK","INVALID CATEGORY"))</f>
        <v/>
      </c>
      <c r="S386" s="2" t="str">
        <f>IF($D386="","",COUNTIF(DB_Artwork_Sizes_Export!$B:$B,$D386))</f>
        <v/>
      </c>
      <c r="T386" s="2" t="str">
        <f>IF($D386="","",IFERROR(INDEX(DB_Artwork_Sizes_Export!$D:$D,MATCH($D386,DB_Artwork_Sizes_Export!$B:$B,0)),""))</f>
        <v/>
      </c>
      <c r="U386" s="2" t="str">
        <f>IF($D386="","",IFERROR(INDEX(DB_Artwork_Sizes_Export!$E:$E,MATCH($D386,DB_Artwork_Sizes_Export!$B:$B,0)),""))</f>
        <v/>
      </c>
      <c r="V386" s="2" t="str">
        <f>IF($D386="","",IFERROR(INDEX(DB_Artwork_Sizes_Export!$F:$F,MATCH($D386,DB_Artwork_Sizes_Export!$B:$B,0)),""))</f>
        <v/>
      </c>
      <c r="W386" s="2" t="str">
        <f t="shared" ref="W386:W449" si="62">IF($D386="","",IF($S386&gt;0,"REVIEW_SIZE_PRICING","OK"))</f>
        <v/>
      </c>
      <c r="X386" s="2"/>
      <c r="Y386" s="2"/>
      <c r="Z386" s="2"/>
      <c r="AA386" s="2"/>
      <c r="AB386" s="2"/>
      <c r="AC386" s="2"/>
      <c r="AD386" s="2"/>
      <c r="AE386" s="2"/>
      <c r="AF386" s="2" t="str">
        <f t="shared" ref="AF386:AF449" si="63">IF($Y386&lt;&gt;"",$Y386,$E386)</f>
        <v/>
      </c>
      <c r="AG386" s="2" t="str">
        <f t="shared" ref="AG386:AG449" si="64">IF($Z386&lt;&gt;"",$Z386,$F386)</f>
        <v/>
      </c>
      <c r="AH386" s="2" t="str">
        <f>IF($AG386="","",IFERROR(VLOOKUP($AG386,DB_Categories_Export!$A:$B,2,FALSE()),"INVALID CATEGORY"))</f>
        <v/>
      </c>
      <c r="AI386" s="2" t="str">
        <f t="shared" ref="AI386:AI449" si="65">IF($AA386&lt;&gt;"",$AA386,$H386)</f>
        <v/>
      </c>
      <c r="AJ386" s="2" t="str">
        <f t="shared" ref="AJ386:AJ449" si="66">IF($AB386&lt;&gt;"",$AB386,$I386)</f>
        <v/>
      </c>
      <c r="AK386" s="2" t="str">
        <f t="shared" ref="AK386:AK449" si="67">IF($AC386&lt;&gt;"",$AC386,$J386)</f>
        <v/>
      </c>
      <c r="AL386" s="2" t="str">
        <f t="shared" ref="AL386:AL449" si="68">IF($AD386&lt;&gt;"",$AD386,$N386)</f>
        <v/>
      </c>
      <c r="AM386" s="2" t="str">
        <f t="shared" ref="AM386:AM449" si="69">IF($AE386&lt;&gt;"",$AE386,$O386)</f>
        <v/>
      </c>
      <c r="AN386" s="2"/>
      <c r="AO386" s="2"/>
    </row>
    <row r="387" spans="1:41" ht="12" customHeight="1" x14ac:dyDescent="0.3">
      <c r="A387" s="2"/>
      <c r="B387" s="2" t="str">
        <f t="shared" si="60"/>
        <v/>
      </c>
      <c r="C387" s="2" t="str">
        <f t="shared" si="61"/>
        <v/>
      </c>
      <c r="D387" s="2" t="str">
        <f>IF(DB_Artworks_Export!A387="","",DB_Artworks_Export!A387)</f>
        <v/>
      </c>
      <c r="E387" s="2" t="str">
        <f>IF(DB_Artworks_Export!B387="","",DB_Artworks_Export!B387)</f>
        <v/>
      </c>
      <c r="F387" s="2" t="str">
        <f>IF(DB_Artworks_Export!C387="","",DB_Artworks_Export!C387)</f>
        <v/>
      </c>
      <c r="G387" s="2" t="str">
        <f>IF(DB_Artworks_Export!D387="","",DB_Artworks_Export!D387)</f>
        <v/>
      </c>
      <c r="H387" s="2" t="str">
        <f>IF(DB_Artworks_Export!E387="","",DB_Artworks_Export!E387)</f>
        <v/>
      </c>
      <c r="I387" s="2" t="str">
        <f>IF(DB_Artworks_Export!F387="","",DB_Artworks_Export!F387)</f>
        <v/>
      </c>
      <c r="J387" s="2" t="str">
        <f>IF(DB_Artworks_Export!G387="","",DB_Artworks_Export!G387)</f>
        <v/>
      </c>
      <c r="K387" s="2" t="str">
        <f>IF(DB_Artworks_Export!H387="","",DB_Artworks_Export!H387)</f>
        <v/>
      </c>
      <c r="L387" s="2" t="str">
        <f>IF(DB_Artworks_Export!I387="","",DB_Artworks_Export!I387)</f>
        <v/>
      </c>
      <c r="M387" s="2" t="str">
        <f>IF(DB_Artworks_Export!J387="","",DB_Artworks_Export!J387)</f>
        <v/>
      </c>
      <c r="N387" s="2" t="str">
        <f>IF(DB_Artworks_Export!K387="","",DB_Artworks_Export!K387)</f>
        <v/>
      </c>
      <c r="O387" s="2" t="str">
        <f>IF(DB_Artworks_Export!L387="","",DB_Artworks_Export!L387)</f>
        <v/>
      </c>
      <c r="P387" s="2" t="str">
        <f>IF(DB_Artworks_Export!M387="","",DB_Artworks_Export!M387)</f>
        <v/>
      </c>
      <c r="Q387" s="2" t="str">
        <f>IF(DB_Artworks_Export!N387="","",DB_Artworks_Export!N387)</f>
        <v/>
      </c>
      <c r="R387" s="2" t="str">
        <f>IF($D387="","",IF(COUNTIF(DB_Categories_Export!$A:$A,$F387)&gt;0,"OK","INVALID CATEGORY"))</f>
        <v/>
      </c>
      <c r="S387" s="2" t="str">
        <f>IF($D387="","",COUNTIF(DB_Artwork_Sizes_Export!$B:$B,$D387))</f>
        <v/>
      </c>
      <c r="T387" s="2" t="str">
        <f>IF($D387="","",IFERROR(INDEX(DB_Artwork_Sizes_Export!$D:$D,MATCH($D387,DB_Artwork_Sizes_Export!$B:$B,0)),""))</f>
        <v/>
      </c>
      <c r="U387" s="2" t="str">
        <f>IF($D387="","",IFERROR(INDEX(DB_Artwork_Sizes_Export!$E:$E,MATCH($D387,DB_Artwork_Sizes_Export!$B:$B,0)),""))</f>
        <v/>
      </c>
      <c r="V387" s="2" t="str">
        <f>IF($D387="","",IFERROR(INDEX(DB_Artwork_Sizes_Export!$F:$F,MATCH($D387,DB_Artwork_Sizes_Export!$B:$B,0)),""))</f>
        <v/>
      </c>
      <c r="W387" s="2" t="str">
        <f t="shared" si="62"/>
        <v/>
      </c>
      <c r="X387" s="2"/>
      <c r="Y387" s="2"/>
      <c r="Z387" s="2"/>
      <c r="AA387" s="2"/>
      <c r="AB387" s="2"/>
      <c r="AC387" s="2"/>
      <c r="AD387" s="2"/>
      <c r="AE387" s="2"/>
      <c r="AF387" s="2" t="str">
        <f t="shared" si="63"/>
        <v/>
      </c>
      <c r="AG387" s="2" t="str">
        <f t="shared" si="64"/>
        <v/>
      </c>
      <c r="AH387" s="2" t="str">
        <f>IF($AG387="","",IFERROR(VLOOKUP($AG387,DB_Categories_Export!$A:$B,2,FALSE()),"INVALID CATEGORY"))</f>
        <v/>
      </c>
      <c r="AI387" s="2" t="str">
        <f t="shared" si="65"/>
        <v/>
      </c>
      <c r="AJ387" s="2" t="str">
        <f t="shared" si="66"/>
        <v/>
      </c>
      <c r="AK387" s="2" t="str">
        <f t="shared" si="67"/>
        <v/>
      </c>
      <c r="AL387" s="2" t="str">
        <f t="shared" si="68"/>
        <v/>
      </c>
      <c r="AM387" s="2" t="str">
        <f t="shared" si="69"/>
        <v/>
      </c>
      <c r="AN387" s="2"/>
      <c r="AO387" s="2"/>
    </row>
    <row r="388" spans="1:41" ht="12" customHeight="1" x14ac:dyDescent="0.3">
      <c r="A388" s="2"/>
      <c r="B388" s="2" t="str">
        <f t="shared" si="60"/>
        <v/>
      </c>
      <c r="C388" s="2" t="str">
        <f t="shared" si="61"/>
        <v/>
      </c>
      <c r="D388" s="2" t="str">
        <f>IF(DB_Artworks_Export!A388="","",DB_Artworks_Export!A388)</f>
        <v/>
      </c>
      <c r="E388" s="2" t="str">
        <f>IF(DB_Artworks_Export!B388="","",DB_Artworks_Export!B388)</f>
        <v/>
      </c>
      <c r="F388" s="2" t="str">
        <f>IF(DB_Artworks_Export!C388="","",DB_Artworks_Export!C388)</f>
        <v/>
      </c>
      <c r="G388" s="2" t="str">
        <f>IF(DB_Artworks_Export!D388="","",DB_Artworks_Export!D388)</f>
        <v/>
      </c>
      <c r="H388" s="2" t="str">
        <f>IF(DB_Artworks_Export!E388="","",DB_Artworks_Export!E388)</f>
        <v/>
      </c>
      <c r="I388" s="2" t="str">
        <f>IF(DB_Artworks_Export!F388="","",DB_Artworks_Export!F388)</f>
        <v/>
      </c>
      <c r="J388" s="2" t="str">
        <f>IF(DB_Artworks_Export!G388="","",DB_Artworks_Export!G388)</f>
        <v/>
      </c>
      <c r="K388" s="2" t="str">
        <f>IF(DB_Artworks_Export!H388="","",DB_Artworks_Export!H388)</f>
        <v/>
      </c>
      <c r="L388" s="2" t="str">
        <f>IF(DB_Artworks_Export!I388="","",DB_Artworks_Export!I388)</f>
        <v/>
      </c>
      <c r="M388" s="2" t="str">
        <f>IF(DB_Artworks_Export!J388="","",DB_Artworks_Export!J388)</f>
        <v/>
      </c>
      <c r="N388" s="2" t="str">
        <f>IF(DB_Artworks_Export!K388="","",DB_Artworks_Export!K388)</f>
        <v/>
      </c>
      <c r="O388" s="2" t="str">
        <f>IF(DB_Artworks_Export!L388="","",DB_Artworks_Export!L388)</f>
        <v/>
      </c>
      <c r="P388" s="2" t="str">
        <f>IF(DB_Artworks_Export!M388="","",DB_Artworks_Export!M388)</f>
        <v/>
      </c>
      <c r="Q388" s="2" t="str">
        <f>IF(DB_Artworks_Export!N388="","",DB_Artworks_Export!N388)</f>
        <v/>
      </c>
      <c r="R388" s="2" t="str">
        <f>IF($D388="","",IF(COUNTIF(DB_Categories_Export!$A:$A,$F388)&gt;0,"OK","INVALID CATEGORY"))</f>
        <v/>
      </c>
      <c r="S388" s="2" t="str">
        <f>IF($D388="","",COUNTIF(DB_Artwork_Sizes_Export!$B:$B,$D388))</f>
        <v/>
      </c>
      <c r="T388" s="2" t="str">
        <f>IF($D388="","",IFERROR(INDEX(DB_Artwork_Sizes_Export!$D:$D,MATCH($D388,DB_Artwork_Sizes_Export!$B:$B,0)),""))</f>
        <v/>
      </c>
      <c r="U388" s="2" t="str">
        <f>IF($D388="","",IFERROR(INDEX(DB_Artwork_Sizes_Export!$E:$E,MATCH($D388,DB_Artwork_Sizes_Export!$B:$B,0)),""))</f>
        <v/>
      </c>
      <c r="V388" s="2" t="str">
        <f>IF($D388="","",IFERROR(INDEX(DB_Artwork_Sizes_Export!$F:$F,MATCH($D388,DB_Artwork_Sizes_Export!$B:$B,0)),""))</f>
        <v/>
      </c>
      <c r="W388" s="2" t="str">
        <f t="shared" si="62"/>
        <v/>
      </c>
      <c r="X388" s="2"/>
      <c r="Y388" s="2"/>
      <c r="Z388" s="2"/>
      <c r="AA388" s="2"/>
      <c r="AB388" s="2"/>
      <c r="AC388" s="2"/>
      <c r="AD388" s="2"/>
      <c r="AE388" s="2"/>
      <c r="AF388" s="2" t="str">
        <f t="shared" si="63"/>
        <v/>
      </c>
      <c r="AG388" s="2" t="str">
        <f t="shared" si="64"/>
        <v/>
      </c>
      <c r="AH388" s="2" t="str">
        <f>IF($AG388="","",IFERROR(VLOOKUP($AG388,DB_Categories_Export!$A:$B,2,FALSE()),"INVALID CATEGORY"))</f>
        <v/>
      </c>
      <c r="AI388" s="2" t="str">
        <f t="shared" si="65"/>
        <v/>
      </c>
      <c r="AJ388" s="2" t="str">
        <f t="shared" si="66"/>
        <v/>
      </c>
      <c r="AK388" s="2" t="str">
        <f t="shared" si="67"/>
        <v/>
      </c>
      <c r="AL388" s="2" t="str">
        <f t="shared" si="68"/>
        <v/>
      </c>
      <c r="AM388" s="2" t="str">
        <f t="shared" si="69"/>
        <v/>
      </c>
      <c r="AN388" s="2"/>
      <c r="AO388" s="2"/>
    </row>
    <row r="389" spans="1:41" ht="12" customHeight="1" x14ac:dyDescent="0.3">
      <c r="A389" s="2"/>
      <c r="B389" s="2" t="str">
        <f t="shared" si="60"/>
        <v/>
      </c>
      <c r="C389" s="2" t="str">
        <f t="shared" si="61"/>
        <v/>
      </c>
      <c r="D389" s="2" t="str">
        <f>IF(DB_Artworks_Export!A389="","",DB_Artworks_Export!A389)</f>
        <v/>
      </c>
      <c r="E389" s="2" t="str">
        <f>IF(DB_Artworks_Export!B389="","",DB_Artworks_Export!B389)</f>
        <v/>
      </c>
      <c r="F389" s="2" t="str">
        <f>IF(DB_Artworks_Export!C389="","",DB_Artworks_Export!C389)</f>
        <v/>
      </c>
      <c r="G389" s="2" t="str">
        <f>IF(DB_Artworks_Export!D389="","",DB_Artworks_Export!D389)</f>
        <v/>
      </c>
      <c r="H389" s="2" t="str">
        <f>IF(DB_Artworks_Export!E389="","",DB_Artworks_Export!E389)</f>
        <v/>
      </c>
      <c r="I389" s="2" t="str">
        <f>IF(DB_Artworks_Export!F389="","",DB_Artworks_Export!F389)</f>
        <v/>
      </c>
      <c r="J389" s="2" t="str">
        <f>IF(DB_Artworks_Export!G389="","",DB_Artworks_Export!G389)</f>
        <v/>
      </c>
      <c r="K389" s="2" t="str">
        <f>IF(DB_Artworks_Export!H389="","",DB_Artworks_Export!H389)</f>
        <v/>
      </c>
      <c r="L389" s="2" t="str">
        <f>IF(DB_Artworks_Export!I389="","",DB_Artworks_Export!I389)</f>
        <v/>
      </c>
      <c r="M389" s="2" t="str">
        <f>IF(DB_Artworks_Export!J389="","",DB_Artworks_Export!J389)</f>
        <v/>
      </c>
      <c r="N389" s="2" t="str">
        <f>IF(DB_Artworks_Export!K389="","",DB_Artworks_Export!K389)</f>
        <v/>
      </c>
      <c r="O389" s="2" t="str">
        <f>IF(DB_Artworks_Export!L389="","",DB_Artworks_Export!L389)</f>
        <v/>
      </c>
      <c r="P389" s="2" t="str">
        <f>IF(DB_Artworks_Export!M389="","",DB_Artworks_Export!M389)</f>
        <v/>
      </c>
      <c r="Q389" s="2" t="str">
        <f>IF(DB_Artworks_Export!N389="","",DB_Artworks_Export!N389)</f>
        <v/>
      </c>
      <c r="R389" s="2" t="str">
        <f>IF($D389="","",IF(COUNTIF(DB_Categories_Export!$A:$A,$F389)&gt;0,"OK","INVALID CATEGORY"))</f>
        <v/>
      </c>
      <c r="S389" s="2" t="str">
        <f>IF($D389="","",COUNTIF(DB_Artwork_Sizes_Export!$B:$B,$D389))</f>
        <v/>
      </c>
      <c r="T389" s="2" t="str">
        <f>IF($D389="","",IFERROR(INDEX(DB_Artwork_Sizes_Export!$D:$D,MATCH($D389,DB_Artwork_Sizes_Export!$B:$B,0)),""))</f>
        <v/>
      </c>
      <c r="U389" s="2" t="str">
        <f>IF($D389="","",IFERROR(INDEX(DB_Artwork_Sizes_Export!$E:$E,MATCH($D389,DB_Artwork_Sizes_Export!$B:$B,0)),""))</f>
        <v/>
      </c>
      <c r="V389" s="2" t="str">
        <f>IF($D389="","",IFERROR(INDEX(DB_Artwork_Sizes_Export!$F:$F,MATCH($D389,DB_Artwork_Sizes_Export!$B:$B,0)),""))</f>
        <v/>
      </c>
      <c r="W389" s="2" t="str">
        <f t="shared" si="62"/>
        <v/>
      </c>
      <c r="X389" s="2"/>
      <c r="Y389" s="2"/>
      <c r="Z389" s="2"/>
      <c r="AA389" s="2"/>
      <c r="AB389" s="2"/>
      <c r="AC389" s="2"/>
      <c r="AD389" s="2"/>
      <c r="AE389" s="2"/>
      <c r="AF389" s="2" t="str">
        <f t="shared" si="63"/>
        <v/>
      </c>
      <c r="AG389" s="2" t="str">
        <f t="shared" si="64"/>
        <v/>
      </c>
      <c r="AH389" s="2" t="str">
        <f>IF($AG389="","",IFERROR(VLOOKUP($AG389,DB_Categories_Export!$A:$B,2,FALSE()),"INVALID CATEGORY"))</f>
        <v/>
      </c>
      <c r="AI389" s="2" t="str">
        <f t="shared" si="65"/>
        <v/>
      </c>
      <c r="AJ389" s="2" t="str">
        <f t="shared" si="66"/>
        <v/>
      </c>
      <c r="AK389" s="2" t="str">
        <f t="shared" si="67"/>
        <v/>
      </c>
      <c r="AL389" s="2" t="str">
        <f t="shared" si="68"/>
        <v/>
      </c>
      <c r="AM389" s="2" t="str">
        <f t="shared" si="69"/>
        <v/>
      </c>
      <c r="AN389" s="2"/>
      <c r="AO389" s="2"/>
    </row>
    <row r="390" spans="1:41" ht="12" customHeight="1" x14ac:dyDescent="0.3">
      <c r="A390" s="2"/>
      <c r="B390" s="2" t="str">
        <f t="shared" si="60"/>
        <v/>
      </c>
      <c r="C390" s="2" t="str">
        <f t="shared" si="61"/>
        <v/>
      </c>
      <c r="D390" s="2" t="str">
        <f>IF(DB_Artworks_Export!A390="","",DB_Artworks_Export!A390)</f>
        <v/>
      </c>
      <c r="E390" s="2" t="str">
        <f>IF(DB_Artworks_Export!B390="","",DB_Artworks_Export!B390)</f>
        <v/>
      </c>
      <c r="F390" s="2" t="str">
        <f>IF(DB_Artworks_Export!C390="","",DB_Artworks_Export!C390)</f>
        <v/>
      </c>
      <c r="G390" s="2" t="str">
        <f>IF(DB_Artworks_Export!D390="","",DB_Artworks_Export!D390)</f>
        <v/>
      </c>
      <c r="H390" s="2" t="str">
        <f>IF(DB_Artworks_Export!E390="","",DB_Artworks_Export!E390)</f>
        <v/>
      </c>
      <c r="I390" s="2" t="str">
        <f>IF(DB_Artworks_Export!F390="","",DB_Artworks_Export!F390)</f>
        <v/>
      </c>
      <c r="J390" s="2" t="str">
        <f>IF(DB_Artworks_Export!G390="","",DB_Artworks_Export!G390)</f>
        <v/>
      </c>
      <c r="K390" s="2" t="str">
        <f>IF(DB_Artworks_Export!H390="","",DB_Artworks_Export!H390)</f>
        <v/>
      </c>
      <c r="L390" s="2" t="str">
        <f>IF(DB_Artworks_Export!I390="","",DB_Artworks_Export!I390)</f>
        <v/>
      </c>
      <c r="M390" s="2" t="str">
        <f>IF(DB_Artworks_Export!J390="","",DB_Artworks_Export!J390)</f>
        <v/>
      </c>
      <c r="N390" s="2" t="str">
        <f>IF(DB_Artworks_Export!K390="","",DB_Artworks_Export!K390)</f>
        <v/>
      </c>
      <c r="O390" s="2" t="str">
        <f>IF(DB_Artworks_Export!L390="","",DB_Artworks_Export!L390)</f>
        <v/>
      </c>
      <c r="P390" s="2" t="str">
        <f>IF(DB_Artworks_Export!M390="","",DB_Artworks_Export!M390)</f>
        <v/>
      </c>
      <c r="Q390" s="2" t="str">
        <f>IF(DB_Artworks_Export!N390="","",DB_Artworks_Export!N390)</f>
        <v/>
      </c>
      <c r="R390" s="2" t="str">
        <f>IF($D390="","",IF(COUNTIF(DB_Categories_Export!$A:$A,$F390)&gt;0,"OK","INVALID CATEGORY"))</f>
        <v/>
      </c>
      <c r="S390" s="2" t="str">
        <f>IF($D390="","",COUNTIF(DB_Artwork_Sizes_Export!$B:$B,$D390))</f>
        <v/>
      </c>
      <c r="T390" s="2" t="str">
        <f>IF($D390="","",IFERROR(INDEX(DB_Artwork_Sizes_Export!$D:$D,MATCH($D390,DB_Artwork_Sizes_Export!$B:$B,0)),""))</f>
        <v/>
      </c>
      <c r="U390" s="2" t="str">
        <f>IF($D390="","",IFERROR(INDEX(DB_Artwork_Sizes_Export!$E:$E,MATCH($D390,DB_Artwork_Sizes_Export!$B:$B,0)),""))</f>
        <v/>
      </c>
      <c r="V390" s="2" t="str">
        <f>IF($D390="","",IFERROR(INDEX(DB_Artwork_Sizes_Export!$F:$F,MATCH($D390,DB_Artwork_Sizes_Export!$B:$B,0)),""))</f>
        <v/>
      </c>
      <c r="W390" s="2" t="str">
        <f t="shared" si="62"/>
        <v/>
      </c>
      <c r="X390" s="2"/>
      <c r="Y390" s="2"/>
      <c r="Z390" s="2"/>
      <c r="AA390" s="2"/>
      <c r="AB390" s="2"/>
      <c r="AC390" s="2"/>
      <c r="AD390" s="2"/>
      <c r="AE390" s="2"/>
      <c r="AF390" s="2" t="str">
        <f t="shared" si="63"/>
        <v/>
      </c>
      <c r="AG390" s="2" t="str">
        <f t="shared" si="64"/>
        <v/>
      </c>
      <c r="AH390" s="2" t="str">
        <f>IF($AG390="","",IFERROR(VLOOKUP($AG390,DB_Categories_Export!$A:$B,2,FALSE()),"INVALID CATEGORY"))</f>
        <v/>
      </c>
      <c r="AI390" s="2" t="str">
        <f t="shared" si="65"/>
        <v/>
      </c>
      <c r="AJ390" s="2" t="str">
        <f t="shared" si="66"/>
        <v/>
      </c>
      <c r="AK390" s="2" t="str">
        <f t="shared" si="67"/>
        <v/>
      </c>
      <c r="AL390" s="2" t="str">
        <f t="shared" si="68"/>
        <v/>
      </c>
      <c r="AM390" s="2" t="str">
        <f t="shared" si="69"/>
        <v/>
      </c>
      <c r="AN390" s="2"/>
      <c r="AO390" s="2"/>
    </row>
    <row r="391" spans="1:41" ht="12" customHeight="1" x14ac:dyDescent="0.3">
      <c r="A391" s="2"/>
      <c r="B391" s="2" t="str">
        <f t="shared" si="60"/>
        <v/>
      </c>
      <c r="C391" s="2" t="str">
        <f t="shared" si="61"/>
        <v/>
      </c>
      <c r="D391" s="2" t="str">
        <f>IF(DB_Artworks_Export!A391="","",DB_Artworks_Export!A391)</f>
        <v/>
      </c>
      <c r="E391" s="2" t="str">
        <f>IF(DB_Artworks_Export!B391="","",DB_Artworks_Export!B391)</f>
        <v/>
      </c>
      <c r="F391" s="2" t="str">
        <f>IF(DB_Artworks_Export!C391="","",DB_Artworks_Export!C391)</f>
        <v/>
      </c>
      <c r="G391" s="2" t="str">
        <f>IF(DB_Artworks_Export!D391="","",DB_Artworks_Export!D391)</f>
        <v/>
      </c>
      <c r="H391" s="2" t="str">
        <f>IF(DB_Artworks_Export!E391="","",DB_Artworks_Export!E391)</f>
        <v/>
      </c>
      <c r="I391" s="2" t="str">
        <f>IF(DB_Artworks_Export!F391="","",DB_Artworks_Export!F391)</f>
        <v/>
      </c>
      <c r="J391" s="2" t="str">
        <f>IF(DB_Artworks_Export!G391="","",DB_Artworks_Export!G391)</f>
        <v/>
      </c>
      <c r="K391" s="2" t="str">
        <f>IF(DB_Artworks_Export!H391="","",DB_Artworks_Export!H391)</f>
        <v/>
      </c>
      <c r="L391" s="2" t="str">
        <f>IF(DB_Artworks_Export!I391="","",DB_Artworks_Export!I391)</f>
        <v/>
      </c>
      <c r="M391" s="2" t="str">
        <f>IF(DB_Artworks_Export!J391="","",DB_Artworks_Export!J391)</f>
        <v/>
      </c>
      <c r="N391" s="2" t="str">
        <f>IF(DB_Artworks_Export!K391="","",DB_Artworks_Export!K391)</f>
        <v/>
      </c>
      <c r="O391" s="2" t="str">
        <f>IF(DB_Artworks_Export!L391="","",DB_Artworks_Export!L391)</f>
        <v/>
      </c>
      <c r="P391" s="2" t="str">
        <f>IF(DB_Artworks_Export!M391="","",DB_Artworks_Export!M391)</f>
        <v/>
      </c>
      <c r="Q391" s="2" t="str">
        <f>IF(DB_Artworks_Export!N391="","",DB_Artworks_Export!N391)</f>
        <v/>
      </c>
      <c r="R391" s="2" t="str">
        <f>IF($D391="","",IF(COUNTIF(DB_Categories_Export!$A:$A,$F391)&gt;0,"OK","INVALID CATEGORY"))</f>
        <v/>
      </c>
      <c r="S391" s="2" t="str">
        <f>IF($D391="","",COUNTIF(DB_Artwork_Sizes_Export!$B:$B,$D391))</f>
        <v/>
      </c>
      <c r="T391" s="2" t="str">
        <f>IF($D391="","",IFERROR(INDEX(DB_Artwork_Sizes_Export!$D:$D,MATCH($D391,DB_Artwork_Sizes_Export!$B:$B,0)),""))</f>
        <v/>
      </c>
      <c r="U391" s="2" t="str">
        <f>IF($D391="","",IFERROR(INDEX(DB_Artwork_Sizes_Export!$E:$E,MATCH($D391,DB_Artwork_Sizes_Export!$B:$B,0)),""))</f>
        <v/>
      </c>
      <c r="V391" s="2" t="str">
        <f>IF($D391="","",IFERROR(INDEX(DB_Artwork_Sizes_Export!$F:$F,MATCH($D391,DB_Artwork_Sizes_Export!$B:$B,0)),""))</f>
        <v/>
      </c>
      <c r="W391" s="2" t="str">
        <f t="shared" si="62"/>
        <v/>
      </c>
      <c r="X391" s="2"/>
      <c r="Y391" s="2"/>
      <c r="Z391" s="2"/>
      <c r="AA391" s="2"/>
      <c r="AB391" s="2"/>
      <c r="AC391" s="2"/>
      <c r="AD391" s="2"/>
      <c r="AE391" s="2"/>
      <c r="AF391" s="2" t="str">
        <f t="shared" si="63"/>
        <v/>
      </c>
      <c r="AG391" s="2" t="str">
        <f t="shared" si="64"/>
        <v/>
      </c>
      <c r="AH391" s="2" t="str">
        <f>IF($AG391="","",IFERROR(VLOOKUP($AG391,DB_Categories_Export!$A:$B,2,FALSE()),"INVALID CATEGORY"))</f>
        <v/>
      </c>
      <c r="AI391" s="2" t="str">
        <f t="shared" si="65"/>
        <v/>
      </c>
      <c r="AJ391" s="2" t="str">
        <f t="shared" si="66"/>
        <v/>
      </c>
      <c r="AK391" s="2" t="str">
        <f t="shared" si="67"/>
        <v/>
      </c>
      <c r="AL391" s="2" t="str">
        <f t="shared" si="68"/>
        <v/>
      </c>
      <c r="AM391" s="2" t="str">
        <f t="shared" si="69"/>
        <v/>
      </c>
      <c r="AN391" s="2"/>
      <c r="AO391" s="2"/>
    </row>
    <row r="392" spans="1:41" ht="12" customHeight="1" x14ac:dyDescent="0.3">
      <c r="A392" s="2"/>
      <c r="B392" s="2" t="str">
        <f t="shared" si="60"/>
        <v/>
      </c>
      <c r="C392" s="2" t="str">
        <f t="shared" si="61"/>
        <v/>
      </c>
      <c r="D392" s="2" t="str">
        <f>IF(DB_Artworks_Export!A392="","",DB_Artworks_Export!A392)</f>
        <v/>
      </c>
      <c r="E392" s="2" t="str">
        <f>IF(DB_Artworks_Export!B392="","",DB_Artworks_Export!B392)</f>
        <v/>
      </c>
      <c r="F392" s="2" t="str">
        <f>IF(DB_Artworks_Export!C392="","",DB_Artworks_Export!C392)</f>
        <v/>
      </c>
      <c r="G392" s="2" t="str">
        <f>IF(DB_Artworks_Export!D392="","",DB_Artworks_Export!D392)</f>
        <v/>
      </c>
      <c r="H392" s="2" t="str">
        <f>IF(DB_Artworks_Export!E392="","",DB_Artworks_Export!E392)</f>
        <v/>
      </c>
      <c r="I392" s="2" t="str">
        <f>IF(DB_Artworks_Export!F392="","",DB_Artworks_Export!F392)</f>
        <v/>
      </c>
      <c r="J392" s="2" t="str">
        <f>IF(DB_Artworks_Export!G392="","",DB_Artworks_Export!G392)</f>
        <v/>
      </c>
      <c r="K392" s="2" t="str">
        <f>IF(DB_Artworks_Export!H392="","",DB_Artworks_Export!H392)</f>
        <v/>
      </c>
      <c r="L392" s="2" t="str">
        <f>IF(DB_Artworks_Export!I392="","",DB_Artworks_Export!I392)</f>
        <v/>
      </c>
      <c r="M392" s="2" t="str">
        <f>IF(DB_Artworks_Export!J392="","",DB_Artworks_Export!J392)</f>
        <v/>
      </c>
      <c r="N392" s="2" t="str">
        <f>IF(DB_Artworks_Export!K392="","",DB_Artworks_Export!K392)</f>
        <v/>
      </c>
      <c r="O392" s="2" t="str">
        <f>IF(DB_Artworks_Export!L392="","",DB_Artworks_Export!L392)</f>
        <v/>
      </c>
      <c r="P392" s="2" t="str">
        <f>IF(DB_Artworks_Export!M392="","",DB_Artworks_Export!M392)</f>
        <v/>
      </c>
      <c r="Q392" s="2" t="str">
        <f>IF(DB_Artworks_Export!N392="","",DB_Artworks_Export!N392)</f>
        <v/>
      </c>
      <c r="R392" s="2" t="str">
        <f>IF($D392="","",IF(COUNTIF(DB_Categories_Export!$A:$A,$F392)&gt;0,"OK","INVALID CATEGORY"))</f>
        <v/>
      </c>
      <c r="S392" s="2" t="str">
        <f>IF($D392="","",COUNTIF(DB_Artwork_Sizes_Export!$B:$B,$D392))</f>
        <v/>
      </c>
      <c r="T392" s="2" t="str">
        <f>IF($D392="","",IFERROR(INDEX(DB_Artwork_Sizes_Export!$D:$D,MATCH($D392,DB_Artwork_Sizes_Export!$B:$B,0)),""))</f>
        <v/>
      </c>
      <c r="U392" s="2" t="str">
        <f>IF($D392="","",IFERROR(INDEX(DB_Artwork_Sizes_Export!$E:$E,MATCH($D392,DB_Artwork_Sizes_Export!$B:$B,0)),""))</f>
        <v/>
      </c>
      <c r="V392" s="2" t="str">
        <f>IF($D392="","",IFERROR(INDEX(DB_Artwork_Sizes_Export!$F:$F,MATCH($D392,DB_Artwork_Sizes_Export!$B:$B,0)),""))</f>
        <v/>
      </c>
      <c r="W392" s="2" t="str">
        <f t="shared" si="62"/>
        <v/>
      </c>
      <c r="X392" s="2"/>
      <c r="Y392" s="2"/>
      <c r="Z392" s="2"/>
      <c r="AA392" s="2"/>
      <c r="AB392" s="2"/>
      <c r="AC392" s="2"/>
      <c r="AD392" s="2"/>
      <c r="AE392" s="2"/>
      <c r="AF392" s="2" t="str">
        <f t="shared" si="63"/>
        <v/>
      </c>
      <c r="AG392" s="2" t="str">
        <f t="shared" si="64"/>
        <v/>
      </c>
      <c r="AH392" s="2" t="str">
        <f>IF($AG392="","",IFERROR(VLOOKUP($AG392,DB_Categories_Export!$A:$B,2,FALSE()),"INVALID CATEGORY"))</f>
        <v/>
      </c>
      <c r="AI392" s="2" t="str">
        <f t="shared" si="65"/>
        <v/>
      </c>
      <c r="AJ392" s="2" t="str">
        <f t="shared" si="66"/>
        <v/>
      </c>
      <c r="AK392" s="2" t="str">
        <f t="shared" si="67"/>
        <v/>
      </c>
      <c r="AL392" s="2" t="str">
        <f t="shared" si="68"/>
        <v/>
      </c>
      <c r="AM392" s="2" t="str">
        <f t="shared" si="69"/>
        <v/>
      </c>
      <c r="AN392" s="2"/>
      <c r="AO392" s="2"/>
    </row>
    <row r="393" spans="1:41" ht="12" customHeight="1" x14ac:dyDescent="0.3">
      <c r="A393" s="2"/>
      <c r="B393" s="2" t="str">
        <f t="shared" si="60"/>
        <v/>
      </c>
      <c r="C393" s="2" t="str">
        <f t="shared" si="61"/>
        <v/>
      </c>
      <c r="D393" s="2" t="str">
        <f>IF(DB_Artworks_Export!A393="","",DB_Artworks_Export!A393)</f>
        <v/>
      </c>
      <c r="E393" s="2" t="str">
        <f>IF(DB_Artworks_Export!B393="","",DB_Artworks_Export!B393)</f>
        <v/>
      </c>
      <c r="F393" s="2" t="str">
        <f>IF(DB_Artworks_Export!C393="","",DB_Artworks_Export!C393)</f>
        <v/>
      </c>
      <c r="G393" s="2" t="str">
        <f>IF(DB_Artworks_Export!D393="","",DB_Artworks_Export!D393)</f>
        <v/>
      </c>
      <c r="H393" s="2" t="str">
        <f>IF(DB_Artworks_Export!E393="","",DB_Artworks_Export!E393)</f>
        <v/>
      </c>
      <c r="I393" s="2" t="str">
        <f>IF(DB_Artworks_Export!F393="","",DB_Artworks_Export!F393)</f>
        <v/>
      </c>
      <c r="J393" s="2" t="str">
        <f>IF(DB_Artworks_Export!G393="","",DB_Artworks_Export!G393)</f>
        <v/>
      </c>
      <c r="K393" s="2" t="str">
        <f>IF(DB_Artworks_Export!H393="","",DB_Artworks_Export!H393)</f>
        <v/>
      </c>
      <c r="L393" s="2" t="str">
        <f>IF(DB_Artworks_Export!I393="","",DB_Artworks_Export!I393)</f>
        <v/>
      </c>
      <c r="M393" s="2" t="str">
        <f>IF(DB_Artworks_Export!J393="","",DB_Artworks_Export!J393)</f>
        <v/>
      </c>
      <c r="N393" s="2" t="str">
        <f>IF(DB_Artworks_Export!K393="","",DB_Artworks_Export!K393)</f>
        <v/>
      </c>
      <c r="O393" s="2" t="str">
        <f>IF(DB_Artworks_Export!L393="","",DB_Artworks_Export!L393)</f>
        <v/>
      </c>
      <c r="P393" s="2" t="str">
        <f>IF(DB_Artworks_Export!M393="","",DB_Artworks_Export!M393)</f>
        <v/>
      </c>
      <c r="Q393" s="2" t="str">
        <f>IF(DB_Artworks_Export!N393="","",DB_Artworks_Export!N393)</f>
        <v/>
      </c>
      <c r="R393" s="2" t="str">
        <f>IF($D393="","",IF(COUNTIF(DB_Categories_Export!$A:$A,$F393)&gt;0,"OK","INVALID CATEGORY"))</f>
        <v/>
      </c>
      <c r="S393" s="2" t="str">
        <f>IF($D393="","",COUNTIF(DB_Artwork_Sizes_Export!$B:$B,$D393))</f>
        <v/>
      </c>
      <c r="T393" s="2" t="str">
        <f>IF($D393="","",IFERROR(INDEX(DB_Artwork_Sizes_Export!$D:$D,MATCH($D393,DB_Artwork_Sizes_Export!$B:$B,0)),""))</f>
        <v/>
      </c>
      <c r="U393" s="2" t="str">
        <f>IF($D393="","",IFERROR(INDEX(DB_Artwork_Sizes_Export!$E:$E,MATCH($D393,DB_Artwork_Sizes_Export!$B:$B,0)),""))</f>
        <v/>
      </c>
      <c r="V393" s="2" t="str">
        <f>IF($D393="","",IFERROR(INDEX(DB_Artwork_Sizes_Export!$F:$F,MATCH($D393,DB_Artwork_Sizes_Export!$B:$B,0)),""))</f>
        <v/>
      </c>
      <c r="W393" s="2" t="str">
        <f t="shared" si="62"/>
        <v/>
      </c>
      <c r="X393" s="2"/>
      <c r="Y393" s="2"/>
      <c r="Z393" s="2"/>
      <c r="AA393" s="2"/>
      <c r="AB393" s="2"/>
      <c r="AC393" s="2"/>
      <c r="AD393" s="2"/>
      <c r="AE393" s="2"/>
      <c r="AF393" s="2" t="str">
        <f t="shared" si="63"/>
        <v/>
      </c>
      <c r="AG393" s="2" t="str">
        <f t="shared" si="64"/>
        <v/>
      </c>
      <c r="AH393" s="2" t="str">
        <f>IF($AG393="","",IFERROR(VLOOKUP($AG393,DB_Categories_Export!$A:$B,2,FALSE()),"INVALID CATEGORY"))</f>
        <v/>
      </c>
      <c r="AI393" s="2" t="str">
        <f t="shared" si="65"/>
        <v/>
      </c>
      <c r="AJ393" s="2" t="str">
        <f t="shared" si="66"/>
        <v/>
      </c>
      <c r="AK393" s="2" t="str">
        <f t="shared" si="67"/>
        <v/>
      </c>
      <c r="AL393" s="2" t="str">
        <f t="shared" si="68"/>
        <v/>
      </c>
      <c r="AM393" s="2" t="str">
        <f t="shared" si="69"/>
        <v/>
      </c>
      <c r="AN393" s="2"/>
      <c r="AO393" s="2"/>
    </row>
    <row r="394" spans="1:41" ht="12" customHeight="1" x14ac:dyDescent="0.3">
      <c r="A394" s="2"/>
      <c r="B394" s="2" t="str">
        <f t="shared" si="60"/>
        <v/>
      </c>
      <c r="C394" s="2" t="str">
        <f t="shared" si="61"/>
        <v/>
      </c>
      <c r="D394" s="2" t="str">
        <f>IF(DB_Artworks_Export!A394="","",DB_Artworks_Export!A394)</f>
        <v/>
      </c>
      <c r="E394" s="2" t="str">
        <f>IF(DB_Artworks_Export!B394="","",DB_Artworks_Export!B394)</f>
        <v/>
      </c>
      <c r="F394" s="2" t="str">
        <f>IF(DB_Artworks_Export!C394="","",DB_Artworks_Export!C394)</f>
        <v/>
      </c>
      <c r="G394" s="2" t="str">
        <f>IF(DB_Artworks_Export!D394="","",DB_Artworks_Export!D394)</f>
        <v/>
      </c>
      <c r="H394" s="2" t="str">
        <f>IF(DB_Artworks_Export!E394="","",DB_Artworks_Export!E394)</f>
        <v/>
      </c>
      <c r="I394" s="2" t="str">
        <f>IF(DB_Artworks_Export!F394="","",DB_Artworks_Export!F394)</f>
        <v/>
      </c>
      <c r="J394" s="2" t="str">
        <f>IF(DB_Artworks_Export!G394="","",DB_Artworks_Export!G394)</f>
        <v/>
      </c>
      <c r="K394" s="2" t="str">
        <f>IF(DB_Artworks_Export!H394="","",DB_Artworks_Export!H394)</f>
        <v/>
      </c>
      <c r="L394" s="2" t="str">
        <f>IF(DB_Artworks_Export!I394="","",DB_Artworks_Export!I394)</f>
        <v/>
      </c>
      <c r="M394" s="2" t="str">
        <f>IF(DB_Artworks_Export!J394="","",DB_Artworks_Export!J394)</f>
        <v/>
      </c>
      <c r="N394" s="2" t="str">
        <f>IF(DB_Artworks_Export!K394="","",DB_Artworks_Export!K394)</f>
        <v/>
      </c>
      <c r="O394" s="2" t="str">
        <f>IF(DB_Artworks_Export!L394="","",DB_Artworks_Export!L394)</f>
        <v/>
      </c>
      <c r="P394" s="2" t="str">
        <f>IF(DB_Artworks_Export!M394="","",DB_Artworks_Export!M394)</f>
        <v/>
      </c>
      <c r="Q394" s="2" t="str">
        <f>IF(DB_Artworks_Export!N394="","",DB_Artworks_Export!N394)</f>
        <v/>
      </c>
      <c r="R394" s="2" t="str">
        <f>IF($D394="","",IF(COUNTIF(DB_Categories_Export!$A:$A,$F394)&gt;0,"OK","INVALID CATEGORY"))</f>
        <v/>
      </c>
      <c r="S394" s="2" t="str">
        <f>IF($D394="","",COUNTIF(DB_Artwork_Sizes_Export!$B:$B,$D394))</f>
        <v/>
      </c>
      <c r="T394" s="2" t="str">
        <f>IF($D394="","",IFERROR(INDEX(DB_Artwork_Sizes_Export!$D:$D,MATCH($D394,DB_Artwork_Sizes_Export!$B:$B,0)),""))</f>
        <v/>
      </c>
      <c r="U394" s="2" t="str">
        <f>IF($D394="","",IFERROR(INDEX(DB_Artwork_Sizes_Export!$E:$E,MATCH($D394,DB_Artwork_Sizes_Export!$B:$B,0)),""))</f>
        <v/>
      </c>
      <c r="V394" s="2" t="str">
        <f>IF($D394="","",IFERROR(INDEX(DB_Artwork_Sizes_Export!$F:$F,MATCH($D394,DB_Artwork_Sizes_Export!$B:$B,0)),""))</f>
        <v/>
      </c>
      <c r="W394" s="2" t="str">
        <f t="shared" si="62"/>
        <v/>
      </c>
      <c r="X394" s="2"/>
      <c r="Y394" s="2"/>
      <c r="Z394" s="2"/>
      <c r="AA394" s="2"/>
      <c r="AB394" s="2"/>
      <c r="AC394" s="2"/>
      <c r="AD394" s="2"/>
      <c r="AE394" s="2"/>
      <c r="AF394" s="2" t="str">
        <f t="shared" si="63"/>
        <v/>
      </c>
      <c r="AG394" s="2" t="str">
        <f t="shared" si="64"/>
        <v/>
      </c>
      <c r="AH394" s="2" t="str">
        <f>IF($AG394="","",IFERROR(VLOOKUP($AG394,DB_Categories_Export!$A:$B,2,FALSE()),"INVALID CATEGORY"))</f>
        <v/>
      </c>
      <c r="AI394" s="2" t="str">
        <f t="shared" si="65"/>
        <v/>
      </c>
      <c r="AJ394" s="2" t="str">
        <f t="shared" si="66"/>
        <v/>
      </c>
      <c r="AK394" s="2" t="str">
        <f t="shared" si="67"/>
        <v/>
      </c>
      <c r="AL394" s="2" t="str">
        <f t="shared" si="68"/>
        <v/>
      </c>
      <c r="AM394" s="2" t="str">
        <f t="shared" si="69"/>
        <v/>
      </c>
      <c r="AN394" s="2"/>
      <c r="AO394" s="2"/>
    </row>
    <row r="395" spans="1:41" ht="12" customHeight="1" x14ac:dyDescent="0.3">
      <c r="A395" s="2"/>
      <c r="B395" s="2" t="str">
        <f t="shared" si="60"/>
        <v/>
      </c>
      <c r="C395" s="2" t="str">
        <f t="shared" si="61"/>
        <v/>
      </c>
      <c r="D395" s="2" t="str">
        <f>IF(DB_Artworks_Export!A395="","",DB_Artworks_Export!A395)</f>
        <v/>
      </c>
      <c r="E395" s="2" t="str">
        <f>IF(DB_Artworks_Export!B395="","",DB_Artworks_Export!B395)</f>
        <v/>
      </c>
      <c r="F395" s="2" t="str">
        <f>IF(DB_Artworks_Export!C395="","",DB_Artworks_Export!C395)</f>
        <v/>
      </c>
      <c r="G395" s="2" t="str">
        <f>IF(DB_Artworks_Export!D395="","",DB_Artworks_Export!D395)</f>
        <v/>
      </c>
      <c r="H395" s="2" t="str">
        <f>IF(DB_Artworks_Export!E395="","",DB_Artworks_Export!E395)</f>
        <v/>
      </c>
      <c r="I395" s="2" t="str">
        <f>IF(DB_Artworks_Export!F395="","",DB_Artworks_Export!F395)</f>
        <v/>
      </c>
      <c r="J395" s="2" t="str">
        <f>IF(DB_Artworks_Export!G395="","",DB_Artworks_Export!G395)</f>
        <v/>
      </c>
      <c r="K395" s="2" t="str">
        <f>IF(DB_Artworks_Export!H395="","",DB_Artworks_Export!H395)</f>
        <v/>
      </c>
      <c r="L395" s="2" t="str">
        <f>IF(DB_Artworks_Export!I395="","",DB_Artworks_Export!I395)</f>
        <v/>
      </c>
      <c r="M395" s="2" t="str">
        <f>IF(DB_Artworks_Export!J395="","",DB_Artworks_Export!J395)</f>
        <v/>
      </c>
      <c r="N395" s="2" t="str">
        <f>IF(DB_Artworks_Export!K395="","",DB_Artworks_Export!K395)</f>
        <v/>
      </c>
      <c r="O395" s="2" t="str">
        <f>IF(DB_Artworks_Export!L395="","",DB_Artworks_Export!L395)</f>
        <v/>
      </c>
      <c r="P395" s="2" t="str">
        <f>IF(DB_Artworks_Export!M395="","",DB_Artworks_Export!M395)</f>
        <v/>
      </c>
      <c r="Q395" s="2" t="str">
        <f>IF(DB_Artworks_Export!N395="","",DB_Artworks_Export!N395)</f>
        <v/>
      </c>
      <c r="R395" s="2" t="str">
        <f>IF($D395="","",IF(COUNTIF(DB_Categories_Export!$A:$A,$F395)&gt;0,"OK","INVALID CATEGORY"))</f>
        <v/>
      </c>
      <c r="S395" s="2" t="str">
        <f>IF($D395="","",COUNTIF(DB_Artwork_Sizes_Export!$B:$B,$D395))</f>
        <v/>
      </c>
      <c r="T395" s="2" t="str">
        <f>IF($D395="","",IFERROR(INDEX(DB_Artwork_Sizes_Export!$D:$D,MATCH($D395,DB_Artwork_Sizes_Export!$B:$B,0)),""))</f>
        <v/>
      </c>
      <c r="U395" s="2" t="str">
        <f>IF($D395="","",IFERROR(INDEX(DB_Artwork_Sizes_Export!$E:$E,MATCH($D395,DB_Artwork_Sizes_Export!$B:$B,0)),""))</f>
        <v/>
      </c>
      <c r="V395" s="2" t="str">
        <f>IF($D395="","",IFERROR(INDEX(DB_Artwork_Sizes_Export!$F:$F,MATCH($D395,DB_Artwork_Sizes_Export!$B:$B,0)),""))</f>
        <v/>
      </c>
      <c r="W395" s="2" t="str">
        <f t="shared" si="62"/>
        <v/>
      </c>
      <c r="X395" s="2"/>
      <c r="Y395" s="2"/>
      <c r="Z395" s="2"/>
      <c r="AA395" s="2"/>
      <c r="AB395" s="2"/>
      <c r="AC395" s="2"/>
      <c r="AD395" s="2"/>
      <c r="AE395" s="2"/>
      <c r="AF395" s="2" t="str">
        <f t="shared" si="63"/>
        <v/>
      </c>
      <c r="AG395" s="2" t="str">
        <f t="shared" si="64"/>
        <v/>
      </c>
      <c r="AH395" s="2" t="str">
        <f>IF($AG395="","",IFERROR(VLOOKUP($AG395,DB_Categories_Export!$A:$B,2,FALSE()),"INVALID CATEGORY"))</f>
        <v/>
      </c>
      <c r="AI395" s="2" t="str">
        <f t="shared" si="65"/>
        <v/>
      </c>
      <c r="AJ395" s="2" t="str">
        <f t="shared" si="66"/>
        <v/>
      </c>
      <c r="AK395" s="2" t="str">
        <f t="shared" si="67"/>
        <v/>
      </c>
      <c r="AL395" s="2" t="str">
        <f t="shared" si="68"/>
        <v/>
      </c>
      <c r="AM395" s="2" t="str">
        <f t="shared" si="69"/>
        <v/>
      </c>
      <c r="AN395" s="2"/>
      <c r="AO395" s="2"/>
    </row>
    <row r="396" spans="1:41" ht="12" customHeight="1" x14ac:dyDescent="0.3">
      <c r="A396" s="2"/>
      <c r="B396" s="2" t="str">
        <f t="shared" si="60"/>
        <v/>
      </c>
      <c r="C396" s="2" t="str">
        <f t="shared" si="61"/>
        <v/>
      </c>
      <c r="D396" s="2" t="str">
        <f>IF(DB_Artworks_Export!A396="","",DB_Artworks_Export!A396)</f>
        <v/>
      </c>
      <c r="E396" s="2" t="str">
        <f>IF(DB_Artworks_Export!B396="","",DB_Artworks_Export!B396)</f>
        <v/>
      </c>
      <c r="F396" s="2" t="str">
        <f>IF(DB_Artworks_Export!C396="","",DB_Artworks_Export!C396)</f>
        <v/>
      </c>
      <c r="G396" s="2" t="str">
        <f>IF(DB_Artworks_Export!D396="","",DB_Artworks_Export!D396)</f>
        <v/>
      </c>
      <c r="H396" s="2" t="str">
        <f>IF(DB_Artworks_Export!E396="","",DB_Artworks_Export!E396)</f>
        <v/>
      </c>
      <c r="I396" s="2" t="str">
        <f>IF(DB_Artworks_Export!F396="","",DB_Artworks_Export!F396)</f>
        <v/>
      </c>
      <c r="J396" s="2" t="str">
        <f>IF(DB_Artworks_Export!G396="","",DB_Artworks_Export!G396)</f>
        <v/>
      </c>
      <c r="K396" s="2" t="str">
        <f>IF(DB_Artworks_Export!H396="","",DB_Artworks_Export!H396)</f>
        <v/>
      </c>
      <c r="L396" s="2" t="str">
        <f>IF(DB_Artworks_Export!I396="","",DB_Artworks_Export!I396)</f>
        <v/>
      </c>
      <c r="M396" s="2" t="str">
        <f>IF(DB_Artworks_Export!J396="","",DB_Artworks_Export!J396)</f>
        <v/>
      </c>
      <c r="N396" s="2" t="str">
        <f>IF(DB_Artworks_Export!K396="","",DB_Artworks_Export!K396)</f>
        <v/>
      </c>
      <c r="O396" s="2" t="str">
        <f>IF(DB_Artworks_Export!L396="","",DB_Artworks_Export!L396)</f>
        <v/>
      </c>
      <c r="P396" s="2" t="str">
        <f>IF(DB_Artworks_Export!M396="","",DB_Artworks_Export!M396)</f>
        <v/>
      </c>
      <c r="Q396" s="2" t="str">
        <f>IF(DB_Artworks_Export!N396="","",DB_Artworks_Export!N396)</f>
        <v/>
      </c>
      <c r="R396" s="2" t="str">
        <f>IF($D396="","",IF(COUNTIF(DB_Categories_Export!$A:$A,$F396)&gt;0,"OK","INVALID CATEGORY"))</f>
        <v/>
      </c>
      <c r="S396" s="2" t="str">
        <f>IF($D396="","",COUNTIF(DB_Artwork_Sizes_Export!$B:$B,$D396))</f>
        <v/>
      </c>
      <c r="T396" s="2" t="str">
        <f>IF($D396="","",IFERROR(INDEX(DB_Artwork_Sizes_Export!$D:$D,MATCH($D396,DB_Artwork_Sizes_Export!$B:$B,0)),""))</f>
        <v/>
      </c>
      <c r="U396" s="2" t="str">
        <f>IF($D396="","",IFERROR(INDEX(DB_Artwork_Sizes_Export!$E:$E,MATCH($D396,DB_Artwork_Sizes_Export!$B:$B,0)),""))</f>
        <v/>
      </c>
      <c r="V396" s="2" t="str">
        <f>IF($D396="","",IFERROR(INDEX(DB_Artwork_Sizes_Export!$F:$F,MATCH($D396,DB_Artwork_Sizes_Export!$B:$B,0)),""))</f>
        <v/>
      </c>
      <c r="W396" s="2" t="str">
        <f t="shared" si="62"/>
        <v/>
      </c>
      <c r="X396" s="2"/>
      <c r="Y396" s="2"/>
      <c r="Z396" s="2"/>
      <c r="AA396" s="2"/>
      <c r="AB396" s="2"/>
      <c r="AC396" s="2"/>
      <c r="AD396" s="2"/>
      <c r="AE396" s="2"/>
      <c r="AF396" s="2" t="str">
        <f t="shared" si="63"/>
        <v/>
      </c>
      <c r="AG396" s="2" t="str">
        <f t="shared" si="64"/>
        <v/>
      </c>
      <c r="AH396" s="2" t="str">
        <f>IF($AG396="","",IFERROR(VLOOKUP($AG396,DB_Categories_Export!$A:$B,2,FALSE()),"INVALID CATEGORY"))</f>
        <v/>
      </c>
      <c r="AI396" s="2" t="str">
        <f t="shared" si="65"/>
        <v/>
      </c>
      <c r="AJ396" s="2" t="str">
        <f t="shared" si="66"/>
        <v/>
      </c>
      <c r="AK396" s="2" t="str">
        <f t="shared" si="67"/>
        <v/>
      </c>
      <c r="AL396" s="2" t="str">
        <f t="shared" si="68"/>
        <v/>
      </c>
      <c r="AM396" s="2" t="str">
        <f t="shared" si="69"/>
        <v/>
      </c>
      <c r="AN396" s="2"/>
      <c r="AO396" s="2"/>
    </row>
    <row r="397" spans="1:41" ht="12" customHeight="1" x14ac:dyDescent="0.3">
      <c r="A397" s="2"/>
      <c r="B397" s="2" t="str">
        <f t="shared" si="60"/>
        <v/>
      </c>
      <c r="C397" s="2" t="str">
        <f t="shared" si="61"/>
        <v/>
      </c>
      <c r="D397" s="2" t="str">
        <f>IF(DB_Artworks_Export!A397="","",DB_Artworks_Export!A397)</f>
        <v/>
      </c>
      <c r="E397" s="2" t="str">
        <f>IF(DB_Artworks_Export!B397="","",DB_Artworks_Export!B397)</f>
        <v/>
      </c>
      <c r="F397" s="2" t="str">
        <f>IF(DB_Artworks_Export!C397="","",DB_Artworks_Export!C397)</f>
        <v/>
      </c>
      <c r="G397" s="2" t="str">
        <f>IF(DB_Artworks_Export!D397="","",DB_Artworks_Export!D397)</f>
        <v/>
      </c>
      <c r="H397" s="2" t="str">
        <f>IF(DB_Artworks_Export!E397="","",DB_Artworks_Export!E397)</f>
        <v/>
      </c>
      <c r="I397" s="2" t="str">
        <f>IF(DB_Artworks_Export!F397="","",DB_Artworks_Export!F397)</f>
        <v/>
      </c>
      <c r="J397" s="2" t="str">
        <f>IF(DB_Artworks_Export!G397="","",DB_Artworks_Export!G397)</f>
        <v/>
      </c>
      <c r="K397" s="2" t="str">
        <f>IF(DB_Artworks_Export!H397="","",DB_Artworks_Export!H397)</f>
        <v/>
      </c>
      <c r="L397" s="2" t="str">
        <f>IF(DB_Artworks_Export!I397="","",DB_Artworks_Export!I397)</f>
        <v/>
      </c>
      <c r="M397" s="2" t="str">
        <f>IF(DB_Artworks_Export!J397="","",DB_Artworks_Export!J397)</f>
        <v/>
      </c>
      <c r="N397" s="2" t="str">
        <f>IF(DB_Artworks_Export!K397="","",DB_Artworks_Export!K397)</f>
        <v/>
      </c>
      <c r="O397" s="2" t="str">
        <f>IF(DB_Artworks_Export!L397="","",DB_Artworks_Export!L397)</f>
        <v/>
      </c>
      <c r="P397" s="2" t="str">
        <f>IF(DB_Artworks_Export!M397="","",DB_Artworks_Export!M397)</f>
        <v/>
      </c>
      <c r="Q397" s="2" t="str">
        <f>IF(DB_Artworks_Export!N397="","",DB_Artworks_Export!N397)</f>
        <v/>
      </c>
      <c r="R397" s="2" t="str">
        <f>IF($D397="","",IF(COUNTIF(DB_Categories_Export!$A:$A,$F397)&gt;0,"OK","INVALID CATEGORY"))</f>
        <v/>
      </c>
      <c r="S397" s="2" t="str">
        <f>IF($D397="","",COUNTIF(DB_Artwork_Sizes_Export!$B:$B,$D397))</f>
        <v/>
      </c>
      <c r="T397" s="2" t="str">
        <f>IF($D397="","",IFERROR(INDEX(DB_Artwork_Sizes_Export!$D:$D,MATCH($D397,DB_Artwork_Sizes_Export!$B:$B,0)),""))</f>
        <v/>
      </c>
      <c r="U397" s="2" t="str">
        <f>IF($D397="","",IFERROR(INDEX(DB_Artwork_Sizes_Export!$E:$E,MATCH($D397,DB_Artwork_Sizes_Export!$B:$B,0)),""))</f>
        <v/>
      </c>
      <c r="V397" s="2" t="str">
        <f>IF($D397="","",IFERROR(INDEX(DB_Artwork_Sizes_Export!$F:$F,MATCH($D397,DB_Artwork_Sizes_Export!$B:$B,0)),""))</f>
        <v/>
      </c>
      <c r="W397" s="2" t="str">
        <f t="shared" si="62"/>
        <v/>
      </c>
      <c r="X397" s="2"/>
      <c r="Y397" s="2"/>
      <c r="Z397" s="2"/>
      <c r="AA397" s="2"/>
      <c r="AB397" s="2"/>
      <c r="AC397" s="2"/>
      <c r="AD397" s="2"/>
      <c r="AE397" s="2"/>
      <c r="AF397" s="2" t="str">
        <f t="shared" si="63"/>
        <v/>
      </c>
      <c r="AG397" s="2" t="str">
        <f t="shared" si="64"/>
        <v/>
      </c>
      <c r="AH397" s="2" t="str">
        <f>IF($AG397="","",IFERROR(VLOOKUP($AG397,DB_Categories_Export!$A:$B,2,FALSE()),"INVALID CATEGORY"))</f>
        <v/>
      </c>
      <c r="AI397" s="2" t="str">
        <f t="shared" si="65"/>
        <v/>
      </c>
      <c r="AJ397" s="2" t="str">
        <f t="shared" si="66"/>
        <v/>
      </c>
      <c r="AK397" s="2" t="str">
        <f t="shared" si="67"/>
        <v/>
      </c>
      <c r="AL397" s="2" t="str">
        <f t="shared" si="68"/>
        <v/>
      </c>
      <c r="AM397" s="2" t="str">
        <f t="shared" si="69"/>
        <v/>
      </c>
      <c r="AN397" s="2"/>
      <c r="AO397" s="2"/>
    </row>
    <row r="398" spans="1:41" ht="12" customHeight="1" x14ac:dyDescent="0.3">
      <c r="A398" s="2"/>
      <c r="B398" s="2" t="str">
        <f t="shared" si="60"/>
        <v/>
      </c>
      <c r="C398" s="2" t="str">
        <f t="shared" si="61"/>
        <v/>
      </c>
      <c r="D398" s="2" t="str">
        <f>IF(DB_Artworks_Export!A398="","",DB_Artworks_Export!A398)</f>
        <v/>
      </c>
      <c r="E398" s="2" t="str">
        <f>IF(DB_Artworks_Export!B398="","",DB_Artworks_Export!B398)</f>
        <v/>
      </c>
      <c r="F398" s="2" t="str">
        <f>IF(DB_Artworks_Export!C398="","",DB_Artworks_Export!C398)</f>
        <v/>
      </c>
      <c r="G398" s="2" t="str">
        <f>IF(DB_Artworks_Export!D398="","",DB_Artworks_Export!D398)</f>
        <v/>
      </c>
      <c r="H398" s="2" t="str">
        <f>IF(DB_Artworks_Export!E398="","",DB_Artworks_Export!E398)</f>
        <v/>
      </c>
      <c r="I398" s="2" t="str">
        <f>IF(DB_Artworks_Export!F398="","",DB_Artworks_Export!F398)</f>
        <v/>
      </c>
      <c r="J398" s="2" t="str">
        <f>IF(DB_Artworks_Export!G398="","",DB_Artworks_Export!G398)</f>
        <v/>
      </c>
      <c r="K398" s="2" t="str">
        <f>IF(DB_Artworks_Export!H398="","",DB_Artworks_Export!H398)</f>
        <v/>
      </c>
      <c r="L398" s="2" t="str">
        <f>IF(DB_Artworks_Export!I398="","",DB_Artworks_Export!I398)</f>
        <v/>
      </c>
      <c r="M398" s="2" t="str">
        <f>IF(DB_Artworks_Export!J398="","",DB_Artworks_Export!J398)</f>
        <v/>
      </c>
      <c r="N398" s="2" t="str">
        <f>IF(DB_Artworks_Export!K398="","",DB_Artworks_Export!K398)</f>
        <v/>
      </c>
      <c r="O398" s="2" t="str">
        <f>IF(DB_Artworks_Export!L398="","",DB_Artworks_Export!L398)</f>
        <v/>
      </c>
      <c r="P398" s="2" t="str">
        <f>IF(DB_Artworks_Export!M398="","",DB_Artworks_Export!M398)</f>
        <v/>
      </c>
      <c r="Q398" s="2" t="str">
        <f>IF(DB_Artworks_Export!N398="","",DB_Artworks_Export!N398)</f>
        <v/>
      </c>
      <c r="R398" s="2" t="str">
        <f>IF($D398="","",IF(COUNTIF(DB_Categories_Export!$A:$A,$F398)&gt;0,"OK","INVALID CATEGORY"))</f>
        <v/>
      </c>
      <c r="S398" s="2" t="str">
        <f>IF($D398="","",COUNTIF(DB_Artwork_Sizes_Export!$B:$B,$D398))</f>
        <v/>
      </c>
      <c r="T398" s="2" t="str">
        <f>IF($D398="","",IFERROR(INDEX(DB_Artwork_Sizes_Export!$D:$D,MATCH($D398,DB_Artwork_Sizes_Export!$B:$B,0)),""))</f>
        <v/>
      </c>
      <c r="U398" s="2" t="str">
        <f>IF($D398="","",IFERROR(INDEX(DB_Artwork_Sizes_Export!$E:$E,MATCH($D398,DB_Artwork_Sizes_Export!$B:$B,0)),""))</f>
        <v/>
      </c>
      <c r="V398" s="2" t="str">
        <f>IF($D398="","",IFERROR(INDEX(DB_Artwork_Sizes_Export!$F:$F,MATCH($D398,DB_Artwork_Sizes_Export!$B:$B,0)),""))</f>
        <v/>
      </c>
      <c r="W398" s="2" t="str">
        <f t="shared" si="62"/>
        <v/>
      </c>
      <c r="X398" s="2"/>
      <c r="Y398" s="2"/>
      <c r="Z398" s="2"/>
      <c r="AA398" s="2"/>
      <c r="AB398" s="2"/>
      <c r="AC398" s="2"/>
      <c r="AD398" s="2"/>
      <c r="AE398" s="2"/>
      <c r="AF398" s="2" t="str">
        <f t="shared" si="63"/>
        <v/>
      </c>
      <c r="AG398" s="2" t="str">
        <f t="shared" si="64"/>
        <v/>
      </c>
      <c r="AH398" s="2" t="str">
        <f>IF($AG398="","",IFERROR(VLOOKUP($AG398,DB_Categories_Export!$A:$B,2,FALSE()),"INVALID CATEGORY"))</f>
        <v/>
      </c>
      <c r="AI398" s="2" t="str">
        <f t="shared" si="65"/>
        <v/>
      </c>
      <c r="AJ398" s="2" t="str">
        <f t="shared" si="66"/>
        <v/>
      </c>
      <c r="AK398" s="2" t="str">
        <f t="shared" si="67"/>
        <v/>
      </c>
      <c r="AL398" s="2" t="str">
        <f t="shared" si="68"/>
        <v/>
      </c>
      <c r="AM398" s="2" t="str">
        <f t="shared" si="69"/>
        <v/>
      </c>
      <c r="AN398" s="2"/>
      <c r="AO398" s="2"/>
    </row>
    <row r="399" spans="1:41" ht="12" customHeight="1" x14ac:dyDescent="0.3">
      <c r="A399" s="2"/>
      <c r="B399" s="2" t="str">
        <f t="shared" si="60"/>
        <v/>
      </c>
      <c r="C399" s="2" t="str">
        <f t="shared" si="61"/>
        <v/>
      </c>
      <c r="D399" s="2" t="str">
        <f>IF(DB_Artworks_Export!A399="","",DB_Artworks_Export!A399)</f>
        <v/>
      </c>
      <c r="E399" s="2" t="str">
        <f>IF(DB_Artworks_Export!B399="","",DB_Artworks_Export!B399)</f>
        <v/>
      </c>
      <c r="F399" s="2" t="str">
        <f>IF(DB_Artworks_Export!C399="","",DB_Artworks_Export!C399)</f>
        <v/>
      </c>
      <c r="G399" s="2" t="str">
        <f>IF(DB_Artworks_Export!D399="","",DB_Artworks_Export!D399)</f>
        <v/>
      </c>
      <c r="H399" s="2" t="str">
        <f>IF(DB_Artworks_Export!E399="","",DB_Artworks_Export!E399)</f>
        <v/>
      </c>
      <c r="I399" s="2" t="str">
        <f>IF(DB_Artworks_Export!F399="","",DB_Artworks_Export!F399)</f>
        <v/>
      </c>
      <c r="J399" s="2" t="str">
        <f>IF(DB_Artworks_Export!G399="","",DB_Artworks_Export!G399)</f>
        <v/>
      </c>
      <c r="K399" s="2" t="str">
        <f>IF(DB_Artworks_Export!H399="","",DB_Artworks_Export!H399)</f>
        <v/>
      </c>
      <c r="L399" s="2" t="str">
        <f>IF(DB_Artworks_Export!I399="","",DB_Artworks_Export!I399)</f>
        <v/>
      </c>
      <c r="M399" s="2" t="str">
        <f>IF(DB_Artworks_Export!J399="","",DB_Artworks_Export!J399)</f>
        <v/>
      </c>
      <c r="N399" s="2" t="str">
        <f>IF(DB_Artworks_Export!K399="","",DB_Artworks_Export!K399)</f>
        <v/>
      </c>
      <c r="O399" s="2" t="str">
        <f>IF(DB_Artworks_Export!L399="","",DB_Artworks_Export!L399)</f>
        <v/>
      </c>
      <c r="P399" s="2" t="str">
        <f>IF(DB_Artworks_Export!M399="","",DB_Artworks_Export!M399)</f>
        <v/>
      </c>
      <c r="Q399" s="2" t="str">
        <f>IF(DB_Artworks_Export!N399="","",DB_Artworks_Export!N399)</f>
        <v/>
      </c>
      <c r="R399" s="2" t="str">
        <f>IF($D399="","",IF(COUNTIF(DB_Categories_Export!$A:$A,$F399)&gt;0,"OK","INVALID CATEGORY"))</f>
        <v/>
      </c>
      <c r="S399" s="2" t="str">
        <f>IF($D399="","",COUNTIF(DB_Artwork_Sizes_Export!$B:$B,$D399))</f>
        <v/>
      </c>
      <c r="T399" s="2" t="str">
        <f>IF($D399="","",IFERROR(INDEX(DB_Artwork_Sizes_Export!$D:$D,MATCH($D399,DB_Artwork_Sizes_Export!$B:$B,0)),""))</f>
        <v/>
      </c>
      <c r="U399" s="2" t="str">
        <f>IF($D399="","",IFERROR(INDEX(DB_Artwork_Sizes_Export!$E:$E,MATCH($D399,DB_Artwork_Sizes_Export!$B:$B,0)),""))</f>
        <v/>
      </c>
      <c r="V399" s="2" t="str">
        <f>IF($D399="","",IFERROR(INDEX(DB_Artwork_Sizes_Export!$F:$F,MATCH($D399,DB_Artwork_Sizes_Export!$B:$B,0)),""))</f>
        <v/>
      </c>
      <c r="W399" s="2" t="str">
        <f t="shared" si="62"/>
        <v/>
      </c>
      <c r="X399" s="2"/>
      <c r="Y399" s="2"/>
      <c r="Z399" s="2"/>
      <c r="AA399" s="2"/>
      <c r="AB399" s="2"/>
      <c r="AC399" s="2"/>
      <c r="AD399" s="2"/>
      <c r="AE399" s="2"/>
      <c r="AF399" s="2" t="str">
        <f t="shared" si="63"/>
        <v/>
      </c>
      <c r="AG399" s="2" t="str">
        <f t="shared" si="64"/>
        <v/>
      </c>
      <c r="AH399" s="2" t="str">
        <f>IF($AG399="","",IFERROR(VLOOKUP($AG399,DB_Categories_Export!$A:$B,2,FALSE()),"INVALID CATEGORY"))</f>
        <v/>
      </c>
      <c r="AI399" s="2" t="str">
        <f t="shared" si="65"/>
        <v/>
      </c>
      <c r="AJ399" s="2" t="str">
        <f t="shared" si="66"/>
        <v/>
      </c>
      <c r="AK399" s="2" t="str">
        <f t="shared" si="67"/>
        <v/>
      </c>
      <c r="AL399" s="2" t="str">
        <f t="shared" si="68"/>
        <v/>
      </c>
      <c r="AM399" s="2" t="str">
        <f t="shared" si="69"/>
        <v/>
      </c>
      <c r="AN399" s="2"/>
      <c r="AO399" s="2"/>
    </row>
    <row r="400" spans="1:41" ht="12" customHeight="1" x14ac:dyDescent="0.3">
      <c r="A400" s="2"/>
      <c r="B400" s="2" t="str">
        <f t="shared" si="60"/>
        <v/>
      </c>
      <c r="C400" s="2" t="str">
        <f t="shared" si="61"/>
        <v/>
      </c>
      <c r="D400" s="2" t="str">
        <f>IF(DB_Artworks_Export!A400="","",DB_Artworks_Export!A400)</f>
        <v/>
      </c>
      <c r="E400" s="2" t="str">
        <f>IF(DB_Artworks_Export!B400="","",DB_Artworks_Export!B400)</f>
        <v/>
      </c>
      <c r="F400" s="2" t="str">
        <f>IF(DB_Artworks_Export!C400="","",DB_Artworks_Export!C400)</f>
        <v/>
      </c>
      <c r="G400" s="2" t="str">
        <f>IF(DB_Artworks_Export!D400="","",DB_Artworks_Export!D400)</f>
        <v/>
      </c>
      <c r="H400" s="2" t="str">
        <f>IF(DB_Artworks_Export!E400="","",DB_Artworks_Export!E400)</f>
        <v/>
      </c>
      <c r="I400" s="2" t="str">
        <f>IF(DB_Artworks_Export!F400="","",DB_Artworks_Export!F400)</f>
        <v/>
      </c>
      <c r="J400" s="2" t="str">
        <f>IF(DB_Artworks_Export!G400="","",DB_Artworks_Export!G400)</f>
        <v/>
      </c>
      <c r="K400" s="2" t="str">
        <f>IF(DB_Artworks_Export!H400="","",DB_Artworks_Export!H400)</f>
        <v/>
      </c>
      <c r="L400" s="2" t="str">
        <f>IF(DB_Artworks_Export!I400="","",DB_Artworks_Export!I400)</f>
        <v/>
      </c>
      <c r="M400" s="2" t="str">
        <f>IF(DB_Artworks_Export!J400="","",DB_Artworks_Export!J400)</f>
        <v/>
      </c>
      <c r="N400" s="2" t="str">
        <f>IF(DB_Artworks_Export!K400="","",DB_Artworks_Export!K400)</f>
        <v/>
      </c>
      <c r="O400" s="2" t="str">
        <f>IF(DB_Artworks_Export!L400="","",DB_Artworks_Export!L400)</f>
        <v/>
      </c>
      <c r="P400" s="2" t="str">
        <f>IF(DB_Artworks_Export!M400="","",DB_Artworks_Export!M400)</f>
        <v/>
      </c>
      <c r="Q400" s="2" t="str">
        <f>IF(DB_Artworks_Export!N400="","",DB_Artworks_Export!N400)</f>
        <v/>
      </c>
      <c r="R400" s="2" t="str">
        <f>IF($D400="","",IF(COUNTIF(DB_Categories_Export!$A:$A,$F400)&gt;0,"OK","INVALID CATEGORY"))</f>
        <v/>
      </c>
      <c r="S400" s="2" t="str">
        <f>IF($D400="","",COUNTIF(DB_Artwork_Sizes_Export!$B:$B,$D400))</f>
        <v/>
      </c>
      <c r="T400" s="2" t="str">
        <f>IF($D400="","",IFERROR(INDEX(DB_Artwork_Sizes_Export!$D:$D,MATCH($D400,DB_Artwork_Sizes_Export!$B:$B,0)),""))</f>
        <v/>
      </c>
      <c r="U400" s="2" t="str">
        <f>IF($D400="","",IFERROR(INDEX(DB_Artwork_Sizes_Export!$E:$E,MATCH($D400,DB_Artwork_Sizes_Export!$B:$B,0)),""))</f>
        <v/>
      </c>
      <c r="V400" s="2" t="str">
        <f>IF($D400="","",IFERROR(INDEX(DB_Artwork_Sizes_Export!$F:$F,MATCH($D400,DB_Artwork_Sizes_Export!$B:$B,0)),""))</f>
        <v/>
      </c>
      <c r="W400" s="2" t="str">
        <f t="shared" si="62"/>
        <v/>
      </c>
      <c r="X400" s="2"/>
      <c r="Y400" s="2"/>
      <c r="Z400" s="2"/>
      <c r="AA400" s="2"/>
      <c r="AB400" s="2"/>
      <c r="AC400" s="2"/>
      <c r="AD400" s="2"/>
      <c r="AE400" s="2"/>
      <c r="AF400" s="2" t="str">
        <f t="shared" si="63"/>
        <v/>
      </c>
      <c r="AG400" s="2" t="str">
        <f t="shared" si="64"/>
        <v/>
      </c>
      <c r="AH400" s="2" t="str">
        <f>IF($AG400="","",IFERROR(VLOOKUP($AG400,DB_Categories_Export!$A:$B,2,FALSE()),"INVALID CATEGORY"))</f>
        <v/>
      </c>
      <c r="AI400" s="2" t="str">
        <f t="shared" si="65"/>
        <v/>
      </c>
      <c r="AJ400" s="2" t="str">
        <f t="shared" si="66"/>
        <v/>
      </c>
      <c r="AK400" s="2" t="str">
        <f t="shared" si="67"/>
        <v/>
      </c>
      <c r="AL400" s="2" t="str">
        <f t="shared" si="68"/>
        <v/>
      </c>
      <c r="AM400" s="2" t="str">
        <f t="shared" si="69"/>
        <v/>
      </c>
      <c r="AN400" s="2"/>
      <c r="AO400" s="2"/>
    </row>
    <row r="401" spans="1:41" ht="12" customHeight="1" x14ac:dyDescent="0.3">
      <c r="A401" s="2"/>
      <c r="B401" s="2" t="str">
        <f t="shared" si="60"/>
        <v/>
      </c>
      <c r="C401" s="2" t="str">
        <f t="shared" si="61"/>
        <v/>
      </c>
      <c r="D401" s="2" t="str">
        <f>IF(DB_Artworks_Export!A401="","",DB_Artworks_Export!A401)</f>
        <v/>
      </c>
      <c r="E401" s="2" t="str">
        <f>IF(DB_Artworks_Export!B401="","",DB_Artworks_Export!B401)</f>
        <v/>
      </c>
      <c r="F401" s="2" t="str">
        <f>IF(DB_Artworks_Export!C401="","",DB_Artworks_Export!C401)</f>
        <v/>
      </c>
      <c r="G401" s="2" t="str">
        <f>IF(DB_Artworks_Export!D401="","",DB_Artworks_Export!D401)</f>
        <v/>
      </c>
      <c r="H401" s="2" t="str">
        <f>IF(DB_Artworks_Export!E401="","",DB_Artworks_Export!E401)</f>
        <v/>
      </c>
      <c r="I401" s="2" t="str">
        <f>IF(DB_Artworks_Export!F401="","",DB_Artworks_Export!F401)</f>
        <v/>
      </c>
      <c r="J401" s="2" t="str">
        <f>IF(DB_Artworks_Export!G401="","",DB_Artworks_Export!G401)</f>
        <v/>
      </c>
      <c r="K401" s="2" t="str">
        <f>IF(DB_Artworks_Export!H401="","",DB_Artworks_Export!H401)</f>
        <v/>
      </c>
      <c r="L401" s="2" t="str">
        <f>IF(DB_Artworks_Export!I401="","",DB_Artworks_Export!I401)</f>
        <v/>
      </c>
      <c r="M401" s="2" t="str">
        <f>IF(DB_Artworks_Export!J401="","",DB_Artworks_Export!J401)</f>
        <v/>
      </c>
      <c r="N401" s="2" t="str">
        <f>IF(DB_Artworks_Export!K401="","",DB_Artworks_Export!K401)</f>
        <v/>
      </c>
      <c r="O401" s="2" t="str">
        <f>IF(DB_Artworks_Export!L401="","",DB_Artworks_Export!L401)</f>
        <v/>
      </c>
      <c r="P401" s="2" t="str">
        <f>IF(DB_Artworks_Export!M401="","",DB_Artworks_Export!M401)</f>
        <v/>
      </c>
      <c r="Q401" s="2" t="str">
        <f>IF(DB_Artworks_Export!N401="","",DB_Artworks_Export!N401)</f>
        <v/>
      </c>
      <c r="R401" s="2" t="str">
        <f>IF($D401="","",IF(COUNTIF(DB_Categories_Export!$A:$A,$F401)&gt;0,"OK","INVALID CATEGORY"))</f>
        <v/>
      </c>
      <c r="S401" s="2" t="str">
        <f>IF($D401="","",COUNTIF(DB_Artwork_Sizes_Export!$B:$B,$D401))</f>
        <v/>
      </c>
      <c r="T401" s="2" t="str">
        <f>IF($D401="","",IFERROR(INDEX(DB_Artwork_Sizes_Export!$D:$D,MATCH($D401,DB_Artwork_Sizes_Export!$B:$B,0)),""))</f>
        <v/>
      </c>
      <c r="U401" s="2" t="str">
        <f>IF($D401="","",IFERROR(INDEX(DB_Artwork_Sizes_Export!$E:$E,MATCH($D401,DB_Artwork_Sizes_Export!$B:$B,0)),""))</f>
        <v/>
      </c>
      <c r="V401" s="2" t="str">
        <f>IF($D401="","",IFERROR(INDEX(DB_Artwork_Sizes_Export!$F:$F,MATCH($D401,DB_Artwork_Sizes_Export!$B:$B,0)),""))</f>
        <v/>
      </c>
      <c r="W401" s="2" t="str">
        <f t="shared" si="62"/>
        <v/>
      </c>
      <c r="X401" s="2"/>
      <c r="Y401" s="2"/>
      <c r="Z401" s="2"/>
      <c r="AA401" s="2"/>
      <c r="AB401" s="2"/>
      <c r="AC401" s="2"/>
      <c r="AD401" s="2"/>
      <c r="AE401" s="2"/>
      <c r="AF401" s="2" t="str">
        <f t="shared" si="63"/>
        <v/>
      </c>
      <c r="AG401" s="2" t="str">
        <f t="shared" si="64"/>
        <v/>
      </c>
      <c r="AH401" s="2" t="str">
        <f>IF($AG401="","",IFERROR(VLOOKUP($AG401,DB_Categories_Export!$A:$B,2,FALSE()),"INVALID CATEGORY"))</f>
        <v/>
      </c>
      <c r="AI401" s="2" t="str">
        <f t="shared" si="65"/>
        <v/>
      </c>
      <c r="AJ401" s="2" t="str">
        <f t="shared" si="66"/>
        <v/>
      </c>
      <c r="AK401" s="2" t="str">
        <f t="shared" si="67"/>
        <v/>
      </c>
      <c r="AL401" s="2" t="str">
        <f t="shared" si="68"/>
        <v/>
      </c>
      <c r="AM401" s="2" t="str">
        <f t="shared" si="69"/>
        <v/>
      </c>
      <c r="AN401" s="2"/>
      <c r="AO401" s="2"/>
    </row>
    <row r="402" spans="1:41" ht="12" customHeight="1" x14ac:dyDescent="0.3">
      <c r="A402" s="2"/>
      <c r="B402" s="2" t="str">
        <f t="shared" si="60"/>
        <v/>
      </c>
      <c r="C402" s="2" t="str">
        <f t="shared" si="61"/>
        <v/>
      </c>
      <c r="D402" s="2" t="str">
        <f>IF(DB_Artworks_Export!A402="","",DB_Artworks_Export!A402)</f>
        <v/>
      </c>
      <c r="E402" s="2" t="str">
        <f>IF(DB_Artworks_Export!B402="","",DB_Artworks_Export!B402)</f>
        <v/>
      </c>
      <c r="F402" s="2" t="str">
        <f>IF(DB_Artworks_Export!C402="","",DB_Artworks_Export!C402)</f>
        <v/>
      </c>
      <c r="G402" s="2" t="str">
        <f>IF(DB_Artworks_Export!D402="","",DB_Artworks_Export!D402)</f>
        <v/>
      </c>
      <c r="H402" s="2" t="str">
        <f>IF(DB_Artworks_Export!E402="","",DB_Artworks_Export!E402)</f>
        <v/>
      </c>
      <c r="I402" s="2" t="str">
        <f>IF(DB_Artworks_Export!F402="","",DB_Artworks_Export!F402)</f>
        <v/>
      </c>
      <c r="J402" s="2" t="str">
        <f>IF(DB_Artworks_Export!G402="","",DB_Artworks_Export!G402)</f>
        <v/>
      </c>
      <c r="K402" s="2" t="str">
        <f>IF(DB_Artworks_Export!H402="","",DB_Artworks_Export!H402)</f>
        <v/>
      </c>
      <c r="L402" s="2" t="str">
        <f>IF(DB_Artworks_Export!I402="","",DB_Artworks_Export!I402)</f>
        <v/>
      </c>
      <c r="M402" s="2" t="str">
        <f>IF(DB_Artworks_Export!J402="","",DB_Artworks_Export!J402)</f>
        <v/>
      </c>
      <c r="N402" s="2" t="str">
        <f>IF(DB_Artworks_Export!K402="","",DB_Artworks_Export!K402)</f>
        <v/>
      </c>
      <c r="O402" s="2" t="str">
        <f>IF(DB_Artworks_Export!L402="","",DB_Artworks_Export!L402)</f>
        <v/>
      </c>
      <c r="P402" s="2" t="str">
        <f>IF(DB_Artworks_Export!M402="","",DB_Artworks_Export!M402)</f>
        <v/>
      </c>
      <c r="Q402" s="2" t="str">
        <f>IF(DB_Artworks_Export!N402="","",DB_Artworks_Export!N402)</f>
        <v/>
      </c>
      <c r="R402" s="2" t="str">
        <f>IF($D402="","",IF(COUNTIF(DB_Categories_Export!$A:$A,$F402)&gt;0,"OK","INVALID CATEGORY"))</f>
        <v/>
      </c>
      <c r="S402" s="2" t="str">
        <f>IF($D402="","",COUNTIF(DB_Artwork_Sizes_Export!$B:$B,$D402))</f>
        <v/>
      </c>
      <c r="T402" s="2" t="str">
        <f>IF($D402="","",IFERROR(INDEX(DB_Artwork_Sizes_Export!$D:$D,MATCH($D402,DB_Artwork_Sizes_Export!$B:$B,0)),""))</f>
        <v/>
      </c>
      <c r="U402" s="2" t="str">
        <f>IF($D402="","",IFERROR(INDEX(DB_Artwork_Sizes_Export!$E:$E,MATCH($D402,DB_Artwork_Sizes_Export!$B:$B,0)),""))</f>
        <v/>
      </c>
      <c r="V402" s="2" t="str">
        <f>IF($D402="","",IFERROR(INDEX(DB_Artwork_Sizes_Export!$F:$F,MATCH($D402,DB_Artwork_Sizes_Export!$B:$B,0)),""))</f>
        <v/>
      </c>
      <c r="W402" s="2" t="str">
        <f t="shared" si="62"/>
        <v/>
      </c>
      <c r="X402" s="2"/>
      <c r="Y402" s="2"/>
      <c r="Z402" s="2"/>
      <c r="AA402" s="2"/>
      <c r="AB402" s="2"/>
      <c r="AC402" s="2"/>
      <c r="AD402" s="2"/>
      <c r="AE402" s="2"/>
      <c r="AF402" s="2" t="str">
        <f t="shared" si="63"/>
        <v/>
      </c>
      <c r="AG402" s="2" t="str">
        <f t="shared" si="64"/>
        <v/>
      </c>
      <c r="AH402" s="2" t="str">
        <f>IF($AG402="","",IFERROR(VLOOKUP($AG402,DB_Categories_Export!$A:$B,2,FALSE()),"INVALID CATEGORY"))</f>
        <v/>
      </c>
      <c r="AI402" s="2" t="str">
        <f t="shared" si="65"/>
        <v/>
      </c>
      <c r="AJ402" s="2" t="str">
        <f t="shared" si="66"/>
        <v/>
      </c>
      <c r="AK402" s="2" t="str">
        <f t="shared" si="67"/>
        <v/>
      </c>
      <c r="AL402" s="2" t="str">
        <f t="shared" si="68"/>
        <v/>
      </c>
      <c r="AM402" s="2" t="str">
        <f t="shared" si="69"/>
        <v/>
      </c>
      <c r="AN402" s="2"/>
      <c r="AO402" s="2"/>
    </row>
    <row r="403" spans="1:41" ht="12" customHeight="1" x14ac:dyDescent="0.3">
      <c r="A403" s="2"/>
      <c r="B403" s="2" t="str">
        <f t="shared" si="60"/>
        <v/>
      </c>
      <c r="C403" s="2" t="str">
        <f t="shared" si="61"/>
        <v/>
      </c>
      <c r="D403" s="2" t="str">
        <f>IF(DB_Artworks_Export!A403="","",DB_Artworks_Export!A403)</f>
        <v/>
      </c>
      <c r="E403" s="2" t="str">
        <f>IF(DB_Artworks_Export!B403="","",DB_Artworks_Export!B403)</f>
        <v/>
      </c>
      <c r="F403" s="2" t="str">
        <f>IF(DB_Artworks_Export!C403="","",DB_Artworks_Export!C403)</f>
        <v/>
      </c>
      <c r="G403" s="2" t="str">
        <f>IF(DB_Artworks_Export!D403="","",DB_Artworks_Export!D403)</f>
        <v/>
      </c>
      <c r="H403" s="2" t="str">
        <f>IF(DB_Artworks_Export!E403="","",DB_Artworks_Export!E403)</f>
        <v/>
      </c>
      <c r="I403" s="2" t="str">
        <f>IF(DB_Artworks_Export!F403="","",DB_Artworks_Export!F403)</f>
        <v/>
      </c>
      <c r="J403" s="2" t="str">
        <f>IF(DB_Artworks_Export!G403="","",DB_Artworks_Export!G403)</f>
        <v/>
      </c>
      <c r="K403" s="2" t="str">
        <f>IF(DB_Artworks_Export!H403="","",DB_Artworks_Export!H403)</f>
        <v/>
      </c>
      <c r="L403" s="2" t="str">
        <f>IF(DB_Artworks_Export!I403="","",DB_Artworks_Export!I403)</f>
        <v/>
      </c>
      <c r="M403" s="2" t="str">
        <f>IF(DB_Artworks_Export!J403="","",DB_Artworks_Export!J403)</f>
        <v/>
      </c>
      <c r="N403" s="2" t="str">
        <f>IF(DB_Artworks_Export!K403="","",DB_Artworks_Export!K403)</f>
        <v/>
      </c>
      <c r="O403" s="2" t="str">
        <f>IF(DB_Artworks_Export!L403="","",DB_Artworks_Export!L403)</f>
        <v/>
      </c>
      <c r="P403" s="2" t="str">
        <f>IF(DB_Artworks_Export!M403="","",DB_Artworks_Export!M403)</f>
        <v/>
      </c>
      <c r="Q403" s="2" t="str">
        <f>IF(DB_Artworks_Export!N403="","",DB_Artworks_Export!N403)</f>
        <v/>
      </c>
      <c r="R403" s="2" t="str">
        <f>IF($D403="","",IF(COUNTIF(DB_Categories_Export!$A:$A,$F403)&gt;0,"OK","INVALID CATEGORY"))</f>
        <v/>
      </c>
      <c r="S403" s="2" t="str">
        <f>IF($D403="","",COUNTIF(DB_Artwork_Sizes_Export!$B:$B,$D403))</f>
        <v/>
      </c>
      <c r="T403" s="2" t="str">
        <f>IF($D403="","",IFERROR(INDEX(DB_Artwork_Sizes_Export!$D:$D,MATCH($D403,DB_Artwork_Sizes_Export!$B:$B,0)),""))</f>
        <v/>
      </c>
      <c r="U403" s="2" t="str">
        <f>IF($D403="","",IFERROR(INDEX(DB_Artwork_Sizes_Export!$E:$E,MATCH($D403,DB_Artwork_Sizes_Export!$B:$B,0)),""))</f>
        <v/>
      </c>
      <c r="V403" s="2" t="str">
        <f>IF($D403="","",IFERROR(INDEX(DB_Artwork_Sizes_Export!$F:$F,MATCH($D403,DB_Artwork_Sizes_Export!$B:$B,0)),""))</f>
        <v/>
      </c>
      <c r="W403" s="2" t="str">
        <f t="shared" si="62"/>
        <v/>
      </c>
      <c r="X403" s="2"/>
      <c r="Y403" s="2"/>
      <c r="Z403" s="2"/>
      <c r="AA403" s="2"/>
      <c r="AB403" s="2"/>
      <c r="AC403" s="2"/>
      <c r="AD403" s="2"/>
      <c r="AE403" s="2"/>
      <c r="AF403" s="2" t="str">
        <f t="shared" si="63"/>
        <v/>
      </c>
      <c r="AG403" s="2" t="str">
        <f t="shared" si="64"/>
        <v/>
      </c>
      <c r="AH403" s="2" t="str">
        <f>IF($AG403="","",IFERROR(VLOOKUP($AG403,DB_Categories_Export!$A:$B,2,FALSE()),"INVALID CATEGORY"))</f>
        <v/>
      </c>
      <c r="AI403" s="2" t="str">
        <f t="shared" si="65"/>
        <v/>
      </c>
      <c r="AJ403" s="2" t="str">
        <f t="shared" si="66"/>
        <v/>
      </c>
      <c r="AK403" s="2" t="str">
        <f t="shared" si="67"/>
        <v/>
      </c>
      <c r="AL403" s="2" t="str">
        <f t="shared" si="68"/>
        <v/>
      </c>
      <c r="AM403" s="2" t="str">
        <f t="shared" si="69"/>
        <v/>
      </c>
      <c r="AN403" s="2"/>
      <c r="AO403" s="2"/>
    </row>
    <row r="404" spans="1:41" ht="12" customHeight="1" x14ac:dyDescent="0.3">
      <c r="A404" s="2"/>
      <c r="B404" s="2" t="str">
        <f t="shared" si="60"/>
        <v/>
      </c>
      <c r="C404" s="2" t="str">
        <f t="shared" si="61"/>
        <v/>
      </c>
      <c r="D404" s="2" t="str">
        <f>IF(DB_Artworks_Export!A404="","",DB_Artworks_Export!A404)</f>
        <v/>
      </c>
      <c r="E404" s="2" t="str">
        <f>IF(DB_Artworks_Export!B404="","",DB_Artworks_Export!B404)</f>
        <v/>
      </c>
      <c r="F404" s="2" t="str">
        <f>IF(DB_Artworks_Export!C404="","",DB_Artworks_Export!C404)</f>
        <v/>
      </c>
      <c r="G404" s="2" t="str">
        <f>IF(DB_Artworks_Export!D404="","",DB_Artworks_Export!D404)</f>
        <v/>
      </c>
      <c r="H404" s="2" t="str">
        <f>IF(DB_Artworks_Export!E404="","",DB_Artworks_Export!E404)</f>
        <v/>
      </c>
      <c r="I404" s="2" t="str">
        <f>IF(DB_Artworks_Export!F404="","",DB_Artworks_Export!F404)</f>
        <v/>
      </c>
      <c r="J404" s="2" t="str">
        <f>IF(DB_Artworks_Export!G404="","",DB_Artworks_Export!G404)</f>
        <v/>
      </c>
      <c r="K404" s="2" t="str">
        <f>IF(DB_Artworks_Export!H404="","",DB_Artworks_Export!H404)</f>
        <v/>
      </c>
      <c r="L404" s="2" t="str">
        <f>IF(DB_Artworks_Export!I404="","",DB_Artworks_Export!I404)</f>
        <v/>
      </c>
      <c r="M404" s="2" t="str">
        <f>IF(DB_Artworks_Export!J404="","",DB_Artworks_Export!J404)</f>
        <v/>
      </c>
      <c r="N404" s="2" t="str">
        <f>IF(DB_Artworks_Export!K404="","",DB_Artworks_Export!K404)</f>
        <v/>
      </c>
      <c r="O404" s="2" t="str">
        <f>IF(DB_Artworks_Export!L404="","",DB_Artworks_Export!L404)</f>
        <v/>
      </c>
      <c r="P404" s="2" t="str">
        <f>IF(DB_Artworks_Export!M404="","",DB_Artworks_Export!M404)</f>
        <v/>
      </c>
      <c r="Q404" s="2" t="str">
        <f>IF(DB_Artworks_Export!N404="","",DB_Artworks_Export!N404)</f>
        <v/>
      </c>
      <c r="R404" s="2" t="str">
        <f>IF($D404="","",IF(COUNTIF(DB_Categories_Export!$A:$A,$F404)&gt;0,"OK","INVALID CATEGORY"))</f>
        <v/>
      </c>
      <c r="S404" s="2" t="str">
        <f>IF($D404="","",COUNTIF(DB_Artwork_Sizes_Export!$B:$B,$D404))</f>
        <v/>
      </c>
      <c r="T404" s="2" t="str">
        <f>IF($D404="","",IFERROR(INDEX(DB_Artwork_Sizes_Export!$D:$D,MATCH($D404,DB_Artwork_Sizes_Export!$B:$B,0)),""))</f>
        <v/>
      </c>
      <c r="U404" s="2" t="str">
        <f>IF($D404="","",IFERROR(INDEX(DB_Artwork_Sizes_Export!$E:$E,MATCH($D404,DB_Artwork_Sizes_Export!$B:$B,0)),""))</f>
        <v/>
      </c>
      <c r="V404" s="2" t="str">
        <f>IF($D404="","",IFERROR(INDEX(DB_Artwork_Sizes_Export!$F:$F,MATCH($D404,DB_Artwork_Sizes_Export!$B:$B,0)),""))</f>
        <v/>
      </c>
      <c r="W404" s="2" t="str">
        <f t="shared" si="62"/>
        <v/>
      </c>
      <c r="X404" s="2"/>
      <c r="Y404" s="2"/>
      <c r="Z404" s="2"/>
      <c r="AA404" s="2"/>
      <c r="AB404" s="2"/>
      <c r="AC404" s="2"/>
      <c r="AD404" s="2"/>
      <c r="AE404" s="2"/>
      <c r="AF404" s="2" t="str">
        <f t="shared" si="63"/>
        <v/>
      </c>
      <c r="AG404" s="2" t="str">
        <f t="shared" si="64"/>
        <v/>
      </c>
      <c r="AH404" s="2" t="str">
        <f>IF($AG404="","",IFERROR(VLOOKUP($AG404,DB_Categories_Export!$A:$B,2,FALSE()),"INVALID CATEGORY"))</f>
        <v/>
      </c>
      <c r="AI404" s="2" t="str">
        <f t="shared" si="65"/>
        <v/>
      </c>
      <c r="AJ404" s="2" t="str">
        <f t="shared" si="66"/>
        <v/>
      </c>
      <c r="AK404" s="2" t="str">
        <f t="shared" si="67"/>
        <v/>
      </c>
      <c r="AL404" s="2" t="str">
        <f t="shared" si="68"/>
        <v/>
      </c>
      <c r="AM404" s="2" t="str">
        <f t="shared" si="69"/>
        <v/>
      </c>
      <c r="AN404" s="2"/>
      <c r="AO404" s="2"/>
    </row>
    <row r="405" spans="1:41" ht="12" customHeight="1" x14ac:dyDescent="0.3">
      <c r="A405" s="2"/>
      <c r="B405" s="2" t="str">
        <f t="shared" si="60"/>
        <v/>
      </c>
      <c r="C405" s="2" t="str">
        <f t="shared" si="61"/>
        <v/>
      </c>
      <c r="D405" s="2" t="str">
        <f>IF(DB_Artworks_Export!A405="","",DB_Artworks_Export!A405)</f>
        <v/>
      </c>
      <c r="E405" s="2" t="str">
        <f>IF(DB_Artworks_Export!B405="","",DB_Artworks_Export!B405)</f>
        <v/>
      </c>
      <c r="F405" s="2" t="str">
        <f>IF(DB_Artworks_Export!C405="","",DB_Artworks_Export!C405)</f>
        <v/>
      </c>
      <c r="G405" s="2" t="str">
        <f>IF(DB_Artworks_Export!D405="","",DB_Artworks_Export!D405)</f>
        <v/>
      </c>
      <c r="H405" s="2" t="str">
        <f>IF(DB_Artworks_Export!E405="","",DB_Artworks_Export!E405)</f>
        <v/>
      </c>
      <c r="I405" s="2" t="str">
        <f>IF(DB_Artworks_Export!F405="","",DB_Artworks_Export!F405)</f>
        <v/>
      </c>
      <c r="J405" s="2" t="str">
        <f>IF(DB_Artworks_Export!G405="","",DB_Artworks_Export!G405)</f>
        <v/>
      </c>
      <c r="K405" s="2" t="str">
        <f>IF(DB_Artworks_Export!H405="","",DB_Artworks_Export!H405)</f>
        <v/>
      </c>
      <c r="L405" s="2" t="str">
        <f>IF(DB_Artworks_Export!I405="","",DB_Artworks_Export!I405)</f>
        <v/>
      </c>
      <c r="M405" s="2" t="str">
        <f>IF(DB_Artworks_Export!J405="","",DB_Artworks_Export!J405)</f>
        <v/>
      </c>
      <c r="N405" s="2" t="str">
        <f>IF(DB_Artworks_Export!K405="","",DB_Artworks_Export!K405)</f>
        <v/>
      </c>
      <c r="O405" s="2" t="str">
        <f>IF(DB_Artworks_Export!L405="","",DB_Artworks_Export!L405)</f>
        <v/>
      </c>
      <c r="P405" s="2" t="str">
        <f>IF(DB_Artworks_Export!M405="","",DB_Artworks_Export!M405)</f>
        <v/>
      </c>
      <c r="Q405" s="2" t="str">
        <f>IF(DB_Artworks_Export!N405="","",DB_Artworks_Export!N405)</f>
        <v/>
      </c>
      <c r="R405" s="2" t="str">
        <f>IF($D405="","",IF(COUNTIF(DB_Categories_Export!$A:$A,$F405)&gt;0,"OK","INVALID CATEGORY"))</f>
        <v/>
      </c>
      <c r="S405" s="2" t="str">
        <f>IF($D405="","",COUNTIF(DB_Artwork_Sizes_Export!$B:$B,$D405))</f>
        <v/>
      </c>
      <c r="T405" s="2" t="str">
        <f>IF($D405="","",IFERROR(INDEX(DB_Artwork_Sizes_Export!$D:$D,MATCH($D405,DB_Artwork_Sizes_Export!$B:$B,0)),""))</f>
        <v/>
      </c>
      <c r="U405" s="2" t="str">
        <f>IF($D405="","",IFERROR(INDEX(DB_Artwork_Sizes_Export!$E:$E,MATCH($D405,DB_Artwork_Sizes_Export!$B:$B,0)),""))</f>
        <v/>
      </c>
      <c r="V405" s="2" t="str">
        <f>IF($D405="","",IFERROR(INDEX(DB_Artwork_Sizes_Export!$F:$F,MATCH($D405,DB_Artwork_Sizes_Export!$B:$B,0)),""))</f>
        <v/>
      </c>
      <c r="W405" s="2" t="str">
        <f t="shared" si="62"/>
        <v/>
      </c>
      <c r="X405" s="2"/>
      <c r="Y405" s="2"/>
      <c r="Z405" s="2"/>
      <c r="AA405" s="2"/>
      <c r="AB405" s="2"/>
      <c r="AC405" s="2"/>
      <c r="AD405" s="2"/>
      <c r="AE405" s="2"/>
      <c r="AF405" s="2" t="str">
        <f t="shared" si="63"/>
        <v/>
      </c>
      <c r="AG405" s="2" t="str">
        <f t="shared" si="64"/>
        <v/>
      </c>
      <c r="AH405" s="2" t="str">
        <f>IF($AG405="","",IFERROR(VLOOKUP($AG405,DB_Categories_Export!$A:$B,2,FALSE()),"INVALID CATEGORY"))</f>
        <v/>
      </c>
      <c r="AI405" s="2" t="str">
        <f t="shared" si="65"/>
        <v/>
      </c>
      <c r="AJ405" s="2" t="str">
        <f t="shared" si="66"/>
        <v/>
      </c>
      <c r="AK405" s="2" t="str">
        <f t="shared" si="67"/>
        <v/>
      </c>
      <c r="AL405" s="2" t="str">
        <f t="shared" si="68"/>
        <v/>
      </c>
      <c r="AM405" s="2" t="str">
        <f t="shared" si="69"/>
        <v/>
      </c>
      <c r="AN405" s="2"/>
      <c r="AO405" s="2"/>
    </row>
    <row r="406" spans="1:41" ht="12" customHeight="1" x14ac:dyDescent="0.3">
      <c r="A406" s="2"/>
      <c r="B406" s="2" t="str">
        <f t="shared" si="60"/>
        <v/>
      </c>
      <c r="C406" s="2" t="str">
        <f t="shared" si="61"/>
        <v/>
      </c>
      <c r="D406" s="2" t="str">
        <f>IF(DB_Artworks_Export!A406="","",DB_Artworks_Export!A406)</f>
        <v/>
      </c>
      <c r="E406" s="2" t="str">
        <f>IF(DB_Artworks_Export!B406="","",DB_Artworks_Export!B406)</f>
        <v/>
      </c>
      <c r="F406" s="2" t="str">
        <f>IF(DB_Artworks_Export!C406="","",DB_Artworks_Export!C406)</f>
        <v/>
      </c>
      <c r="G406" s="2" t="str">
        <f>IF(DB_Artworks_Export!D406="","",DB_Artworks_Export!D406)</f>
        <v/>
      </c>
      <c r="H406" s="2" t="str">
        <f>IF(DB_Artworks_Export!E406="","",DB_Artworks_Export!E406)</f>
        <v/>
      </c>
      <c r="I406" s="2" t="str">
        <f>IF(DB_Artworks_Export!F406="","",DB_Artworks_Export!F406)</f>
        <v/>
      </c>
      <c r="J406" s="2" t="str">
        <f>IF(DB_Artworks_Export!G406="","",DB_Artworks_Export!G406)</f>
        <v/>
      </c>
      <c r="K406" s="2" t="str">
        <f>IF(DB_Artworks_Export!H406="","",DB_Artworks_Export!H406)</f>
        <v/>
      </c>
      <c r="L406" s="2" t="str">
        <f>IF(DB_Artworks_Export!I406="","",DB_Artworks_Export!I406)</f>
        <v/>
      </c>
      <c r="M406" s="2" t="str">
        <f>IF(DB_Artworks_Export!J406="","",DB_Artworks_Export!J406)</f>
        <v/>
      </c>
      <c r="N406" s="2" t="str">
        <f>IF(DB_Artworks_Export!K406="","",DB_Artworks_Export!K406)</f>
        <v/>
      </c>
      <c r="O406" s="2" t="str">
        <f>IF(DB_Artworks_Export!L406="","",DB_Artworks_Export!L406)</f>
        <v/>
      </c>
      <c r="P406" s="2" t="str">
        <f>IF(DB_Artworks_Export!M406="","",DB_Artworks_Export!M406)</f>
        <v/>
      </c>
      <c r="Q406" s="2" t="str">
        <f>IF(DB_Artworks_Export!N406="","",DB_Artworks_Export!N406)</f>
        <v/>
      </c>
      <c r="R406" s="2" t="str">
        <f>IF($D406="","",IF(COUNTIF(DB_Categories_Export!$A:$A,$F406)&gt;0,"OK","INVALID CATEGORY"))</f>
        <v/>
      </c>
      <c r="S406" s="2" t="str">
        <f>IF($D406="","",COUNTIF(DB_Artwork_Sizes_Export!$B:$B,$D406))</f>
        <v/>
      </c>
      <c r="T406" s="2" t="str">
        <f>IF($D406="","",IFERROR(INDEX(DB_Artwork_Sizes_Export!$D:$D,MATCH($D406,DB_Artwork_Sizes_Export!$B:$B,0)),""))</f>
        <v/>
      </c>
      <c r="U406" s="2" t="str">
        <f>IF($D406="","",IFERROR(INDEX(DB_Artwork_Sizes_Export!$E:$E,MATCH($D406,DB_Artwork_Sizes_Export!$B:$B,0)),""))</f>
        <v/>
      </c>
      <c r="V406" s="2" t="str">
        <f>IF($D406="","",IFERROR(INDEX(DB_Artwork_Sizes_Export!$F:$F,MATCH($D406,DB_Artwork_Sizes_Export!$B:$B,0)),""))</f>
        <v/>
      </c>
      <c r="W406" s="2" t="str">
        <f t="shared" si="62"/>
        <v/>
      </c>
      <c r="X406" s="2"/>
      <c r="Y406" s="2"/>
      <c r="Z406" s="2"/>
      <c r="AA406" s="2"/>
      <c r="AB406" s="2"/>
      <c r="AC406" s="2"/>
      <c r="AD406" s="2"/>
      <c r="AE406" s="2"/>
      <c r="AF406" s="2" t="str">
        <f t="shared" si="63"/>
        <v/>
      </c>
      <c r="AG406" s="2" t="str">
        <f t="shared" si="64"/>
        <v/>
      </c>
      <c r="AH406" s="2" t="str">
        <f>IF($AG406="","",IFERROR(VLOOKUP($AG406,DB_Categories_Export!$A:$B,2,FALSE()),"INVALID CATEGORY"))</f>
        <v/>
      </c>
      <c r="AI406" s="2" t="str">
        <f t="shared" si="65"/>
        <v/>
      </c>
      <c r="AJ406" s="2" t="str">
        <f t="shared" si="66"/>
        <v/>
      </c>
      <c r="AK406" s="2" t="str">
        <f t="shared" si="67"/>
        <v/>
      </c>
      <c r="AL406" s="2" t="str">
        <f t="shared" si="68"/>
        <v/>
      </c>
      <c r="AM406" s="2" t="str">
        <f t="shared" si="69"/>
        <v/>
      </c>
      <c r="AN406" s="2"/>
      <c r="AO406" s="2"/>
    </row>
    <row r="407" spans="1:41" ht="12" customHeight="1" x14ac:dyDescent="0.3">
      <c r="A407" s="2"/>
      <c r="B407" s="2" t="str">
        <f t="shared" si="60"/>
        <v/>
      </c>
      <c r="C407" s="2" t="str">
        <f t="shared" si="61"/>
        <v/>
      </c>
      <c r="D407" s="2" t="str">
        <f>IF(DB_Artworks_Export!A407="","",DB_Artworks_Export!A407)</f>
        <v/>
      </c>
      <c r="E407" s="2" t="str">
        <f>IF(DB_Artworks_Export!B407="","",DB_Artworks_Export!B407)</f>
        <v/>
      </c>
      <c r="F407" s="2" t="str">
        <f>IF(DB_Artworks_Export!C407="","",DB_Artworks_Export!C407)</f>
        <v/>
      </c>
      <c r="G407" s="2" t="str">
        <f>IF(DB_Artworks_Export!D407="","",DB_Artworks_Export!D407)</f>
        <v/>
      </c>
      <c r="H407" s="2" t="str">
        <f>IF(DB_Artworks_Export!E407="","",DB_Artworks_Export!E407)</f>
        <v/>
      </c>
      <c r="I407" s="2" t="str">
        <f>IF(DB_Artworks_Export!F407="","",DB_Artworks_Export!F407)</f>
        <v/>
      </c>
      <c r="J407" s="2" t="str">
        <f>IF(DB_Artworks_Export!G407="","",DB_Artworks_Export!G407)</f>
        <v/>
      </c>
      <c r="K407" s="2" t="str">
        <f>IF(DB_Artworks_Export!H407="","",DB_Artworks_Export!H407)</f>
        <v/>
      </c>
      <c r="L407" s="2" t="str">
        <f>IF(DB_Artworks_Export!I407="","",DB_Artworks_Export!I407)</f>
        <v/>
      </c>
      <c r="M407" s="2" t="str">
        <f>IF(DB_Artworks_Export!J407="","",DB_Artworks_Export!J407)</f>
        <v/>
      </c>
      <c r="N407" s="2" t="str">
        <f>IF(DB_Artworks_Export!K407="","",DB_Artworks_Export!K407)</f>
        <v/>
      </c>
      <c r="O407" s="2" t="str">
        <f>IF(DB_Artworks_Export!L407="","",DB_Artworks_Export!L407)</f>
        <v/>
      </c>
      <c r="P407" s="2" t="str">
        <f>IF(DB_Artworks_Export!M407="","",DB_Artworks_Export!M407)</f>
        <v/>
      </c>
      <c r="Q407" s="2" t="str">
        <f>IF(DB_Artworks_Export!N407="","",DB_Artworks_Export!N407)</f>
        <v/>
      </c>
      <c r="R407" s="2" t="str">
        <f>IF($D407="","",IF(COUNTIF(DB_Categories_Export!$A:$A,$F407)&gt;0,"OK","INVALID CATEGORY"))</f>
        <v/>
      </c>
      <c r="S407" s="2" t="str">
        <f>IF($D407="","",COUNTIF(DB_Artwork_Sizes_Export!$B:$B,$D407))</f>
        <v/>
      </c>
      <c r="T407" s="2" t="str">
        <f>IF($D407="","",IFERROR(INDEX(DB_Artwork_Sizes_Export!$D:$D,MATCH($D407,DB_Artwork_Sizes_Export!$B:$B,0)),""))</f>
        <v/>
      </c>
      <c r="U407" s="2" t="str">
        <f>IF($D407="","",IFERROR(INDEX(DB_Artwork_Sizes_Export!$E:$E,MATCH($D407,DB_Artwork_Sizes_Export!$B:$B,0)),""))</f>
        <v/>
      </c>
      <c r="V407" s="2" t="str">
        <f>IF($D407="","",IFERROR(INDEX(DB_Artwork_Sizes_Export!$F:$F,MATCH($D407,DB_Artwork_Sizes_Export!$B:$B,0)),""))</f>
        <v/>
      </c>
      <c r="W407" s="2" t="str">
        <f t="shared" si="62"/>
        <v/>
      </c>
      <c r="X407" s="2"/>
      <c r="Y407" s="2"/>
      <c r="Z407" s="2"/>
      <c r="AA407" s="2"/>
      <c r="AB407" s="2"/>
      <c r="AC407" s="2"/>
      <c r="AD407" s="2"/>
      <c r="AE407" s="2"/>
      <c r="AF407" s="2" t="str">
        <f t="shared" si="63"/>
        <v/>
      </c>
      <c r="AG407" s="2" t="str">
        <f t="shared" si="64"/>
        <v/>
      </c>
      <c r="AH407" s="2" t="str">
        <f>IF($AG407="","",IFERROR(VLOOKUP($AG407,DB_Categories_Export!$A:$B,2,FALSE()),"INVALID CATEGORY"))</f>
        <v/>
      </c>
      <c r="AI407" s="2" t="str">
        <f t="shared" si="65"/>
        <v/>
      </c>
      <c r="AJ407" s="2" t="str">
        <f t="shared" si="66"/>
        <v/>
      </c>
      <c r="AK407" s="2" t="str">
        <f t="shared" si="67"/>
        <v/>
      </c>
      <c r="AL407" s="2" t="str">
        <f t="shared" si="68"/>
        <v/>
      </c>
      <c r="AM407" s="2" t="str">
        <f t="shared" si="69"/>
        <v/>
      </c>
      <c r="AN407" s="2"/>
      <c r="AO407" s="2"/>
    </row>
    <row r="408" spans="1:41" ht="12" customHeight="1" x14ac:dyDescent="0.3">
      <c r="A408" s="2"/>
      <c r="B408" s="2" t="str">
        <f t="shared" si="60"/>
        <v/>
      </c>
      <c r="C408" s="2" t="str">
        <f t="shared" si="61"/>
        <v/>
      </c>
      <c r="D408" s="2" t="str">
        <f>IF(DB_Artworks_Export!A408="","",DB_Artworks_Export!A408)</f>
        <v/>
      </c>
      <c r="E408" s="2" t="str">
        <f>IF(DB_Artworks_Export!B408="","",DB_Artworks_Export!B408)</f>
        <v/>
      </c>
      <c r="F408" s="2" t="str">
        <f>IF(DB_Artworks_Export!C408="","",DB_Artworks_Export!C408)</f>
        <v/>
      </c>
      <c r="G408" s="2" t="str">
        <f>IF(DB_Artworks_Export!D408="","",DB_Artworks_Export!D408)</f>
        <v/>
      </c>
      <c r="H408" s="2" t="str">
        <f>IF(DB_Artworks_Export!E408="","",DB_Artworks_Export!E408)</f>
        <v/>
      </c>
      <c r="I408" s="2" t="str">
        <f>IF(DB_Artworks_Export!F408="","",DB_Artworks_Export!F408)</f>
        <v/>
      </c>
      <c r="J408" s="2" t="str">
        <f>IF(DB_Artworks_Export!G408="","",DB_Artworks_Export!G408)</f>
        <v/>
      </c>
      <c r="K408" s="2" t="str">
        <f>IF(DB_Artworks_Export!H408="","",DB_Artworks_Export!H408)</f>
        <v/>
      </c>
      <c r="L408" s="2" t="str">
        <f>IF(DB_Artworks_Export!I408="","",DB_Artworks_Export!I408)</f>
        <v/>
      </c>
      <c r="M408" s="2" t="str">
        <f>IF(DB_Artworks_Export!J408="","",DB_Artworks_Export!J408)</f>
        <v/>
      </c>
      <c r="N408" s="2" t="str">
        <f>IF(DB_Artworks_Export!K408="","",DB_Artworks_Export!K408)</f>
        <v/>
      </c>
      <c r="O408" s="2" t="str">
        <f>IF(DB_Artworks_Export!L408="","",DB_Artworks_Export!L408)</f>
        <v/>
      </c>
      <c r="P408" s="2" t="str">
        <f>IF(DB_Artworks_Export!M408="","",DB_Artworks_Export!M408)</f>
        <v/>
      </c>
      <c r="Q408" s="2" t="str">
        <f>IF(DB_Artworks_Export!N408="","",DB_Artworks_Export!N408)</f>
        <v/>
      </c>
      <c r="R408" s="2" t="str">
        <f>IF($D408="","",IF(COUNTIF(DB_Categories_Export!$A:$A,$F408)&gt;0,"OK","INVALID CATEGORY"))</f>
        <v/>
      </c>
      <c r="S408" s="2" t="str">
        <f>IF($D408="","",COUNTIF(DB_Artwork_Sizes_Export!$B:$B,$D408))</f>
        <v/>
      </c>
      <c r="T408" s="2" t="str">
        <f>IF($D408="","",IFERROR(INDEX(DB_Artwork_Sizes_Export!$D:$D,MATCH($D408,DB_Artwork_Sizes_Export!$B:$B,0)),""))</f>
        <v/>
      </c>
      <c r="U408" s="2" t="str">
        <f>IF($D408="","",IFERROR(INDEX(DB_Artwork_Sizes_Export!$E:$E,MATCH($D408,DB_Artwork_Sizes_Export!$B:$B,0)),""))</f>
        <v/>
      </c>
      <c r="V408" s="2" t="str">
        <f>IF($D408="","",IFERROR(INDEX(DB_Artwork_Sizes_Export!$F:$F,MATCH($D408,DB_Artwork_Sizes_Export!$B:$B,0)),""))</f>
        <v/>
      </c>
      <c r="W408" s="2" t="str">
        <f t="shared" si="62"/>
        <v/>
      </c>
      <c r="X408" s="2"/>
      <c r="Y408" s="2"/>
      <c r="Z408" s="2"/>
      <c r="AA408" s="2"/>
      <c r="AB408" s="2"/>
      <c r="AC408" s="2"/>
      <c r="AD408" s="2"/>
      <c r="AE408" s="2"/>
      <c r="AF408" s="2" t="str">
        <f t="shared" si="63"/>
        <v/>
      </c>
      <c r="AG408" s="2" t="str">
        <f t="shared" si="64"/>
        <v/>
      </c>
      <c r="AH408" s="2" t="str">
        <f>IF($AG408="","",IFERROR(VLOOKUP($AG408,DB_Categories_Export!$A:$B,2,FALSE()),"INVALID CATEGORY"))</f>
        <v/>
      </c>
      <c r="AI408" s="2" t="str">
        <f t="shared" si="65"/>
        <v/>
      </c>
      <c r="AJ408" s="2" t="str">
        <f t="shared" si="66"/>
        <v/>
      </c>
      <c r="AK408" s="2" t="str">
        <f t="shared" si="67"/>
        <v/>
      </c>
      <c r="AL408" s="2" t="str">
        <f t="shared" si="68"/>
        <v/>
      </c>
      <c r="AM408" s="2" t="str">
        <f t="shared" si="69"/>
        <v/>
      </c>
      <c r="AN408" s="2"/>
      <c r="AO408" s="2"/>
    </row>
    <row r="409" spans="1:41" ht="12" customHeight="1" x14ac:dyDescent="0.3">
      <c r="A409" s="2"/>
      <c r="B409" s="2" t="str">
        <f t="shared" si="60"/>
        <v/>
      </c>
      <c r="C409" s="2" t="str">
        <f t="shared" si="61"/>
        <v/>
      </c>
      <c r="D409" s="2" t="str">
        <f>IF(DB_Artworks_Export!A409="","",DB_Artworks_Export!A409)</f>
        <v/>
      </c>
      <c r="E409" s="2" t="str">
        <f>IF(DB_Artworks_Export!B409="","",DB_Artworks_Export!B409)</f>
        <v/>
      </c>
      <c r="F409" s="2" t="str">
        <f>IF(DB_Artworks_Export!C409="","",DB_Artworks_Export!C409)</f>
        <v/>
      </c>
      <c r="G409" s="2" t="str">
        <f>IF(DB_Artworks_Export!D409="","",DB_Artworks_Export!D409)</f>
        <v/>
      </c>
      <c r="H409" s="2" t="str">
        <f>IF(DB_Artworks_Export!E409="","",DB_Artworks_Export!E409)</f>
        <v/>
      </c>
      <c r="I409" s="2" t="str">
        <f>IF(DB_Artworks_Export!F409="","",DB_Artworks_Export!F409)</f>
        <v/>
      </c>
      <c r="J409" s="2" t="str">
        <f>IF(DB_Artworks_Export!G409="","",DB_Artworks_Export!G409)</f>
        <v/>
      </c>
      <c r="K409" s="2" t="str">
        <f>IF(DB_Artworks_Export!H409="","",DB_Artworks_Export!H409)</f>
        <v/>
      </c>
      <c r="L409" s="2" t="str">
        <f>IF(DB_Artworks_Export!I409="","",DB_Artworks_Export!I409)</f>
        <v/>
      </c>
      <c r="M409" s="2" t="str">
        <f>IF(DB_Artworks_Export!J409="","",DB_Artworks_Export!J409)</f>
        <v/>
      </c>
      <c r="N409" s="2" t="str">
        <f>IF(DB_Artworks_Export!K409="","",DB_Artworks_Export!K409)</f>
        <v/>
      </c>
      <c r="O409" s="2" t="str">
        <f>IF(DB_Artworks_Export!L409="","",DB_Artworks_Export!L409)</f>
        <v/>
      </c>
      <c r="P409" s="2" t="str">
        <f>IF(DB_Artworks_Export!M409="","",DB_Artworks_Export!M409)</f>
        <v/>
      </c>
      <c r="Q409" s="2" t="str">
        <f>IF(DB_Artworks_Export!N409="","",DB_Artworks_Export!N409)</f>
        <v/>
      </c>
      <c r="R409" s="2" t="str">
        <f>IF($D409="","",IF(COUNTIF(DB_Categories_Export!$A:$A,$F409)&gt;0,"OK","INVALID CATEGORY"))</f>
        <v/>
      </c>
      <c r="S409" s="2" t="str">
        <f>IF($D409="","",COUNTIF(DB_Artwork_Sizes_Export!$B:$B,$D409))</f>
        <v/>
      </c>
      <c r="T409" s="2" t="str">
        <f>IF($D409="","",IFERROR(INDEX(DB_Artwork_Sizes_Export!$D:$D,MATCH($D409,DB_Artwork_Sizes_Export!$B:$B,0)),""))</f>
        <v/>
      </c>
      <c r="U409" s="2" t="str">
        <f>IF($D409="","",IFERROR(INDEX(DB_Artwork_Sizes_Export!$E:$E,MATCH($D409,DB_Artwork_Sizes_Export!$B:$B,0)),""))</f>
        <v/>
      </c>
      <c r="V409" s="2" t="str">
        <f>IF($D409="","",IFERROR(INDEX(DB_Artwork_Sizes_Export!$F:$F,MATCH($D409,DB_Artwork_Sizes_Export!$B:$B,0)),""))</f>
        <v/>
      </c>
      <c r="W409" s="2" t="str">
        <f t="shared" si="62"/>
        <v/>
      </c>
      <c r="X409" s="2"/>
      <c r="Y409" s="2"/>
      <c r="Z409" s="2"/>
      <c r="AA409" s="2"/>
      <c r="AB409" s="2"/>
      <c r="AC409" s="2"/>
      <c r="AD409" s="2"/>
      <c r="AE409" s="2"/>
      <c r="AF409" s="2" t="str">
        <f t="shared" si="63"/>
        <v/>
      </c>
      <c r="AG409" s="2" t="str">
        <f t="shared" si="64"/>
        <v/>
      </c>
      <c r="AH409" s="2" t="str">
        <f>IF($AG409="","",IFERROR(VLOOKUP($AG409,DB_Categories_Export!$A:$B,2,FALSE()),"INVALID CATEGORY"))</f>
        <v/>
      </c>
      <c r="AI409" s="2" t="str">
        <f t="shared" si="65"/>
        <v/>
      </c>
      <c r="AJ409" s="2" t="str">
        <f t="shared" si="66"/>
        <v/>
      </c>
      <c r="AK409" s="2" t="str">
        <f t="shared" si="67"/>
        <v/>
      </c>
      <c r="AL409" s="2" t="str">
        <f t="shared" si="68"/>
        <v/>
      </c>
      <c r="AM409" s="2" t="str">
        <f t="shared" si="69"/>
        <v/>
      </c>
      <c r="AN409" s="2"/>
      <c r="AO409" s="2"/>
    </row>
    <row r="410" spans="1:41" ht="12" customHeight="1" x14ac:dyDescent="0.3">
      <c r="A410" s="2"/>
      <c r="B410" s="2" t="str">
        <f t="shared" si="60"/>
        <v/>
      </c>
      <c r="C410" s="2" t="str">
        <f t="shared" si="61"/>
        <v/>
      </c>
      <c r="D410" s="2" t="str">
        <f>IF(DB_Artworks_Export!A410="","",DB_Artworks_Export!A410)</f>
        <v/>
      </c>
      <c r="E410" s="2" t="str">
        <f>IF(DB_Artworks_Export!B410="","",DB_Artworks_Export!B410)</f>
        <v/>
      </c>
      <c r="F410" s="2" t="str">
        <f>IF(DB_Artworks_Export!C410="","",DB_Artworks_Export!C410)</f>
        <v/>
      </c>
      <c r="G410" s="2" t="str">
        <f>IF(DB_Artworks_Export!D410="","",DB_Artworks_Export!D410)</f>
        <v/>
      </c>
      <c r="H410" s="2" t="str">
        <f>IF(DB_Artworks_Export!E410="","",DB_Artworks_Export!E410)</f>
        <v/>
      </c>
      <c r="I410" s="2" t="str">
        <f>IF(DB_Artworks_Export!F410="","",DB_Artworks_Export!F410)</f>
        <v/>
      </c>
      <c r="J410" s="2" t="str">
        <f>IF(DB_Artworks_Export!G410="","",DB_Artworks_Export!G410)</f>
        <v/>
      </c>
      <c r="K410" s="2" t="str">
        <f>IF(DB_Artworks_Export!H410="","",DB_Artworks_Export!H410)</f>
        <v/>
      </c>
      <c r="L410" s="2" t="str">
        <f>IF(DB_Artworks_Export!I410="","",DB_Artworks_Export!I410)</f>
        <v/>
      </c>
      <c r="M410" s="2" t="str">
        <f>IF(DB_Artworks_Export!J410="","",DB_Artworks_Export!J410)</f>
        <v/>
      </c>
      <c r="N410" s="2" t="str">
        <f>IF(DB_Artworks_Export!K410="","",DB_Artworks_Export!K410)</f>
        <v/>
      </c>
      <c r="O410" s="2" t="str">
        <f>IF(DB_Artworks_Export!L410="","",DB_Artworks_Export!L410)</f>
        <v/>
      </c>
      <c r="P410" s="2" t="str">
        <f>IF(DB_Artworks_Export!M410="","",DB_Artworks_Export!M410)</f>
        <v/>
      </c>
      <c r="Q410" s="2" t="str">
        <f>IF(DB_Artworks_Export!N410="","",DB_Artworks_Export!N410)</f>
        <v/>
      </c>
      <c r="R410" s="2" t="str">
        <f>IF($D410="","",IF(COUNTIF(DB_Categories_Export!$A:$A,$F410)&gt;0,"OK","INVALID CATEGORY"))</f>
        <v/>
      </c>
      <c r="S410" s="2" t="str">
        <f>IF($D410="","",COUNTIF(DB_Artwork_Sizes_Export!$B:$B,$D410))</f>
        <v/>
      </c>
      <c r="T410" s="2" t="str">
        <f>IF($D410="","",IFERROR(INDEX(DB_Artwork_Sizes_Export!$D:$D,MATCH($D410,DB_Artwork_Sizes_Export!$B:$B,0)),""))</f>
        <v/>
      </c>
      <c r="U410" s="2" t="str">
        <f>IF($D410="","",IFERROR(INDEX(DB_Artwork_Sizes_Export!$E:$E,MATCH($D410,DB_Artwork_Sizes_Export!$B:$B,0)),""))</f>
        <v/>
      </c>
      <c r="V410" s="2" t="str">
        <f>IF($D410="","",IFERROR(INDEX(DB_Artwork_Sizes_Export!$F:$F,MATCH($D410,DB_Artwork_Sizes_Export!$B:$B,0)),""))</f>
        <v/>
      </c>
      <c r="W410" s="2" t="str">
        <f t="shared" si="62"/>
        <v/>
      </c>
      <c r="X410" s="2"/>
      <c r="Y410" s="2"/>
      <c r="Z410" s="2"/>
      <c r="AA410" s="2"/>
      <c r="AB410" s="2"/>
      <c r="AC410" s="2"/>
      <c r="AD410" s="2"/>
      <c r="AE410" s="2"/>
      <c r="AF410" s="2" t="str">
        <f t="shared" si="63"/>
        <v/>
      </c>
      <c r="AG410" s="2" t="str">
        <f t="shared" si="64"/>
        <v/>
      </c>
      <c r="AH410" s="2" t="str">
        <f>IF($AG410="","",IFERROR(VLOOKUP($AG410,DB_Categories_Export!$A:$B,2,FALSE()),"INVALID CATEGORY"))</f>
        <v/>
      </c>
      <c r="AI410" s="2" t="str">
        <f t="shared" si="65"/>
        <v/>
      </c>
      <c r="AJ410" s="2" t="str">
        <f t="shared" si="66"/>
        <v/>
      </c>
      <c r="AK410" s="2" t="str">
        <f t="shared" si="67"/>
        <v/>
      </c>
      <c r="AL410" s="2" t="str">
        <f t="shared" si="68"/>
        <v/>
      </c>
      <c r="AM410" s="2" t="str">
        <f t="shared" si="69"/>
        <v/>
      </c>
      <c r="AN410" s="2"/>
      <c r="AO410" s="2"/>
    </row>
    <row r="411" spans="1:41" ht="12" customHeight="1" x14ac:dyDescent="0.3">
      <c r="A411" s="2"/>
      <c r="B411" s="2" t="str">
        <f t="shared" si="60"/>
        <v/>
      </c>
      <c r="C411" s="2" t="str">
        <f t="shared" si="61"/>
        <v/>
      </c>
      <c r="D411" s="2" t="str">
        <f>IF(DB_Artworks_Export!A411="","",DB_Artworks_Export!A411)</f>
        <v/>
      </c>
      <c r="E411" s="2" t="str">
        <f>IF(DB_Artworks_Export!B411="","",DB_Artworks_Export!B411)</f>
        <v/>
      </c>
      <c r="F411" s="2" t="str">
        <f>IF(DB_Artworks_Export!C411="","",DB_Artworks_Export!C411)</f>
        <v/>
      </c>
      <c r="G411" s="2" t="str">
        <f>IF(DB_Artworks_Export!D411="","",DB_Artworks_Export!D411)</f>
        <v/>
      </c>
      <c r="H411" s="2" t="str">
        <f>IF(DB_Artworks_Export!E411="","",DB_Artworks_Export!E411)</f>
        <v/>
      </c>
      <c r="I411" s="2" t="str">
        <f>IF(DB_Artworks_Export!F411="","",DB_Artworks_Export!F411)</f>
        <v/>
      </c>
      <c r="J411" s="2" t="str">
        <f>IF(DB_Artworks_Export!G411="","",DB_Artworks_Export!G411)</f>
        <v/>
      </c>
      <c r="K411" s="2" t="str">
        <f>IF(DB_Artworks_Export!H411="","",DB_Artworks_Export!H411)</f>
        <v/>
      </c>
      <c r="L411" s="2" t="str">
        <f>IF(DB_Artworks_Export!I411="","",DB_Artworks_Export!I411)</f>
        <v/>
      </c>
      <c r="M411" s="2" t="str">
        <f>IF(DB_Artworks_Export!J411="","",DB_Artworks_Export!J411)</f>
        <v/>
      </c>
      <c r="N411" s="2" t="str">
        <f>IF(DB_Artworks_Export!K411="","",DB_Artworks_Export!K411)</f>
        <v/>
      </c>
      <c r="O411" s="2" t="str">
        <f>IF(DB_Artworks_Export!L411="","",DB_Artworks_Export!L411)</f>
        <v/>
      </c>
      <c r="P411" s="2" t="str">
        <f>IF(DB_Artworks_Export!M411="","",DB_Artworks_Export!M411)</f>
        <v/>
      </c>
      <c r="Q411" s="2" t="str">
        <f>IF(DB_Artworks_Export!N411="","",DB_Artworks_Export!N411)</f>
        <v/>
      </c>
      <c r="R411" s="2" t="str">
        <f>IF($D411="","",IF(COUNTIF(DB_Categories_Export!$A:$A,$F411)&gt;0,"OK","INVALID CATEGORY"))</f>
        <v/>
      </c>
      <c r="S411" s="2" t="str">
        <f>IF($D411="","",COUNTIF(DB_Artwork_Sizes_Export!$B:$B,$D411))</f>
        <v/>
      </c>
      <c r="T411" s="2" t="str">
        <f>IF($D411="","",IFERROR(INDEX(DB_Artwork_Sizes_Export!$D:$D,MATCH($D411,DB_Artwork_Sizes_Export!$B:$B,0)),""))</f>
        <v/>
      </c>
      <c r="U411" s="2" t="str">
        <f>IF($D411="","",IFERROR(INDEX(DB_Artwork_Sizes_Export!$E:$E,MATCH($D411,DB_Artwork_Sizes_Export!$B:$B,0)),""))</f>
        <v/>
      </c>
      <c r="V411" s="2" t="str">
        <f>IF($D411="","",IFERROR(INDEX(DB_Artwork_Sizes_Export!$F:$F,MATCH($D411,DB_Artwork_Sizes_Export!$B:$B,0)),""))</f>
        <v/>
      </c>
      <c r="W411" s="2" t="str">
        <f t="shared" si="62"/>
        <v/>
      </c>
      <c r="X411" s="2"/>
      <c r="Y411" s="2"/>
      <c r="Z411" s="2"/>
      <c r="AA411" s="2"/>
      <c r="AB411" s="2"/>
      <c r="AC411" s="2"/>
      <c r="AD411" s="2"/>
      <c r="AE411" s="2"/>
      <c r="AF411" s="2" t="str">
        <f t="shared" si="63"/>
        <v/>
      </c>
      <c r="AG411" s="2" t="str">
        <f t="shared" si="64"/>
        <v/>
      </c>
      <c r="AH411" s="2" t="str">
        <f>IF($AG411="","",IFERROR(VLOOKUP($AG411,DB_Categories_Export!$A:$B,2,FALSE()),"INVALID CATEGORY"))</f>
        <v/>
      </c>
      <c r="AI411" s="2" t="str">
        <f t="shared" si="65"/>
        <v/>
      </c>
      <c r="AJ411" s="2" t="str">
        <f t="shared" si="66"/>
        <v/>
      </c>
      <c r="AK411" s="2" t="str">
        <f t="shared" si="67"/>
        <v/>
      </c>
      <c r="AL411" s="2" t="str">
        <f t="shared" si="68"/>
        <v/>
      </c>
      <c r="AM411" s="2" t="str">
        <f t="shared" si="69"/>
        <v/>
      </c>
      <c r="AN411" s="2"/>
      <c r="AO411" s="2"/>
    </row>
    <row r="412" spans="1:41" ht="12" customHeight="1" x14ac:dyDescent="0.3">
      <c r="A412" s="2"/>
      <c r="B412" s="2" t="str">
        <f t="shared" si="60"/>
        <v/>
      </c>
      <c r="C412" s="2" t="str">
        <f t="shared" si="61"/>
        <v/>
      </c>
      <c r="D412" s="2" t="str">
        <f>IF(DB_Artworks_Export!A412="","",DB_Artworks_Export!A412)</f>
        <v/>
      </c>
      <c r="E412" s="2" t="str">
        <f>IF(DB_Artworks_Export!B412="","",DB_Artworks_Export!B412)</f>
        <v/>
      </c>
      <c r="F412" s="2" t="str">
        <f>IF(DB_Artworks_Export!C412="","",DB_Artworks_Export!C412)</f>
        <v/>
      </c>
      <c r="G412" s="2" t="str">
        <f>IF(DB_Artworks_Export!D412="","",DB_Artworks_Export!D412)</f>
        <v/>
      </c>
      <c r="H412" s="2" t="str">
        <f>IF(DB_Artworks_Export!E412="","",DB_Artworks_Export!E412)</f>
        <v/>
      </c>
      <c r="I412" s="2" t="str">
        <f>IF(DB_Artworks_Export!F412="","",DB_Artworks_Export!F412)</f>
        <v/>
      </c>
      <c r="J412" s="2" t="str">
        <f>IF(DB_Artworks_Export!G412="","",DB_Artworks_Export!G412)</f>
        <v/>
      </c>
      <c r="K412" s="2" t="str">
        <f>IF(DB_Artworks_Export!H412="","",DB_Artworks_Export!H412)</f>
        <v/>
      </c>
      <c r="L412" s="2" t="str">
        <f>IF(DB_Artworks_Export!I412="","",DB_Artworks_Export!I412)</f>
        <v/>
      </c>
      <c r="M412" s="2" t="str">
        <f>IF(DB_Artworks_Export!J412="","",DB_Artworks_Export!J412)</f>
        <v/>
      </c>
      <c r="N412" s="2" t="str">
        <f>IF(DB_Artworks_Export!K412="","",DB_Artworks_Export!K412)</f>
        <v/>
      </c>
      <c r="O412" s="2" t="str">
        <f>IF(DB_Artworks_Export!L412="","",DB_Artworks_Export!L412)</f>
        <v/>
      </c>
      <c r="P412" s="2" t="str">
        <f>IF(DB_Artworks_Export!M412="","",DB_Artworks_Export!M412)</f>
        <v/>
      </c>
      <c r="Q412" s="2" t="str">
        <f>IF(DB_Artworks_Export!N412="","",DB_Artworks_Export!N412)</f>
        <v/>
      </c>
      <c r="R412" s="2" t="str">
        <f>IF($D412="","",IF(COUNTIF(DB_Categories_Export!$A:$A,$F412)&gt;0,"OK","INVALID CATEGORY"))</f>
        <v/>
      </c>
      <c r="S412" s="2" t="str">
        <f>IF($D412="","",COUNTIF(DB_Artwork_Sizes_Export!$B:$B,$D412))</f>
        <v/>
      </c>
      <c r="T412" s="2" t="str">
        <f>IF($D412="","",IFERROR(INDEX(DB_Artwork_Sizes_Export!$D:$D,MATCH($D412,DB_Artwork_Sizes_Export!$B:$B,0)),""))</f>
        <v/>
      </c>
      <c r="U412" s="2" t="str">
        <f>IF($D412="","",IFERROR(INDEX(DB_Artwork_Sizes_Export!$E:$E,MATCH($D412,DB_Artwork_Sizes_Export!$B:$B,0)),""))</f>
        <v/>
      </c>
      <c r="V412" s="2" t="str">
        <f>IF($D412="","",IFERROR(INDEX(DB_Artwork_Sizes_Export!$F:$F,MATCH($D412,DB_Artwork_Sizes_Export!$B:$B,0)),""))</f>
        <v/>
      </c>
      <c r="W412" s="2" t="str">
        <f t="shared" si="62"/>
        <v/>
      </c>
      <c r="X412" s="2"/>
      <c r="Y412" s="2"/>
      <c r="Z412" s="2"/>
      <c r="AA412" s="2"/>
      <c r="AB412" s="2"/>
      <c r="AC412" s="2"/>
      <c r="AD412" s="2"/>
      <c r="AE412" s="2"/>
      <c r="AF412" s="2" t="str">
        <f t="shared" si="63"/>
        <v/>
      </c>
      <c r="AG412" s="2" t="str">
        <f t="shared" si="64"/>
        <v/>
      </c>
      <c r="AH412" s="2" t="str">
        <f>IF($AG412="","",IFERROR(VLOOKUP($AG412,DB_Categories_Export!$A:$B,2,FALSE()),"INVALID CATEGORY"))</f>
        <v/>
      </c>
      <c r="AI412" s="2" t="str">
        <f t="shared" si="65"/>
        <v/>
      </c>
      <c r="AJ412" s="2" t="str">
        <f t="shared" si="66"/>
        <v/>
      </c>
      <c r="AK412" s="2" t="str">
        <f t="shared" si="67"/>
        <v/>
      </c>
      <c r="AL412" s="2" t="str">
        <f t="shared" si="68"/>
        <v/>
      </c>
      <c r="AM412" s="2" t="str">
        <f t="shared" si="69"/>
        <v/>
      </c>
      <c r="AN412" s="2"/>
      <c r="AO412" s="2"/>
    </row>
    <row r="413" spans="1:41" ht="12" customHeight="1" x14ac:dyDescent="0.3">
      <c r="A413" s="2"/>
      <c r="B413" s="2" t="str">
        <f t="shared" si="60"/>
        <v/>
      </c>
      <c r="C413" s="2" t="str">
        <f t="shared" si="61"/>
        <v/>
      </c>
      <c r="D413" s="2" t="str">
        <f>IF(DB_Artworks_Export!A413="","",DB_Artworks_Export!A413)</f>
        <v/>
      </c>
      <c r="E413" s="2" t="str">
        <f>IF(DB_Artworks_Export!B413="","",DB_Artworks_Export!B413)</f>
        <v/>
      </c>
      <c r="F413" s="2" t="str">
        <f>IF(DB_Artworks_Export!C413="","",DB_Artworks_Export!C413)</f>
        <v/>
      </c>
      <c r="G413" s="2" t="str">
        <f>IF(DB_Artworks_Export!D413="","",DB_Artworks_Export!D413)</f>
        <v/>
      </c>
      <c r="H413" s="2" t="str">
        <f>IF(DB_Artworks_Export!E413="","",DB_Artworks_Export!E413)</f>
        <v/>
      </c>
      <c r="I413" s="2" t="str">
        <f>IF(DB_Artworks_Export!F413="","",DB_Artworks_Export!F413)</f>
        <v/>
      </c>
      <c r="J413" s="2" t="str">
        <f>IF(DB_Artworks_Export!G413="","",DB_Artworks_Export!G413)</f>
        <v/>
      </c>
      <c r="K413" s="2" t="str">
        <f>IF(DB_Artworks_Export!H413="","",DB_Artworks_Export!H413)</f>
        <v/>
      </c>
      <c r="L413" s="2" t="str">
        <f>IF(DB_Artworks_Export!I413="","",DB_Artworks_Export!I413)</f>
        <v/>
      </c>
      <c r="M413" s="2" t="str">
        <f>IF(DB_Artworks_Export!J413="","",DB_Artworks_Export!J413)</f>
        <v/>
      </c>
      <c r="N413" s="2" t="str">
        <f>IF(DB_Artworks_Export!K413="","",DB_Artworks_Export!K413)</f>
        <v/>
      </c>
      <c r="O413" s="2" t="str">
        <f>IF(DB_Artworks_Export!L413="","",DB_Artworks_Export!L413)</f>
        <v/>
      </c>
      <c r="P413" s="2" t="str">
        <f>IF(DB_Artworks_Export!M413="","",DB_Artworks_Export!M413)</f>
        <v/>
      </c>
      <c r="Q413" s="2" t="str">
        <f>IF(DB_Artworks_Export!N413="","",DB_Artworks_Export!N413)</f>
        <v/>
      </c>
      <c r="R413" s="2" t="str">
        <f>IF($D413="","",IF(COUNTIF(DB_Categories_Export!$A:$A,$F413)&gt;0,"OK","INVALID CATEGORY"))</f>
        <v/>
      </c>
      <c r="S413" s="2" t="str">
        <f>IF($D413="","",COUNTIF(DB_Artwork_Sizes_Export!$B:$B,$D413))</f>
        <v/>
      </c>
      <c r="T413" s="2" t="str">
        <f>IF($D413="","",IFERROR(INDEX(DB_Artwork_Sizes_Export!$D:$D,MATCH($D413,DB_Artwork_Sizes_Export!$B:$B,0)),""))</f>
        <v/>
      </c>
      <c r="U413" s="2" t="str">
        <f>IF($D413="","",IFERROR(INDEX(DB_Artwork_Sizes_Export!$E:$E,MATCH($D413,DB_Artwork_Sizes_Export!$B:$B,0)),""))</f>
        <v/>
      </c>
      <c r="V413" s="2" t="str">
        <f>IF($D413="","",IFERROR(INDEX(DB_Artwork_Sizes_Export!$F:$F,MATCH($D413,DB_Artwork_Sizes_Export!$B:$B,0)),""))</f>
        <v/>
      </c>
      <c r="W413" s="2" t="str">
        <f t="shared" si="62"/>
        <v/>
      </c>
      <c r="X413" s="2"/>
      <c r="Y413" s="2"/>
      <c r="Z413" s="2"/>
      <c r="AA413" s="2"/>
      <c r="AB413" s="2"/>
      <c r="AC413" s="2"/>
      <c r="AD413" s="2"/>
      <c r="AE413" s="2"/>
      <c r="AF413" s="2" t="str">
        <f t="shared" si="63"/>
        <v/>
      </c>
      <c r="AG413" s="2" t="str">
        <f t="shared" si="64"/>
        <v/>
      </c>
      <c r="AH413" s="2" t="str">
        <f>IF($AG413="","",IFERROR(VLOOKUP($AG413,DB_Categories_Export!$A:$B,2,FALSE()),"INVALID CATEGORY"))</f>
        <v/>
      </c>
      <c r="AI413" s="2" t="str">
        <f t="shared" si="65"/>
        <v/>
      </c>
      <c r="AJ413" s="2" t="str">
        <f t="shared" si="66"/>
        <v/>
      </c>
      <c r="AK413" s="2" t="str">
        <f t="shared" si="67"/>
        <v/>
      </c>
      <c r="AL413" s="2" t="str">
        <f t="shared" si="68"/>
        <v/>
      </c>
      <c r="AM413" s="2" t="str">
        <f t="shared" si="69"/>
        <v/>
      </c>
      <c r="AN413" s="2"/>
      <c r="AO413" s="2"/>
    </row>
    <row r="414" spans="1:41" ht="12" customHeight="1" x14ac:dyDescent="0.3">
      <c r="A414" s="2"/>
      <c r="B414" s="2" t="str">
        <f t="shared" si="60"/>
        <v/>
      </c>
      <c r="C414" s="2" t="str">
        <f t="shared" si="61"/>
        <v/>
      </c>
      <c r="D414" s="2" t="str">
        <f>IF(DB_Artworks_Export!A414="","",DB_Artworks_Export!A414)</f>
        <v/>
      </c>
      <c r="E414" s="2" t="str">
        <f>IF(DB_Artworks_Export!B414="","",DB_Artworks_Export!B414)</f>
        <v/>
      </c>
      <c r="F414" s="2" t="str">
        <f>IF(DB_Artworks_Export!C414="","",DB_Artworks_Export!C414)</f>
        <v/>
      </c>
      <c r="G414" s="2" t="str">
        <f>IF(DB_Artworks_Export!D414="","",DB_Artworks_Export!D414)</f>
        <v/>
      </c>
      <c r="H414" s="2" t="str">
        <f>IF(DB_Artworks_Export!E414="","",DB_Artworks_Export!E414)</f>
        <v/>
      </c>
      <c r="I414" s="2" t="str">
        <f>IF(DB_Artworks_Export!F414="","",DB_Artworks_Export!F414)</f>
        <v/>
      </c>
      <c r="J414" s="2" t="str">
        <f>IF(DB_Artworks_Export!G414="","",DB_Artworks_Export!G414)</f>
        <v/>
      </c>
      <c r="K414" s="2" t="str">
        <f>IF(DB_Artworks_Export!H414="","",DB_Artworks_Export!H414)</f>
        <v/>
      </c>
      <c r="L414" s="2" t="str">
        <f>IF(DB_Artworks_Export!I414="","",DB_Artworks_Export!I414)</f>
        <v/>
      </c>
      <c r="M414" s="2" t="str">
        <f>IF(DB_Artworks_Export!J414="","",DB_Artworks_Export!J414)</f>
        <v/>
      </c>
      <c r="N414" s="2" t="str">
        <f>IF(DB_Artworks_Export!K414="","",DB_Artworks_Export!K414)</f>
        <v/>
      </c>
      <c r="O414" s="2" t="str">
        <f>IF(DB_Artworks_Export!L414="","",DB_Artworks_Export!L414)</f>
        <v/>
      </c>
      <c r="P414" s="2" t="str">
        <f>IF(DB_Artworks_Export!M414="","",DB_Artworks_Export!M414)</f>
        <v/>
      </c>
      <c r="Q414" s="2" t="str">
        <f>IF(DB_Artworks_Export!N414="","",DB_Artworks_Export!N414)</f>
        <v/>
      </c>
      <c r="R414" s="2" t="str">
        <f>IF($D414="","",IF(COUNTIF(DB_Categories_Export!$A:$A,$F414)&gt;0,"OK","INVALID CATEGORY"))</f>
        <v/>
      </c>
      <c r="S414" s="2" t="str">
        <f>IF($D414="","",COUNTIF(DB_Artwork_Sizes_Export!$B:$B,$D414))</f>
        <v/>
      </c>
      <c r="T414" s="2" t="str">
        <f>IF($D414="","",IFERROR(INDEX(DB_Artwork_Sizes_Export!$D:$D,MATCH($D414,DB_Artwork_Sizes_Export!$B:$B,0)),""))</f>
        <v/>
      </c>
      <c r="U414" s="2" t="str">
        <f>IF($D414="","",IFERROR(INDEX(DB_Artwork_Sizes_Export!$E:$E,MATCH($D414,DB_Artwork_Sizes_Export!$B:$B,0)),""))</f>
        <v/>
      </c>
      <c r="V414" s="2" t="str">
        <f>IF($D414="","",IFERROR(INDEX(DB_Artwork_Sizes_Export!$F:$F,MATCH($D414,DB_Artwork_Sizes_Export!$B:$B,0)),""))</f>
        <v/>
      </c>
      <c r="W414" s="2" t="str">
        <f t="shared" si="62"/>
        <v/>
      </c>
      <c r="X414" s="2"/>
      <c r="Y414" s="2"/>
      <c r="Z414" s="2"/>
      <c r="AA414" s="2"/>
      <c r="AB414" s="2"/>
      <c r="AC414" s="2"/>
      <c r="AD414" s="2"/>
      <c r="AE414" s="2"/>
      <c r="AF414" s="2" t="str">
        <f t="shared" si="63"/>
        <v/>
      </c>
      <c r="AG414" s="2" t="str">
        <f t="shared" si="64"/>
        <v/>
      </c>
      <c r="AH414" s="2" t="str">
        <f>IF($AG414="","",IFERROR(VLOOKUP($AG414,DB_Categories_Export!$A:$B,2,FALSE()),"INVALID CATEGORY"))</f>
        <v/>
      </c>
      <c r="AI414" s="2" t="str">
        <f t="shared" si="65"/>
        <v/>
      </c>
      <c r="AJ414" s="2" t="str">
        <f t="shared" si="66"/>
        <v/>
      </c>
      <c r="AK414" s="2" t="str">
        <f t="shared" si="67"/>
        <v/>
      </c>
      <c r="AL414" s="2" t="str">
        <f t="shared" si="68"/>
        <v/>
      </c>
      <c r="AM414" s="2" t="str">
        <f t="shared" si="69"/>
        <v/>
      </c>
      <c r="AN414" s="2"/>
      <c r="AO414" s="2"/>
    </row>
    <row r="415" spans="1:41" ht="12" customHeight="1" x14ac:dyDescent="0.3">
      <c r="A415" s="2"/>
      <c r="B415" s="2" t="str">
        <f t="shared" si="60"/>
        <v/>
      </c>
      <c r="C415" s="2" t="str">
        <f t="shared" si="61"/>
        <v/>
      </c>
      <c r="D415" s="2" t="str">
        <f>IF(DB_Artworks_Export!A415="","",DB_Artworks_Export!A415)</f>
        <v/>
      </c>
      <c r="E415" s="2" t="str">
        <f>IF(DB_Artworks_Export!B415="","",DB_Artworks_Export!B415)</f>
        <v/>
      </c>
      <c r="F415" s="2" t="str">
        <f>IF(DB_Artworks_Export!C415="","",DB_Artworks_Export!C415)</f>
        <v/>
      </c>
      <c r="G415" s="2" t="str">
        <f>IF(DB_Artworks_Export!D415="","",DB_Artworks_Export!D415)</f>
        <v/>
      </c>
      <c r="H415" s="2" t="str">
        <f>IF(DB_Artworks_Export!E415="","",DB_Artworks_Export!E415)</f>
        <v/>
      </c>
      <c r="I415" s="2" t="str">
        <f>IF(DB_Artworks_Export!F415="","",DB_Artworks_Export!F415)</f>
        <v/>
      </c>
      <c r="J415" s="2" t="str">
        <f>IF(DB_Artworks_Export!G415="","",DB_Artworks_Export!G415)</f>
        <v/>
      </c>
      <c r="K415" s="2" t="str">
        <f>IF(DB_Artworks_Export!H415="","",DB_Artworks_Export!H415)</f>
        <v/>
      </c>
      <c r="L415" s="2" t="str">
        <f>IF(DB_Artworks_Export!I415="","",DB_Artworks_Export!I415)</f>
        <v/>
      </c>
      <c r="M415" s="2" t="str">
        <f>IF(DB_Artworks_Export!J415="","",DB_Artworks_Export!J415)</f>
        <v/>
      </c>
      <c r="N415" s="2" t="str">
        <f>IF(DB_Artworks_Export!K415="","",DB_Artworks_Export!K415)</f>
        <v/>
      </c>
      <c r="O415" s="2" t="str">
        <f>IF(DB_Artworks_Export!L415="","",DB_Artworks_Export!L415)</f>
        <v/>
      </c>
      <c r="P415" s="2" t="str">
        <f>IF(DB_Artworks_Export!M415="","",DB_Artworks_Export!M415)</f>
        <v/>
      </c>
      <c r="Q415" s="2" t="str">
        <f>IF(DB_Artworks_Export!N415="","",DB_Artworks_Export!N415)</f>
        <v/>
      </c>
      <c r="R415" s="2" t="str">
        <f>IF($D415="","",IF(COUNTIF(DB_Categories_Export!$A:$A,$F415)&gt;0,"OK","INVALID CATEGORY"))</f>
        <v/>
      </c>
      <c r="S415" s="2" t="str">
        <f>IF($D415="","",COUNTIF(DB_Artwork_Sizes_Export!$B:$B,$D415))</f>
        <v/>
      </c>
      <c r="T415" s="2" t="str">
        <f>IF($D415="","",IFERROR(INDEX(DB_Artwork_Sizes_Export!$D:$D,MATCH($D415,DB_Artwork_Sizes_Export!$B:$B,0)),""))</f>
        <v/>
      </c>
      <c r="U415" s="2" t="str">
        <f>IF($D415="","",IFERROR(INDEX(DB_Artwork_Sizes_Export!$E:$E,MATCH($D415,DB_Artwork_Sizes_Export!$B:$B,0)),""))</f>
        <v/>
      </c>
      <c r="V415" s="2" t="str">
        <f>IF($D415="","",IFERROR(INDEX(DB_Artwork_Sizes_Export!$F:$F,MATCH($D415,DB_Artwork_Sizes_Export!$B:$B,0)),""))</f>
        <v/>
      </c>
      <c r="W415" s="2" t="str">
        <f t="shared" si="62"/>
        <v/>
      </c>
      <c r="X415" s="2"/>
      <c r="Y415" s="2"/>
      <c r="Z415" s="2"/>
      <c r="AA415" s="2"/>
      <c r="AB415" s="2"/>
      <c r="AC415" s="2"/>
      <c r="AD415" s="2"/>
      <c r="AE415" s="2"/>
      <c r="AF415" s="2" t="str">
        <f t="shared" si="63"/>
        <v/>
      </c>
      <c r="AG415" s="2" t="str">
        <f t="shared" si="64"/>
        <v/>
      </c>
      <c r="AH415" s="2" t="str">
        <f>IF($AG415="","",IFERROR(VLOOKUP($AG415,DB_Categories_Export!$A:$B,2,FALSE()),"INVALID CATEGORY"))</f>
        <v/>
      </c>
      <c r="AI415" s="2" t="str">
        <f t="shared" si="65"/>
        <v/>
      </c>
      <c r="AJ415" s="2" t="str">
        <f t="shared" si="66"/>
        <v/>
      </c>
      <c r="AK415" s="2" t="str">
        <f t="shared" si="67"/>
        <v/>
      </c>
      <c r="AL415" s="2" t="str">
        <f t="shared" si="68"/>
        <v/>
      </c>
      <c r="AM415" s="2" t="str">
        <f t="shared" si="69"/>
        <v/>
      </c>
      <c r="AN415" s="2"/>
      <c r="AO415" s="2"/>
    </row>
    <row r="416" spans="1:41" ht="12" customHeight="1" x14ac:dyDescent="0.3">
      <c r="A416" s="2"/>
      <c r="B416" s="2" t="str">
        <f t="shared" si="60"/>
        <v/>
      </c>
      <c r="C416" s="2" t="str">
        <f t="shared" si="61"/>
        <v/>
      </c>
      <c r="D416" s="2" t="str">
        <f>IF(DB_Artworks_Export!A416="","",DB_Artworks_Export!A416)</f>
        <v/>
      </c>
      <c r="E416" s="2" t="str">
        <f>IF(DB_Artworks_Export!B416="","",DB_Artworks_Export!B416)</f>
        <v/>
      </c>
      <c r="F416" s="2" t="str">
        <f>IF(DB_Artworks_Export!C416="","",DB_Artworks_Export!C416)</f>
        <v/>
      </c>
      <c r="G416" s="2" t="str">
        <f>IF(DB_Artworks_Export!D416="","",DB_Artworks_Export!D416)</f>
        <v/>
      </c>
      <c r="H416" s="2" t="str">
        <f>IF(DB_Artworks_Export!E416="","",DB_Artworks_Export!E416)</f>
        <v/>
      </c>
      <c r="I416" s="2" t="str">
        <f>IF(DB_Artworks_Export!F416="","",DB_Artworks_Export!F416)</f>
        <v/>
      </c>
      <c r="J416" s="2" t="str">
        <f>IF(DB_Artworks_Export!G416="","",DB_Artworks_Export!G416)</f>
        <v/>
      </c>
      <c r="K416" s="2" t="str">
        <f>IF(DB_Artworks_Export!H416="","",DB_Artworks_Export!H416)</f>
        <v/>
      </c>
      <c r="L416" s="2" t="str">
        <f>IF(DB_Artworks_Export!I416="","",DB_Artworks_Export!I416)</f>
        <v/>
      </c>
      <c r="M416" s="2" t="str">
        <f>IF(DB_Artworks_Export!J416="","",DB_Artworks_Export!J416)</f>
        <v/>
      </c>
      <c r="N416" s="2" t="str">
        <f>IF(DB_Artworks_Export!K416="","",DB_Artworks_Export!K416)</f>
        <v/>
      </c>
      <c r="O416" s="2" t="str">
        <f>IF(DB_Artworks_Export!L416="","",DB_Artworks_Export!L416)</f>
        <v/>
      </c>
      <c r="P416" s="2" t="str">
        <f>IF(DB_Artworks_Export!M416="","",DB_Artworks_Export!M416)</f>
        <v/>
      </c>
      <c r="Q416" s="2" t="str">
        <f>IF(DB_Artworks_Export!N416="","",DB_Artworks_Export!N416)</f>
        <v/>
      </c>
      <c r="R416" s="2" t="str">
        <f>IF($D416="","",IF(COUNTIF(DB_Categories_Export!$A:$A,$F416)&gt;0,"OK","INVALID CATEGORY"))</f>
        <v/>
      </c>
      <c r="S416" s="2" t="str">
        <f>IF($D416="","",COUNTIF(DB_Artwork_Sizes_Export!$B:$B,$D416))</f>
        <v/>
      </c>
      <c r="T416" s="2" t="str">
        <f>IF($D416="","",IFERROR(INDEX(DB_Artwork_Sizes_Export!$D:$D,MATCH($D416,DB_Artwork_Sizes_Export!$B:$B,0)),""))</f>
        <v/>
      </c>
      <c r="U416" s="2" t="str">
        <f>IF($D416="","",IFERROR(INDEX(DB_Artwork_Sizes_Export!$E:$E,MATCH($D416,DB_Artwork_Sizes_Export!$B:$B,0)),""))</f>
        <v/>
      </c>
      <c r="V416" s="2" t="str">
        <f>IF($D416="","",IFERROR(INDEX(DB_Artwork_Sizes_Export!$F:$F,MATCH($D416,DB_Artwork_Sizes_Export!$B:$B,0)),""))</f>
        <v/>
      </c>
      <c r="W416" s="2" t="str">
        <f t="shared" si="62"/>
        <v/>
      </c>
      <c r="X416" s="2"/>
      <c r="Y416" s="2"/>
      <c r="Z416" s="2"/>
      <c r="AA416" s="2"/>
      <c r="AB416" s="2"/>
      <c r="AC416" s="2"/>
      <c r="AD416" s="2"/>
      <c r="AE416" s="2"/>
      <c r="AF416" s="2" t="str">
        <f t="shared" si="63"/>
        <v/>
      </c>
      <c r="AG416" s="2" t="str">
        <f t="shared" si="64"/>
        <v/>
      </c>
      <c r="AH416" s="2" t="str">
        <f>IF($AG416="","",IFERROR(VLOOKUP($AG416,DB_Categories_Export!$A:$B,2,FALSE()),"INVALID CATEGORY"))</f>
        <v/>
      </c>
      <c r="AI416" s="2" t="str">
        <f t="shared" si="65"/>
        <v/>
      </c>
      <c r="AJ416" s="2" t="str">
        <f t="shared" si="66"/>
        <v/>
      </c>
      <c r="AK416" s="2" t="str">
        <f t="shared" si="67"/>
        <v/>
      </c>
      <c r="AL416" s="2" t="str">
        <f t="shared" si="68"/>
        <v/>
      </c>
      <c r="AM416" s="2" t="str">
        <f t="shared" si="69"/>
        <v/>
      </c>
      <c r="AN416" s="2"/>
      <c r="AO416" s="2"/>
    </row>
    <row r="417" spans="1:41" ht="12" customHeight="1" x14ac:dyDescent="0.3">
      <c r="A417" s="2"/>
      <c r="B417" s="2" t="str">
        <f t="shared" si="60"/>
        <v/>
      </c>
      <c r="C417" s="2" t="str">
        <f t="shared" si="61"/>
        <v/>
      </c>
      <c r="D417" s="2" t="str">
        <f>IF(DB_Artworks_Export!A417="","",DB_Artworks_Export!A417)</f>
        <v/>
      </c>
      <c r="E417" s="2" t="str">
        <f>IF(DB_Artworks_Export!B417="","",DB_Artworks_Export!B417)</f>
        <v/>
      </c>
      <c r="F417" s="2" t="str">
        <f>IF(DB_Artworks_Export!C417="","",DB_Artworks_Export!C417)</f>
        <v/>
      </c>
      <c r="G417" s="2" t="str">
        <f>IF(DB_Artworks_Export!D417="","",DB_Artworks_Export!D417)</f>
        <v/>
      </c>
      <c r="H417" s="2" t="str">
        <f>IF(DB_Artworks_Export!E417="","",DB_Artworks_Export!E417)</f>
        <v/>
      </c>
      <c r="I417" s="2" t="str">
        <f>IF(DB_Artworks_Export!F417="","",DB_Artworks_Export!F417)</f>
        <v/>
      </c>
      <c r="J417" s="2" t="str">
        <f>IF(DB_Artworks_Export!G417="","",DB_Artworks_Export!G417)</f>
        <v/>
      </c>
      <c r="K417" s="2" t="str">
        <f>IF(DB_Artworks_Export!H417="","",DB_Artworks_Export!H417)</f>
        <v/>
      </c>
      <c r="L417" s="2" t="str">
        <f>IF(DB_Artworks_Export!I417="","",DB_Artworks_Export!I417)</f>
        <v/>
      </c>
      <c r="M417" s="2" t="str">
        <f>IF(DB_Artworks_Export!J417="","",DB_Artworks_Export!J417)</f>
        <v/>
      </c>
      <c r="N417" s="2" t="str">
        <f>IF(DB_Artworks_Export!K417="","",DB_Artworks_Export!K417)</f>
        <v/>
      </c>
      <c r="O417" s="2" t="str">
        <f>IF(DB_Artworks_Export!L417="","",DB_Artworks_Export!L417)</f>
        <v/>
      </c>
      <c r="P417" s="2" t="str">
        <f>IF(DB_Artworks_Export!M417="","",DB_Artworks_Export!M417)</f>
        <v/>
      </c>
      <c r="Q417" s="2" t="str">
        <f>IF(DB_Artworks_Export!N417="","",DB_Artworks_Export!N417)</f>
        <v/>
      </c>
      <c r="R417" s="2" t="str">
        <f>IF($D417="","",IF(COUNTIF(DB_Categories_Export!$A:$A,$F417)&gt;0,"OK","INVALID CATEGORY"))</f>
        <v/>
      </c>
      <c r="S417" s="2" t="str">
        <f>IF($D417="","",COUNTIF(DB_Artwork_Sizes_Export!$B:$B,$D417))</f>
        <v/>
      </c>
      <c r="T417" s="2" t="str">
        <f>IF($D417="","",IFERROR(INDEX(DB_Artwork_Sizes_Export!$D:$D,MATCH($D417,DB_Artwork_Sizes_Export!$B:$B,0)),""))</f>
        <v/>
      </c>
      <c r="U417" s="2" t="str">
        <f>IF($D417="","",IFERROR(INDEX(DB_Artwork_Sizes_Export!$E:$E,MATCH($D417,DB_Artwork_Sizes_Export!$B:$B,0)),""))</f>
        <v/>
      </c>
      <c r="V417" s="2" t="str">
        <f>IF($D417="","",IFERROR(INDEX(DB_Artwork_Sizes_Export!$F:$F,MATCH($D417,DB_Artwork_Sizes_Export!$B:$B,0)),""))</f>
        <v/>
      </c>
      <c r="W417" s="2" t="str">
        <f t="shared" si="62"/>
        <v/>
      </c>
      <c r="X417" s="2"/>
      <c r="Y417" s="2"/>
      <c r="Z417" s="2"/>
      <c r="AA417" s="2"/>
      <c r="AB417" s="2"/>
      <c r="AC417" s="2"/>
      <c r="AD417" s="2"/>
      <c r="AE417" s="2"/>
      <c r="AF417" s="2" t="str">
        <f t="shared" si="63"/>
        <v/>
      </c>
      <c r="AG417" s="2" t="str">
        <f t="shared" si="64"/>
        <v/>
      </c>
      <c r="AH417" s="2" t="str">
        <f>IF($AG417="","",IFERROR(VLOOKUP($AG417,DB_Categories_Export!$A:$B,2,FALSE()),"INVALID CATEGORY"))</f>
        <v/>
      </c>
      <c r="AI417" s="2" t="str">
        <f t="shared" si="65"/>
        <v/>
      </c>
      <c r="AJ417" s="2" t="str">
        <f t="shared" si="66"/>
        <v/>
      </c>
      <c r="AK417" s="2" t="str">
        <f t="shared" si="67"/>
        <v/>
      </c>
      <c r="AL417" s="2" t="str">
        <f t="shared" si="68"/>
        <v/>
      </c>
      <c r="AM417" s="2" t="str">
        <f t="shared" si="69"/>
        <v/>
      </c>
      <c r="AN417" s="2"/>
      <c r="AO417" s="2"/>
    </row>
    <row r="418" spans="1:41" ht="12" customHeight="1" x14ac:dyDescent="0.3">
      <c r="A418" s="2"/>
      <c r="B418" s="2" t="str">
        <f t="shared" si="60"/>
        <v/>
      </c>
      <c r="C418" s="2" t="str">
        <f t="shared" si="61"/>
        <v/>
      </c>
      <c r="D418" s="2" t="str">
        <f>IF(DB_Artworks_Export!A418="","",DB_Artworks_Export!A418)</f>
        <v/>
      </c>
      <c r="E418" s="2" t="str">
        <f>IF(DB_Artworks_Export!B418="","",DB_Artworks_Export!B418)</f>
        <v/>
      </c>
      <c r="F418" s="2" t="str">
        <f>IF(DB_Artworks_Export!C418="","",DB_Artworks_Export!C418)</f>
        <v/>
      </c>
      <c r="G418" s="2" t="str">
        <f>IF(DB_Artworks_Export!D418="","",DB_Artworks_Export!D418)</f>
        <v/>
      </c>
      <c r="H418" s="2" t="str">
        <f>IF(DB_Artworks_Export!E418="","",DB_Artworks_Export!E418)</f>
        <v/>
      </c>
      <c r="I418" s="2" t="str">
        <f>IF(DB_Artworks_Export!F418="","",DB_Artworks_Export!F418)</f>
        <v/>
      </c>
      <c r="J418" s="2" t="str">
        <f>IF(DB_Artworks_Export!G418="","",DB_Artworks_Export!G418)</f>
        <v/>
      </c>
      <c r="K418" s="2" t="str">
        <f>IF(DB_Artworks_Export!H418="","",DB_Artworks_Export!H418)</f>
        <v/>
      </c>
      <c r="L418" s="2" t="str">
        <f>IF(DB_Artworks_Export!I418="","",DB_Artworks_Export!I418)</f>
        <v/>
      </c>
      <c r="M418" s="2" t="str">
        <f>IF(DB_Artworks_Export!J418="","",DB_Artworks_Export!J418)</f>
        <v/>
      </c>
      <c r="N418" s="2" t="str">
        <f>IF(DB_Artworks_Export!K418="","",DB_Artworks_Export!K418)</f>
        <v/>
      </c>
      <c r="O418" s="2" t="str">
        <f>IF(DB_Artworks_Export!L418="","",DB_Artworks_Export!L418)</f>
        <v/>
      </c>
      <c r="P418" s="2" t="str">
        <f>IF(DB_Artworks_Export!M418="","",DB_Artworks_Export!M418)</f>
        <v/>
      </c>
      <c r="Q418" s="2" t="str">
        <f>IF(DB_Artworks_Export!N418="","",DB_Artworks_Export!N418)</f>
        <v/>
      </c>
      <c r="R418" s="2" t="str">
        <f>IF($D418="","",IF(COUNTIF(DB_Categories_Export!$A:$A,$F418)&gt;0,"OK","INVALID CATEGORY"))</f>
        <v/>
      </c>
      <c r="S418" s="2" t="str">
        <f>IF($D418="","",COUNTIF(DB_Artwork_Sizes_Export!$B:$B,$D418))</f>
        <v/>
      </c>
      <c r="T418" s="2" t="str">
        <f>IF($D418="","",IFERROR(INDEX(DB_Artwork_Sizes_Export!$D:$D,MATCH($D418,DB_Artwork_Sizes_Export!$B:$B,0)),""))</f>
        <v/>
      </c>
      <c r="U418" s="2" t="str">
        <f>IF($D418="","",IFERROR(INDEX(DB_Artwork_Sizes_Export!$E:$E,MATCH($D418,DB_Artwork_Sizes_Export!$B:$B,0)),""))</f>
        <v/>
      </c>
      <c r="V418" s="2" t="str">
        <f>IF($D418="","",IFERROR(INDEX(DB_Artwork_Sizes_Export!$F:$F,MATCH($D418,DB_Artwork_Sizes_Export!$B:$B,0)),""))</f>
        <v/>
      </c>
      <c r="W418" s="2" t="str">
        <f t="shared" si="62"/>
        <v/>
      </c>
      <c r="X418" s="2"/>
      <c r="Y418" s="2"/>
      <c r="Z418" s="2"/>
      <c r="AA418" s="2"/>
      <c r="AB418" s="2"/>
      <c r="AC418" s="2"/>
      <c r="AD418" s="2"/>
      <c r="AE418" s="2"/>
      <c r="AF418" s="2" t="str">
        <f t="shared" si="63"/>
        <v/>
      </c>
      <c r="AG418" s="2" t="str">
        <f t="shared" si="64"/>
        <v/>
      </c>
      <c r="AH418" s="2" t="str">
        <f>IF($AG418="","",IFERROR(VLOOKUP($AG418,DB_Categories_Export!$A:$B,2,FALSE()),"INVALID CATEGORY"))</f>
        <v/>
      </c>
      <c r="AI418" s="2" t="str">
        <f t="shared" si="65"/>
        <v/>
      </c>
      <c r="AJ418" s="2" t="str">
        <f t="shared" si="66"/>
        <v/>
      </c>
      <c r="AK418" s="2" t="str">
        <f t="shared" si="67"/>
        <v/>
      </c>
      <c r="AL418" s="2" t="str">
        <f t="shared" si="68"/>
        <v/>
      </c>
      <c r="AM418" s="2" t="str">
        <f t="shared" si="69"/>
        <v/>
      </c>
      <c r="AN418" s="2"/>
      <c r="AO418" s="2"/>
    </row>
    <row r="419" spans="1:41" ht="12" customHeight="1" x14ac:dyDescent="0.3">
      <c r="A419" s="2"/>
      <c r="B419" s="2" t="str">
        <f t="shared" si="60"/>
        <v/>
      </c>
      <c r="C419" s="2" t="str">
        <f t="shared" si="61"/>
        <v/>
      </c>
      <c r="D419" s="2" t="str">
        <f>IF(DB_Artworks_Export!A419="","",DB_Artworks_Export!A419)</f>
        <v/>
      </c>
      <c r="E419" s="2" t="str">
        <f>IF(DB_Artworks_Export!B419="","",DB_Artworks_Export!B419)</f>
        <v/>
      </c>
      <c r="F419" s="2" t="str">
        <f>IF(DB_Artworks_Export!C419="","",DB_Artworks_Export!C419)</f>
        <v/>
      </c>
      <c r="G419" s="2" t="str">
        <f>IF(DB_Artworks_Export!D419="","",DB_Artworks_Export!D419)</f>
        <v/>
      </c>
      <c r="H419" s="2" t="str">
        <f>IF(DB_Artworks_Export!E419="","",DB_Artworks_Export!E419)</f>
        <v/>
      </c>
      <c r="I419" s="2" t="str">
        <f>IF(DB_Artworks_Export!F419="","",DB_Artworks_Export!F419)</f>
        <v/>
      </c>
      <c r="J419" s="2" t="str">
        <f>IF(DB_Artworks_Export!G419="","",DB_Artworks_Export!G419)</f>
        <v/>
      </c>
      <c r="K419" s="2" t="str">
        <f>IF(DB_Artworks_Export!H419="","",DB_Artworks_Export!H419)</f>
        <v/>
      </c>
      <c r="L419" s="2" t="str">
        <f>IF(DB_Artworks_Export!I419="","",DB_Artworks_Export!I419)</f>
        <v/>
      </c>
      <c r="M419" s="2" t="str">
        <f>IF(DB_Artworks_Export!J419="","",DB_Artworks_Export!J419)</f>
        <v/>
      </c>
      <c r="N419" s="2" t="str">
        <f>IF(DB_Artworks_Export!K419="","",DB_Artworks_Export!K419)</f>
        <v/>
      </c>
      <c r="O419" s="2" t="str">
        <f>IF(DB_Artworks_Export!L419="","",DB_Artworks_Export!L419)</f>
        <v/>
      </c>
      <c r="P419" s="2" t="str">
        <f>IF(DB_Artworks_Export!M419="","",DB_Artworks_Export!M419)</f>
        <v/>
      </c>
      <c r="Q419" s="2" t="str">
        <f>IF(DB_Artworks_Export!N419="","",DB_Artworks_Export!N419)</f>
        <v/>
      </c>
      <c r="R419" s="2" t="str">
        <f>IF($D419="","",IF(COUNTIF(DB_Categories_Export!$A:$A,$F419)&gt;0,"OK","INVALID CATEGORY"))</f>
        <v/>
      </c>
      <c r="S419" s="2" t="str">
        <f>IF($D419="","",COUNTIF(DB_Artwork_Sizes_Export!$B:$B,$D419))</f>
        <v/>
      </c>
      <c r="T419" s="2" t="str">
        <f>IF($D419="","",IFERROR(INDEX(DB_Artwork_Sizes_Export!$D:$D,MATCH($D419,DB_Artwork_Sizes_Export!$B:$B,0)),""))</f>
        <v/>
      </c>
      <c r="U419" s="2" t="str">
        <f>IF($D419="","",IFERROR(INDEX(DB_Artwork_Sizes_Export!$E:$E,MATCH($D419,DB_Artwork_Sizes_Export!$B:$B,0)),""))</f>
        <v/>
      </c>
      <c r="V419" s="2" t="str">
        <f>IF($D419="","",IFERROR(INDEX(DB_Artwork_Sizes_Export!$F:$F,MATCH($D419,DB_Artwork_Sizes_Export!$B:$B,0)),""))</f>
        <v/>
      </c>
      <c r="W419" s="2" t="str">
        <f t="shared" si="62"/>
        <v/>
      </c>
      <c r="X419" s="2"/>
      <c r="Y419" s="2"/>
      <c r="Z419" s="2"/>
      <c r="AA419" s="2"/>
      <c r="AB419" s="2"/>
      <c r="AC419" s="2"/>
      <c r="AD419" s="2"/>
      <c r="AE419" s="2"/>
      <c r="AF419" s="2" t="str">
        <f t="shared" si="63"/>
        <v/>
      </c>
      <c r="AG419" s="2" t="str">
        <f t="shared" si="64"/>
        <v/>
      </c>
      <c r="AH419" s="2" t="str">
        <f>IF($AG419="","",IFERROR(VLOOKUP($AG419,DB_Categories_Export!$A:$B,2,FALSE()),"INVALID CATEGORY"))</f>
        <v/>
      </c>
      <c r="AI419" s="2" t="str">
        <f t="shared" si="65"/>
        <v/>
      </c>
      <c r="AJ419" s="2" t="str">
        <f t="shared" si="66"/>
        <v/>
      </c>
      <c r="AK419" s="2" t="str">
        <f t="shared" si="67"/>
        <v/>
      </c>
      <c r="AL419" s="2" t="str">
        <f t="shared" si="68"/>
        <v/>
      </c>
      <c r="AM419" s="2" t="str">
        <f t="shared" si="69"/>
        <v/>
      </c>
      <c r="AN419" s="2"/>
      <c r="AO419" s="2"/>
    </row>
    <row r="420" spans="1:41" ht="12" customHeight="1" x14ac:dyDescent="0.3">
      <c r="A420" s="2"/>
      <c r="B420" s="2" t="str">
        <f t="shared" si="60"/>
        <v/>
      </c>
      <c r="C420" s="2" t="str">
        <f t="shared" si="61"/>
        <v/>
      </c>
      <c r="D420" s="2" t="str">
        <f>IF(DB_Artworks_Export!A420="","",DB_Artworks_Export!A420)</f>
        <v/>
      </c>
      <c r="E420" s="2" t="str">
        <f>IF(DB_Artworks_Export!B420="","",DB_Artworks_Export!B420)</f>
        <v/>
      </c>
      <c r="F420" s="2" t="str">
        <f>IF(DB_Artworks_Export!C420="","",DB_Artworks_Export!C420)</f>
        <v/>
      </c>
      <c r="G420" s="2" t="str">
        <f>IF(DB_Artworks_Export!D420="","",DB_Artworks_Export!D420)</f>
        <v/>
      </c>
      <c r="H420" s="2" t="str">
        <f>IF(DB_Artworks_Export!E420="","",DB_Artworks_Export!E420)</f>
        <v/>
      </c>
      <c r="I420" s="2" t="str">
        <f>IF(DB_Artworks_Export!F420="","",DB_Artworks_Export!F420)</f>
        <v/>
      </c>
      <c r="J420" s="2" t="str">
        <f>IF(DB_Artworks_Export!G420="","",DB_Artworks_Export!G420)</f>
        <v/>
      </c>
      <c r="K420" s="2" t="str">
        <f>IF(DB_Artworks_Export!H420="","",DB_Artworks_Export!H420)</f>
        <v/>
      </c>
      <c r="L420" s="2" t="str">
        <f>IF(DB_Artworks_Export!I420="","",DB_Artworks_Export!I420)</f>
        <v/>
      </c>
      <c r="M420" s="2" t="str">
        <f>IF(DB_Artworks_Export!J420="","",DB_Artworks_Export!J420)</f>
        <v/>
      </c>
      <c r="N420" s="2" t="str">
        <f>IF(DB_Artworks_Export!K420="","",DB_Artworks_Export!K420)</f>
        <v/>
      </c>
      <c r="O420" s="2" t="str">
        <f>IF(DB_Artworks_Export!L420="","",DB_Artworks_Export!L420)</f>
        <v/>
      </c>
      <c r="P420" s="2" t="str">
        <f>IF(DB_Artworks_Export!M420="","",DB_Artworks_Export!M420)</f>
        <v/>
      </c>
      <c r="Q420" s="2" t="str">
        <f>IF(DB_Artworks_Export!N420="","",DB_Artworks_Export!N420)</f>
        <v/>
      </c>
      <c r="R420" s="2" t="str">
        <f>IF($D420="","",IF(COUNTIF(DB_Categories_Export!$A:$A,$F420)&gt;0,"OK","INVALID CATEGORY"))</f>
        <v/>
      </c>
      <c r="S420" s="2" t="str">
        <f>IF($D420="","",COUNTIF(DB_Artwork_Sizes_Export!$B:$B,$D420))</f>
        <v/>
      </c>
      <c r="T420" s="2" t="str">
        <f>IF($D420="","",IFERROR(INDEX(DB_Artwork_Sizes_Export!$D:$D,MATCH($D420,DB_Artwork_Sizes_Export!$B:$B,0)),""))</f>
        <v/>
      </c>
      <c r="U420" s="2" t="str">
        <f>IF($D420="","",IFERROR(INDEX(DB_Artwork_Sizes_Export!$E:$E,MATCH($D420,DB_Artwork_Sizes_Export!$B:$B,0)),""))</f>
        <v/>
      </c>
      <c r="V420" s="2" t="str">
        <f>IF($D420="","",IFERROR(INDEX(DB_Artwork_Sizes_Export!$F:$F,MATCH($D420,DB_Artwork_Sizes_Export!$B:$B,0)),""))</f>
        <v/>
      </c>
      <c r="W420" s="2" t="str">
        <f t="shared" si="62"/>
        <v/>
      </c>
      <c r="X420" s="2"/>
      <c r="Y420" s="2"/>
      <c r="Z420" s="2"/>
      <c r="AA420" s="2"/>
      <c r="AB420" s="2"/>
      <c r="AC420" s="2"/>
      <c r="AD420" s="2"/>
      <c r="AE420" s="2"/>
      <c r="AF420" s="2" t="str">
        <f t="shared" si="63"/>
        <v/>
      </c>
      <c r="AG420" s="2" t="str">
        <f t="shared" si="64"/>
        <v/>
      </c>
      <c r="AH420" s="2" t="str">
        <f>IF($AG420="","",IFERROR(VLOOKUP($AG420,DB_Categories_Export!$A:$B,2,FALSE()),"INVALID CATEGORY"))</f>
        <v/>
      </c>
      <c r="AI420" s="2" t="str">
        <f t="shared" si="65"/>
        <v/>
      </c>
      <c r="AJ420" s="2" t="str">
        <f t="shared" si="66"/>
        <v/>
      </c>
      <c r="AK420" s="2" t="str">
        <f t="shared" si="67"/>
        <v/>
      </c>
      <c r="AL420" s="2" t="str">
        <f t="shared" si="68"/>
        <v/>
      </c>
      <c r="AM420" s="2" t="str">
        <f t="shared" si="69"/>
        <v/>
      </c>
      <c r="AN420" s="2"/>
      <c r="AO420" s="2"/>
    </row>
    <row r="421" spans="1:41" ht="12" customHeight="1" x14ac:dyDescent="0.3">
      <c r="A421" s="2"/>
      <c r="B421" s="2" t="str">
        <f t="shared" si="60"/>
        <v/>
      </c>
      <c r="C421" s="2" t="str">
        <f t="shared" si="61"/>
        <v/>
      </c>
      <c r="D421" s="2" t="str">
        <f>IF(DB_Artworks_Export!A421="","",DB_Artworks_Export!A421)</f>
        <v/>
      </c>
      <c r="E421" s="2" t="str">
        <f>IF(DB_Artworks_Export!B421="","",DB_Artworks_Export!B421)</f>
        <v/>
      </c>
      <c r="F421" s="2" t="str">
        <f>IF(DB_Artworks_Export!C421="","",DB_Artworks_Export!C421)</f>
        <v/>
      </c>
      <c r="G421" s="2" t="str">
        <f>IF(DB_Artworks_Export!D421="","",DB_Artworks_Export!D421)</f>
        <v/>
      </c>
      <c r="H421" s="2" t="str">
        <f>IF(DB_Artworks_Export!E421="","",DB_Artworks_Export!E421)</f>
        <v/>
      </c>
      <c r="I421" s="2" t="str">
        <f>IF(DB_Artworks_Export!F421="","",DB_Artworks_Export!F421)</f>
        <v/>
      </c>
      <c r="J421" s="2" t="str">
        <f>IF(DB_Artworks_Export!G421="","",DB_Artworks_Export!G421)</f>
        <v/>
      </c>
      <c r="K421" s="2" t="str">
        <f>IF(DB_Artworks_Export!H421="","",DB_Artworks_Export!H421)</f>
        <v/>
      </c>
      <c r="L421" s="2" t="str">
        <f>IF(DB_Artworks_Export!I421="","",DB_Artworks_Export!I421)</f>
        <v/>
      </c>
      <c r="M421" s="2" t="str">
        <f>IF(DB_Artworks_Export!J421="","",DB_Artworks_Export!J421)</f>
        <v/>
      </c>
      <c r="N421" s="2" t="str">
        <f>IF(DB_Artworks_Export!K421="","",DB_Artworks_Export!K421)</f>
        <v/>
      </c>
      <c r="O421" s="2" t="str">
        <f>IF(DB_Artworks_Export!L421="","",DB_Artworks_Export!L421)</f>
        <v/>
      </c>
      <c r="P421" s="2" t="str">
        <f>IF(DB_Artworks_Export!M421="","",DB_Artworks_Export!M421)</f>
        <v/>
      </c>
      <c r="Q421" s="2" t="str">
        <f>IF(DB_Artworks_Export!N421="","",DB_Artworks_Export!N421)</f>
        <v/>
      </c>
      <c r="R421" s="2" t="str">
        <f>IF($D421="","",IF(COUNTIF(DB_Categories_Export!$A:$A,$F421)&gt;0,"OK","INVALID CATEGORY"))</f>
        <v/>
      </c>
      <c r="S421" s="2" t="str">
        <f>IF($D421="","",COUNTIF(DB_Artwork_Sizes_Export!$B:$B,$D421))</f>
        <v/>
      </c>
      <c r="T421" s="2" t="str">
        <f>IF($D421="","",IFERROR(INDEX(DB_Artwork_Sizes_Export!$D:$D,MATCH($D421,DB_Artwork_Sizes_Export!$B:$B,0)),""))</f>
        <v/>
      </c>
      <c r="U421" s="2" t="str">
        <f>IF($D421="","",IFERROR(INDEX(DB_Artwork_Sizes_Export!$E:$E,MATCH($D421,DB_Artwork_Sizes_Export!$B:$B,0)),""))</f>
        <v/>
      </c>
      <c r="V421" s="2" t="str">
        <f>IF($D421="","",IFERROR(INDEX(DB_Artwork_Sizes_Export!$F:$F,MATCH($D421,DB_Artwork_Sizes_Export!$B:$B,0)),""))</f>
        <v/>
      </c>
      <c r="W421" s="2" t="str">
        <f t="shared" si="62"/>
        <v/>
      </c>
      <c r="X421" s="2"/>
      <c r="Y421" s="2"/>
      <c r="Z421" s="2"/>
      <c r="AA421" s="2"/>
      <c r="AB421" s="2"/>
      <c r="AC421" s="2"/>
      <c r="AD421" s="2"/>
      <c r="AE421" s="2"/>
      <c r="AF421" s="2" t="str">
        <f t="shared" si="63"/>
        <v/>
      </c>
      <c r="AG421" s="2" t="str">
        <f t="shared" si="64"/>
        <v/>
      </c>
      <c r="AH421" s="2" t="str">
        <f>IF($AG421="","",IFERROR(VLOOKUP($AG421,DB_Categories_Export!$A:$B,2,FALSE()),"INVALID CATEGORY"))</f>
        <v/>
      </c>
      <c r="AI421" s="2" t="str">
        <f t="shared" si="65"/>
        <v/>
      </c>
      <c r="AJ421" s="2" t="str">
        <f t="shared" si="66"/>
        <v/>
      </c>
      <c r="AK421" s="2" t="str">
        <f t="shared" si="67"/>
        <v/>
      </c>
      <c r="AL421" s="2" t="str">
        <f t="shared" si="68"/>
        <v/>
      </c>
      <c r="AM421" s="2" t="str">
        <f t="shared" si="69"/>
        <v/>
      </c>
      <c r="AN421" s="2"/>
      <c r="AO421" s="2"/>
    </row>
    <row r="422" spans="1:41" ht="12" customHeight="1" x14ac:dyDescent="0.3">
      <c r="A422" s="2"/>
      <c r="B422" s="2" t="str">
        <f t="shared" si="60"/>
        <v/>
      </c>
      <c r="C422" s="2" t="str">
        <f t="shared" si="61"/>
        <v/>
      </c>
      <c r="D422" s="2" t="str">
        <f>IF(DB_Artworks_Export!A422="","",DB_Artworks_Export!A422)</f>
        <v/>
      </c>
      <c r="E422" s="2" t="str">
        <f>IF(DB_Artworks_Export!B422="","",DB_Artworks_Export!B422)</f>
        <v/>
      </c>
      <c r="F422" s="2" t="str">
        <f>IF(DB_Artworks_Export!C422="","",DB_Artworks_Export!C422)</f>
        <v/>
      </c>
      <c r="G422" s="2" t="str">
        <f>IF(DB_Artworks_Export!D422="","",DB_Artworks_Export!D422)</f>
        <v/>
      </c>
      <c r="H422" s="2" t="str">
        <f>IF(DB_Artworks_Export!E422="","",DB_Artworks_Export!E422)</f>
        <v/>
      </c>
      <c r="I422" s="2" t="str">
        <f>IF(DB_Artworks_Export!F422="","",DB_Artworks_Export!F422)</f>
        <v/>
      </c>
      <c r="J422" s="2" t="str">
        <f>IF(DB_Artworks_Export!G422="","",DB_Artworks_Export!G422)</f>
        <v/>
      </c>
      <c r="K422" s="2" t="str">
        <f>IF(DB_Artworks_Export!H422="","",DB_Artworks_Export!H422)</f>
        <v/>
      </c>
      <c r="L422" s="2" t="str">
        <f>IF(DB_Artworks_Export!I422="","",DB_Artworks_Export!I422)</f>
        <v/>
      </c>
      <c r="M422" s="2" t="str">
        <f>IF(DB_Artworks_Export!J422="","",DB_Artworks_Export!J422)</f>
        <v/>
      </c>
      <c r="N422" s="2" t="str">
        <f>IF(DB_Artworks_Export!K422="","",DB_Artworks_Export!K422)</f>
        <v/>
      </c>
      <c r="O422" s="2" t="str">
        <f>IF(DB_Artworks_Export!L422="","",DB_Artworks_Export!L422)</f>
        <v/>
      </c>
      <c r="P422" s="2" t="str">
        <f>IF(DB_Artworks_Export!M422="","",DB_Artworks_Export!M422)</f>
        <v/>
      </c>
      <c r="Q422" s="2" t="str">
        <f>IF(DB_Artworks_Export!N422="","",DB_Artworks_Export!N422)</f>
        <v/>
      </c>
      <c r="R422" s="2" t="str">
        <f>IF($D422="","",IF(COUNTIF(DB_Categories_Export!$A:$A,$F422)&gt;0,"OK","INVALID CATEGORY"))</f>
        <v/>
      </c>
      <c r="S422" s="2" t="str">
        <f>IF($D422="","",COUNTIF(DB_Artwork_Sizes_Export!$B:$B,$D422))</f>
        <v/>
      </c>
      <c r="T422" s="2" t="str">
        <f>IF($D422="","",IFERROR(INDEX(DB_Artwork_Sizes_Export!$D:$D,MATCH($D422,DB_Artwork_Sizes_Export!$B:$B,0)),""))</f>
        <v/>
      </c>
      <c r="U422" s="2" t="str">
        <f>IF($D422="","",IFERROR(INDEX(DB_Artwork_Sizes_Export!$E:$E,MATCH($D422,DB_Artwork_Sizes_Export!$B:$B,0)),""))</f>
        <v/>
      </c>
      <c r="V422" s="2" t="str">
        <f>IF($D422="","",IFERROR(INDEX(DB_Artwork_Sizes_Export!$F:$F,MATCH($D422,DB_Artwork_Sizes_Export!$B:$B,0)),""))</f>
        <v/>
      </c>
      <c r="W422" s="2" t="str">
        <f t="shared" si="62"/>
        <v/>
      </c>
      <c r="X422" s="2"/>
      <c r="Y422" s="2"/>
      <c r="Z422" s="2"/>
      <c r="AA422" s="2"/>
      <c r="AB422" s="2"/>
      <c r="AC422" s="2"/>
      <c r="AD422" s="2"/>
      <c r="AE422" s="2"/>
      <c r="AF422" s="2" t="str">
        <f t="shared" si="63"/>
        <v/>
      </c>
      <c r="AG422" s="2" t="str">
        <f t="shared" si="64"/>
        <v/>
      </c>
      <c r="AH422" s="2" t="str">
        <f>IF($AG422="","",IFERROR(VLOOKUP($AG422,DB_Categories_Export!$A:$B,2,FALSE()),"INVALID CATEGORY"))</f>
        <v/>
      </c>
      <c r="AI422" s="2" t="str">
        <f t="shared" si="65"/>
        <v/>
      </c>
      <c r="AJ422" s="2" t="str">
        <f t="shared" si="66"/>
        <v/>
      </c>
      <c r="AK422" s="2" t="str">
        <f t="shared" si="67"/>
        <v/>
      </c>
      <c r="AL422" s="2" t="str">
        <f t="shared" si="68"/>
        <v/>
      </c>
      <c r="AM422" s="2" t="str">
        <f t="shared" si="69"/>
        <v/>
      </c>
      <c r="AN422" s="2"/>
      <c r="AO422" s="2"/>
    </row>
    <row r="423" spans="1:41" ht="12" customHeight="1" x14ac:dyDescent="0.3">
      <c r="A423" s="2"/>
      <c r="B423" s="2" t="str">
        <f t="shared" si="60"/>
        <v/>
      </c>
      <c r="C423" s="2" t="str">
        <f t="shared" si="61"/>
        <v/>
      </c>
      <c r="D423" s="2" t="str">
        <f>IF(DB_Artworks_Export!A423="","",DB_Artworks_Export!A423)</f>
        <v/>
      </c>
      <c r="E423" s="2" t="str">
        <f>IF(DB_Artworks_Export!B423="","",DB_Artworks_Export!B423)</f>
        <v/>
      </c>
      <c r="F423" s="2" t="str">
        <f>IF(DB_Artworks_Export!C423="","",DB_Artworks_Export!C423)</f>
        <v/>
      </c>
      <c r="G423" s="2" t="str">
        <f>IF(DB_Artworks_Export!D423="","",DB_Artworks_Export!D423)</f>
        <v/>
      </c>
      <c r="H423" s="2" t="str">
        <f>IF(DB_Artworks_Export!E423="","",DB_Artworks_Export!E423)</f>
        <v/>
      </c>
      <c r="I423" s="2" t="str">
        <f>IF(DB_Artworks_Export!F423="","",DB_Artworks_Export!F423)</f>
        <v/>
      </c>
      <c r="J423" s="2" t="str">
        <f>IF(DB_Artworks_Export!G423="","",DB_Artworks_Export!G423)</f>
        <v/>
      </c>
      <c r="K423" s="2" t="str">
        <f>IF(DB_Artworks_Export!H423="","",DB_Artworks_Export!H423)</f>
        <v/>
      </c>
      <c r="L423" s="2" t="str">
        <f>IF(DB_Artworks_Export!I423="","",DB_Artworks_Export!I423)</f>
        <v/>
      </c>
      <c r="M423" s="2" t="str">
        <f>IF(DB_Artworks_Export!J423="","",DB_Artworks_Export!J423)</f>
        <v/>
      </c>
      <c r="N423" s="2" t="str">
        <f>IF(DB_Artworks_Export!K423="","",DB_Artworks_Export!K423)</f>
        <v/>
      </c>
      <c r="O423" s="2" t="str">
        <f>IF(DB_Artworks_Export!L423="","",DB_Artworks_Export!L423)</f>
        <v/>
      </c>
      <c r="P423" s="2" t="str">
        <f>IF(DB_Artworks_Export!M423="","",DB_Artworks_Export!M423)</f>
        <v/>
      </c>
      <c r="Q423" s="2" t="str">
        <f>IF(DB_Artworks_Export!N423="","",DB_Artworks_Export!N423)</f>
        <v/>
      </c>
      <c r="R423" s="2" t="str">
        <f>IF($D423="","",IF(COUNTIF(DB_Categories_Export!$A:$A,$F423)&gt;0,"OK","INVALID CATEGORY"))</f>
        <v/>
      </c>
      <c r="S423" s="2" t="str">
        <f>IF($D423="","",COUNTIF(DB_Artwork_Sizes_Export!$B:$B,$D423))</f>
        <v/>
      </c>
      <c r="T423" s="2" t="str">
        <f>IF($D423="","",IFERROR(INDEX(DB_Artwork_Sizes_Export!$D:$D,MATCH($D423,DB_Artwork_Sizes_Export!$B:$B,0)),""))</f>
        <v/>
      </c>
      <c r="U423" s="2" t="str">
        <f>IF($D423="","",IFERROR(INDEX(DB_Artwork_Sizes_Export!$E:$E,MATCH($D423,DB_Artwork_Sizes_Export!$B:$B,0)),""))</f>
        <v/>
      </c>
      <c r="V423" s="2" t="str">
        <f>IF($D423="","",IFERROR(INDEX(DB_Artwork_Sizes_Export!$F:$F,MATCH($D423,DB_Artwork_Sizes_Export!$B:$B,0)),""))</f>
        <v/>
      </c>
      <c r="W423" s="2" t="str">
        <f t="shared" si="62"/>
        <v/>
      </c>
      <c r="X423" s="2"/>
      <c r="Y423" s="2"/>
      <c r="Z423" s="2"/>
      <c r="AA423" s="2"/>
      <c r="AB423" s="2"/>
      <c r="AC423" s="2"/>
      <c r="AD423" s="2"/>
      <c r="AE423" s="2"/>
      <c r="AF423" s="2" t="str">
        <f t="shared" si="63"/>
        <v/>
      </c>
      <c r="AG423" s="2" t="str">
        <f t="shared" si="64"/>
        <v/>
      </c>
      <c r="AH423" s="2" t="str">
        <f>IF($AG423="","",IFERROR(VLOOKUP($AG423,DB_Categories_Export!$A:$B,2,FALSE()),"INVALID CATEGORY"))</f>
        <v/>
      </c>
      <c r="AI423" s="2" t="str">
        <f t="shared" si="65"/>
        <v/>
      </c>
      <c r="AJ423" s="2" t="str">
        <f t="shared" si="66"/>
        <v/>
      </c>
      <c r="AK423" s="2" t="str">
        <f t="shared" si="67"/>
        <v/>
      </c>
      <c r="AL423" s="2" t="str">
        <f t="shared" si="68"/>
        <v/>
      </c>
      <c r="AM423" s="2" t="str">
        <f t="shared" si="69"/>
        <v/>
      </c>
      <c r="AN423" s="2"/>
      <c r="AO423" s="2"/>
    </row>
    <row r="424" spans="1:41" ht="12" customHeight="1" x14ac:dyDescent="0.3">
      <c r="A424" s="2"/>
      <c r="B424" s="2" t="str">
        <f t="shared" si="60"/>
        <v/>
      </c>
      <c r="C424" s="2" t="str">
        <f t="shared" si="61"/>
        <v/>
      </c>
      <c r="D424" s="2" t="str">
        <f>IF(DB_Artworks_Export!A424="","",DB_Artworks_Export!A424)</f>
        <v/>
      </c>
      <c r="E424" s="2" t="str">
        <f>IF(DB_Artworks_Export!B424="","",DB_Artworks_Export!B424)</f>
        <v/>
      </c>
      <c r="F424" s="2" t="str">
        <f>IF(DB_Artworks_Export!C424="","",DB_Artworks_Export!C424)</f>
        <v/>
      </c>
      <c r="G424" s="2" t="str">
        <f>IF(DB_Artworks_Export!D424="","",DB_Artworks_Export!D424)</f>
        <v/>
      </c>
      <c r="H424" s="2" t="str">
        <f>IF(DB_Artworks_Export!E424="","",DB_Artworks_Export!E424)</f>
        <v/>
      </c>
      <c r="I424" s="2" t="str">
        <f>IF(DB_Artworks_Export!F424="","",DB_Artworks_Export!F424)</f>
        <v/>
      </c>
      <c r="J424" s="2" t="str">
        <f>IF(DB_Artworks_Export!G424="","",DB_Artworks_Export!G424)</f>
        <v/>
      </c>
      <c r="K424" s="2" t="str">
        <f>IF(DB_Artworks_Export!H424="","",DB_Artworks_Export!H424)</f>
        <v/>
      </c>
      <c r="L424" s="2" t="str">
        <f>IF(DB_Artworks_Export!I424="","",DB_Artworks_Export!I424)</f>
        <v/>
      </c>
      <c r="M424" s="2" t="str">
        <f>IF(DB_Artworks_Export!J424="","",DB_Artworks_Export!J424)</f>
        <v/>
      </c>
      <c r="N424" s="2" t="str">
        <f>IF(DB_Artworks_Export!K424="","",DB_Artworks_Export!K424)</f>
        <v/>
      </c>
      <c r="O424" s="2" t="str">
        <f>IF(DB_Artworks_Export!L424="","",DB_Artworks_Export!L424)</f>
        <v/>
      </c>
      <c r="P424" s="2" t="str">
        <f>IF(DB_Artworks_Export!M424="","",DB_Artworks_Export!M424)</f>
        <v/>
      </c>
      <c r="Q424" s="2" t="str">
        <f>IF(DB_Artworks_Export!N424="","",DB_Artworks_Export!N424)</f>
        <v/>
      </c>
      <c r="R424" s="2" t="str">
        <f>IF($D424="","",IF(COUNTIF(DB_Categories_Export!$A:$A,$F424)&gt;0,"OK","INVALID CATEGORY"))</f>
        <v/>
      </c>
      <c r="S424" s="2" t="str">
        <f>IF($D424="","",COUNTIF(DB_Artwork_Sizes_Export!$B:$B,$D424))</f>
        <v/>
      </c>
      <c r="T424" s="2" t="str">
        <f>IF($D424="","",IFERROR(INDEX(DB_Artwork_Sizes_Export!$D:$D,MATCH($D424,DB_Artwork_Sizes_Export!$B:$B,0)),""))</f>
        <v/>
      </c>
      <c r="U424" s="2" t="str">
        <f>IF($D424="","",IFERROR(INDEX(DB_Artwork_Sizes_Export!$E:$E,MATCH($D424,DB_Artwork_Sizes_Export!$B:$B,0)),""))</f>
        <v/>
      </c>
      <c r="V424" s="2" t="str">
        <f>IF($D424="","",IFERROR(INDEX(DB_Artwork_Sizes_Export!$F:$F,MATCH($D424,DB_Artwork_Sizes_Export!$B:$B,0)),""))</f>
        <v/>
      </c>
      <c r="W424" s="2" t="str">
        <f t="shared" si="62"/>
        <v/>
      </c>
      <c r="X424" s="2"/>
      <c r="Y424" s="2"/>
      <c r="Z424" s="2"/>
      <c r="AA424" s="2"/>
      <c r="AB424" s="2"/>
      <c r="AC424" s="2"/>
      <c r="AD424" s="2"/>
      <c r="AE424" s="2"/>
      <c r="AF424" s="2" t="str">
        <f t="shared" si="63"/>
        <v/>
      </c>
      <c r="AG424" s="2" t="str">
        <f t="shared" si="64"/>
        <v/>
      </c>
      <c r="AH424" s="2" t="str">
        <f>IF($AG424="","",IFERROR(VLOOKUP($AG424,DB_Categories_Export!$A:$B,2,FALSE()),"INVALID CATEGORY"))</f>
        <v/>
      </c>
      <c r="AI424" s="2" t="str">
        <f t="shared" si="65"/>
        <v/>
      </c>
      <c r="AJ424" s="2" t="str">
        <f t="shared" si="66"/>
        <v/>
      </c>
      <c r="AK424" s="2" t="str">
        <f t="shared" si="67"/>
        <v/>
      </c>
      <c r="AL424" s="2" t="str">
        <f t="shared" si="68"/>
        <v/>
      </c>
      <c r="AM424" s="2" t="str">
        <f t="shared" si="69"/>
        <v/>
      </c>
      <c r="AN424" s="2"/>
      <c r="AO424" s="2"/>
    </row>
    <row r="425" spans="1:41" ht="12" customHeight="1" x14ac:dyDescent="0.3">
      <c r="A425" s="2"/>
      <c r="B425" s="2" t="str">
        <f t="shared" si="60"/>
        <v/>
      </c>
      <c r="C425" s="2" t="str">
        <f t="shared" si="61"/>
        <v/>
      </c>
      <c r="D425" s="2" t="str">
        <f>IF(DB_Artworks_Export!A425="","",DB_Artworks_Export!A425)</f>
        <v/>
      </c>
      <c r="E425" s="2" t="str">
        <f>IF(DB_Artworks_Export!B425="","",DB_Artworks_Export!B425)</f>
        <v/>
      </c>
      <c r="F425" s="2" t="str">
        <f>IF(DB_Artworks_Export!C425="","",DB_Artworks_Export!C425)</f>
        <v/>
      </c>
      <c r="G425" s="2" t="str">
        <f>IF(DB_Artworks_Export!D425="","",DB_Artworks_Export!D425)</f>
        <v/>
      </c>
      <c r="H425" s="2" t="str">
        <f>IF(DB_Artworks_Export!E425="","",DB_Artworks_Export!E425)</f>
        <v/>
      </c>
      <c r="I425" s="2" t="str">
        <f>IF(DB_Artworks_Export!F425="","",DB_Artworks_Export!F425)</f>
        <v/>
      </c>
      <c r="J425" s="2" t="str">
        <f>IF(DB_Artworks_Export!G425="","",DB_Artworks_Export!G425)</f>
        <v/>
      </c>
      <c r="K425" s="2" t="str">
        <f>IF(DB_Artworks_Export!H425="","",DB_Artworks_Export!H425)</f>
        <v/>
      </c>
      <c r="L425" s="2" t="str">
        <f>IF(DB_Artworks_Export!I425="","",DB_Artworks_Export!I425)</f>
        <v/>
      </c>
      <c r="M425" s="2" t="str">
        <f>IF(DB_Artworks_Export!J425="","",DB_Artworks_Export!J425)</f>
        <v/>
      </c>
      <c r="N425" s="2" t="str">
        <f>IF(DB_Artworks_Export!K425="","",DB_Artworks_Export!K425)</f>
        <v/>
      </c>
      <c r="O425" s="2" t="str">
        <f>IF(DB_Artworks_Export!L425="","",DB_Artworks_Export!L425)</f>
        <v/>
      </c>
      <c r="P425" s="2" t="str">
        <f>IF(DB_Artworks_Export!M425="","",DB_Artworks_Export!M425)</f>
        <v/>
      </c>
      <c r="Q425" s="2" t="str">
        <f>IF(DB_Artworks_Export!N425="","",DB_Artworks_Export!N425)</f>
        <v/>
      </c>
      <c r="R425" s="2" t="str">
        <f>IF($D425="","",IF(COUNTIF(DB_Categories_Export!$A:$A,$F425)&gt;0,"OK","INVALID CATEGORY"))</f>
        <v/>
      </c>
      <c r="S425" s="2" t="str">
        <f>IF($D425="","",COUNTIF(DB_Artwork_Sizes_Export!$B:$B,$D425))</f>
        <v/>
      </c>
      <c r="T425" s="2" t="str">
        <f>IF($D425="","",IFERROR(INDEX(DB_Artwork_Sizes_Export!$D:$D,MATCH($D425,DB_Artwork_Sizes_Export!$B:$B,0)),""))</f>
        <v/>
      </c>
      <c r="U425" s="2" t="str">
        <f>IF($D425="","",IFERROR(INDEX(DB_Artwork_Sizes_Export!$E:$E,MATCH($D425,DB_Artwork_Sizes_Export!$B:$B,0)),""))</f>
        <v/>
      </c>
      <c r="V425" s="2" t="str">
        <f>IF($D425="","",IFERROR(INDEX(DB_Artwork_Sizes_Export!$F:$F,MATCH($D425,DB_Artwork_Sizes_Export!$B:$B,0)),""))</f>
        <v/>
      </c>
      <c r="W425" s="2" t="str">
        <f t="shared" si="62"/>
        <v/>
      </c>
      <c r="X425" s="2"/>
      <c r="Y425" s="2"/>
      <c r="Z425" s="2"/>
      <c r="AA425" s="2"/>
      <c r="AB425" s="2"/>
      <c r="AC425" s="2"/>
      <c r="AD425" s="2"/>
      <c r="AE425" s="2"/>
      <c r="AF425" s="2" t="str">
        <f t="shared" si="63"/>
        <v/>
      </c>
      <c r="AG425" s="2" t="str">
        <f t="shared" si="64"/>
        <v/>
      </c>
      <c r="AH425" s="2" t="str">
        <f>IF($AG425="","",IFERROR(VLOOKUP($AG425,DB_Categories_Export!$A:$B,2,FALSE()),"INVALID CATEGORY"))</f>
        <v/>
      </c>
      <c r="AI425" s="2" t="str">
        <f t="shared" si="65"/>
        <v/>
      </c>
      <c r="AJ425" s="2" t="str">
        <f t="shared" si="66"/>
        <v/>
      </c>
      <c r="AK425" s="2" t="str">
        <f t="shared" si="67"/>
        <v/>
      </c>
      <c r="AL425" s="2" t="str">
        <f t="shared" si="68"/>
        <v/>
      </c>
      <c r="AM425" s="2" t="str">
        <f t="shared" si="69"/>
        <v/>
      </c>
      <c r="AN425" s="2"/>
      <c r="AO425" s="2"/>
    </row>
    <row r="426" spans="1:41" ht="12" customHeight="1" x14ac:dyDescent="0.3">
      <c r="A426" s="2"/>
      <c r="B426" s="2" t="str">
        <f t="shared" si="60"/>
        <v/>
      </c>
      <c r="C426" s="2" t="str">
        <f t="shared" si="61"/>
        <v/>
      </c>
      <c r="D426" s="2" t="str">
        <f>IF(DB_Artworks_Export!A426="","",DB_Artworks_Export!A426)</f>
        <v/>
      </c>
      <c r="E426" s="2" t="str">
        <f>IF(DB_Artworks_Export!B426="","",DB_Artworks_Export!B426)</f>
        <v/>
      </c>
      <c r="F426" s="2" t="str">
        <f>IF(DB_Artworks_Export!C426="","",DB_Artworks_Export!C426)</f>
        <v/>
      </c>
      <c r="G426" s="2" t="str">
        <f>IF(DB_Artworks_Export!D426="","",DB_Artworks_Export!D426)</f>
        <v/>
      </c>
      <c r="H426" s="2" t="str">
        <f>IF(DB_Artworks_Export!E426="","",DB_Artworks_Export!E426)</f>
        <v/>
      </c>
      <c r="I426" s="2" t="str">
        <f>IF(DB_Artworks_Export!F426="","",DB_Artworks_Export!F426)</f>
        <v/>
      </c>
      <c r="J426" s="2" t="str">
        <f>IF(DB_Artworks_Export!G426="","",DB_Artworks_Export!G426)</f>
        <v/>
      </c>
      <c r="K426" s="2" t="str">
        <f>IF(DB_Artworks_Export!H426="","",DB_Artworks_Export!H426)</f>
        <v/>
      </c>
      <c r="L426" s="2" t="str">
        <f>IF(DB_Artworks_Export!I426="","",DB_Artworks_Export!I426)</f>
        <v/>
      </c>
      <c r="M426" s="2" t="str">
        <f>IF(DB_Artworks_Export!J426="","",DB_Artworks_Export!J426)</f>
        <v/>
      </c>
      <c r="N426" s="2" t="str">
        <f>IF(DB_Artworks_Export!K426="","",DB_Artworks_Export!K426)</f>
        <v/>
      </c>
      <c r="O426" s="2" t="str">
        <f>IF(DB_Artworks_Export!L426="","",DB_Artworks_Export!L426)</f>
        <v/>
      </c>
      <c r="P426" s="2" t="str">
        <f>IF(DB_Artworks_Export!M426="","",DB_Artworks_Export!M426)</f>
        <v/>
      </c>
      <c r="Q426" s="2" t="str">
        <f>IF(DB_Artworks_Export!N426="","",DB_Artworks_Export!N426)</f>
        <v/>
      </c>
      <c r="R426" s="2" t="str">
        <f>IF($D426="","",IF(COUNTIF(DB_Categories_Export!$A:$A,$F426)&gt;0,"OK","INVALID CATEGORY"))</f>
        <v/>
      </c>
      <c r="S426" s="2" t="str">
        <f>IF($D426="","",COUNTIF(DB_Artwork_Sizes_Export!$B:$B,$D426))</f>
        <v/>
      </c>
      <c r="T426" s="2" t="str">
        <f>IF($D426="","",IFERROR(INDEX(DB_Artwork_Sizes_Export!$D:$D,MATCH($D426,DB_Artwork_Sizes_Export!$B:$B,0)),""))</f>
        <v/>
      </c>
      <c r="U426" s="2" t="str">
        <f>IF($D426="","",IFERROR(INDEX(DB_Artwork_Sizes_Export!$E:$E,MATCH($D426,DB_Artwork_Sizes_Export!$B:$B,0)),""))</f>
        <v/>
      </c>
      <c r="V426" s="2" t="str">
        <f>IF($D426="","",IFERROR(INDEX(DB_Artwork_Sizes_Export!$F:$F,MATCH($D426,DB_Artwork_Sizes_Export!$B:$B,0)),""))</f>
        <v/>
      </c>
      <c r="W426" s="2" t="str">
        <f t="shared" si="62"/>
        <v/>
      </c>
      <c r="X426" s="2"/>
      <c r="Y426" s="2"/>
      <c r="Z426" s="2"/>
      <c r="AA426" s="2"/>
      <c r="AB426" s="2"/>
      <c r="AC426" s="2"/>
      <c r="AD426" s="2"/>
      <c r="AE426" s="2"/>
      <c r="AF426" s="2" t="str">
        <f t="shared" si="63"/>
        <v/>
      </c>
      <c r="AG426" s="2" t="str">
        <f t="shared" si="64"/>
        <v/>
      </c>
      <c r="AH426" s="2" t="str">
        <f>IF($AG426="","",IFERROR(VLOOKUP($AG426,DB_Categories_Export!$A:$B,2,FALSE()),"INVALID CATEGORY"))</f>
        <v/>
      </c>
      <c r="AI426" s="2" t="str">
        <f t="shared" si="65"/>
        <v/>
      </c>
      <c r="AJ426" s="2" t="str">
        <f t="shared" si="66"/>
        <v/>
      </c>
      <c r="AK426" s="2" t="str">
        <f t="shared" si="67"/>
        <v/>
      </c>
      <c r="AL426" s="2" t="str">
        <f t="shared" si="68"/>
        <v/>
      </c>
      <c r="AM426" s="2" t="str">
        <f t="shared" si="69"/>
        <v/>
      </c>
      <c r="AN426" s="2"/>
      <c r="AO426" s="2"/>
    </row>
    <row r="427" spans="1:41" ht="12" customHeight="1" x14ac:dyDescent="0.3">
      <c r="A427" s="2"/>
      <c r="B427" s="2" t="str">
        <f t="shared" si="60"/>
        <v/>
      </c>
      <c r="C427" s="2" t="str">
        <f t="shared" si="61"/>
        <v/>
      </c>
      <c r="D427" s="2" t="str">
        <f>IF(DB_Artworks_Export!A427="","",DB_Artworks_Export!A427)</f>
        <v/>
      </c>
      <c r="E427" s="2" t="str">
        <f>IF(DB_Artworks_Export!B427="","",DB_Artworks_Export!B427)</f>
        <v/>
      </c>
      <c r="F427" s="2" t="str">
        <f>IF(DB_Artworks_Export!C427="","",DB_Artworks_Export!C427)</f>
        <v/>
      </c>
      <c r="G427" s="2" t="str">
        <f>IF(DB_Artworks_Export!D427="","",DB_Artworks_Export!D427)</f>
        <v/>
      </c>
      <c r="H427" s="2" t="str">
        <f>IF(DB_Artworks_Export!E427="","",DB_Artworks_Export!E427)</f>
        <v/>
      </c>
      <c r="I427" s="2" t="str">
        <f>IF(DB_Artworks_Export!F427="","",DB_Artworks_Export!F427)</f>
        <v/>
      </c>
      <c r="J427" s="2" t="str">
        <f>IF(DB_Artworks_Export!G427="","",DB_Artworks_Export!G427)</f>
        <v/>
      </c>
      <c r="K427" s="2" t="str">
        <f>IF(DB_Artworks_Export!H427="","",DB_Artworks_Export!H427)</f>
        <v/>
      </c>
      <c r="L427" s="2" t="str">
        <f>IF(DB_Artworks_Export!I427="","",DB_Artworks_Export!I427)</f>
        <v/>
      </c>
      <c r="M427" s="2" t="str">
        <f>IF(DB_Artworks_Export!J427="","",DB_Artworks_Export!J427)</f>
        <v/>
      </c>
      <c r="N427" s="2" t="str">
        <f>IF(DB_Artworks_Export!K427="","",DB_Artworks_Export!K427)</f>
        <v/>
      </c>
      <c r="O427" s="2" t="str">
        <f>IF(DB_Artworks_Export!L427="","",DB_Artworks_Export!L427)</f>
        <v/>
      </c>
      <c r="P427" s="2" t="str">
        <f>IF(DB_Artworks_Export!M427="","",DB_Artworks_Export!M427)</f>
        <v/>
      </c>
      <c r="Q427" s="2" t="str">
        <f>IF(DB_Artworks_Export!N427="","",DB_Artworks_Export!N427)</f>
        <v/>
      </c>
      <c r="R427" s="2" t="str">
        <f>IF($D427="","",IF(COUNTIF(DB_Categories_Export!$A:$A,$F427)&gt;0,"OK","INVALID CATEGORY"))</f>
        <v/>
      </c>
      <c r="S427" s="2" t="str">
        <f>IF($D427="","",COUNTIF(DB_Artwork_Sizes_Export!$B:$B,$D427))</f>
        <v/>
      </c>
      <c r="T427" s="2" t="str">
        <f>IF($D427="","",IFERROR(INDEX(DB_Artwork_Sizes_Export!$D:$D,MATCH($D427,DB_Artwork_Sizes_Export!$B:$B,0)),""))</f>
        <v/>
      </c>
      <c r="U427" s="2" t="str">
        <f>IF($D427="","",IFERROR(INDEX(DB_Artwork_Sizes_Export!$E:$E,MATCH($D427,DB_Artwork_Sizes_Export!$B:$B,0)),""))</f>
        <v/>
      </c>
      <c r="V427" s="2" t="str">
        <f>IF($D427="","",IFERROR(INDEX(DB_Artwork_Sizes_Export!$F:$F,MATCH($D427,DB_Artwork_Sizes_Export!$B:$B,0)),""))</f>
        <v/>
      </c>
      <c r="W427" s="2" t="str">
        <f t="shared" si="62"/>
        <v/>
      </c>
      <c r="X427" s="2"/>
      <c r="Y427" s="2"/>
      <c r="Z427" s="2"/>
      <c r="AA427" s="2"/>
      <c r="AB427" s="2"/>
      <c r="AC427" s="2"/>
      <c r="AD427" s="2"/>
      <c r="AE427" s="2"/>
      <c r="AF427" s="2" t="str">
        <f t="shared" si="63"/>
        <v/>
      </c>
      <c r="AG427" s="2" t="str">
        <f t="shared" si="64"/>
        <v/>
      </c>
      <c r="AH427" s="2" t="str">
        <f>IF($AG427="","",IFERROR(VLOOKUP($AG427,DB_Categories_Export!$A:$B,2,FALSE()),"INVALID CATEGORY"))</f>
        <v/>
      </c>
      <c r="AI427" s="2" t="str">
        <f t="shared" si="65"/>
        <v/>
      </c>
      <c r="AJ427" s="2" t="str">
        <f t="shared" si="66"/>
        <v/>
      </c>
      <c r="AK427" s="2" t="str">
        <f t="shared" si="67"/>
        <v/>
      </c>
      <c r="AL427" s="2" t="str">
        <f t="shared" si="68"/>
        <v/>
      </c>
      <c r="AM427" s="2" t="str">
        <f t="shared" si="69"/>
        <v/>
      </c>
      <c r="AN427" s="2"/>
      <c r="AO427" s="2"/>
    </row>
    <row r="428" spans="1:41" ht="12" customHeight="1" x14ac:dyDescent="0.3">
      <c r="A428" s="2"/>
      <c r="B428" s="2" t="str">
        <f t="shared" si="60"/>
        <v/>
      </c>
      <c r="C428" s="2" t="str">
        <f t="shared" si="61"/>
        <v/>
      </c>
      <c r="D428" s="2" t="str">
        <f>IF(DB_Artworks_Export!A428="","",DB_Artworks_Export!A428)</f>
        <v/>
      </c>
      <c r="E428" s="2" t="str">
        <f>IF(DB_Artworks_Export!B428="","",DB_Artworks_Export!B428)</f>
        <v/>
      </c>
      <c r="F428" s="2" t="str">
        <f>IF(DB_Artworks_Export!C428="","",DB_Artworks_Export!C428)</f>
        <v/>
      </c>
      <c r="G428" s="2" t="str">
        <f>IF(DB_Artworks_Export!D428="","",DB_Artworks_Export!D428)</f>
        <v/>
      </c>
      <c r="H428" s="2" t="str">
        <f>IF(DB_Artworks_Export!E428="","",DB_Artworks_Export!E428)</f>
        <v/>
      </c>
      <c r="I428" s="2" t="str">
        <f>IF(DB_Artworks_Export!F428="","",DB_Artworks_Export!F428)</f>
        <v/>
      </c>
      <c r="J428" s="2" t="str">
        <f>IF(DB_Artworks_Export!G428="","",DB_Artworks_Export!G428)</f>
        <v/>
      </c>
      <c r="K428" s="2" t="str">
        <f>IF(DB_Artworks_Export!H428="","",DB_Artworks_Export!H428)</f>
        <v/>
      </c>
      <c r="L428" s="2" t="str">
        <f>IF(DB_Artworks_Export!I428="","",DB_Artworks_Export!I428)</f>
        <v/>
      </c>
      <c r="M428" s="2" t="str">
        <f>IF(DB_Artworks_Export!J428="","",DB_Artworks_Export!J428)</f>
        <v/>
      </c>
      <c r="N428" s="2" t="str">
        <f>IF(DB_Artworks_Export!K428="","",DB_Artworks_Export!K428)</f>
        <v/>
      </c>
      <c r="O428" s="2" t="str">
        <f>IF(DB_Artworks_Export!L428="","",DB_Artworks_Export!L428)</f>
        <v/>
      </c>
      <c r="P428" s="2" t="str">
        <f>IF(DB_Artworks_Export!M428="","",DB_Artworks_Export!M428)</f>
        <v/>
      </c>
      <c r="Q428" s="2" t="str">
        <f>IF(DB_Artworks_Export!N428="","",DB_Artworks_Export!N428)</f>
        <v/>
      </c>
      <c r="R428" s="2" t="str">
        <f>IF($D428="","",IF(COUNTIF(DB_Categories_Export!$A:$A,$F428)&gt;0,"OK","INVALID CATEGORY"))</f>
        <v/>
      </c>
      <c r="S428" s="2" t="str">
        <f>IF($D428="","",COUNTIF(DB_Artwork_Sizes_Export!$B:$B,$D428))</f>
        <v/>
      </c>
      <c r="T428" s="2" t="str">
        <f>IF($D428="","",IFERROR(INDEX(DB_Artwork_Sizes_Export!$D:$D,MATCH($D428,DB_Artwork_Sizes_Export!$B:$B,0)),""))</f>
        <v/>
      </c>
      <c r="U428" s="2" t="str">
        <f>IF($D428="","",IFERROR(INDEX(DB_Artwork_Sizes_Export!$E:$E,MATCH($D428,DB_Artwork_Sizes_Export!$B:$B,0)),""))</f>
        <v/>
      </c>
      <c r="V428" s="2" t="str">
        <f>IF($D428="","",IFERROR(INDEX(DB_Artwork_Sizes_Export!$F:$F,MATCH($D428,DB_Artwork_Sizes_Export!$B:$B,0)),""))</f>
        <v/>
      </c>
      <c r="W428" s="2" t="str">
        <f t="shared" si="62"/>
        <v/>
      </c>
      <c r="X428" s="2"/>
      <c r="Y428" s="2"/>
      <c r="Z428" s="2"/>
      <c r="AA428" s="2"/>
      <c r="AB428" s="2"/>
      <c r="AC428" s="2"/>
      <c r="AD428" s="2"/>
      <c r="AE428" s="2"/>
      <c r="AF428" s="2" t="str">
        <f t="shared" si="63"/>
        <v/>
      </c>
      <c r="AG428" s="2" t="str">
        <f t="shared" si="64"/>
        <v/>
      </c>
      <c r="AH428" s="2" t="str">
        <f>IF($AG428="","",IFERROR(VLOOKUP($AG428,DB_Categories_Export!$A:$B,2,FALSE()),"INVALID CATEGORY"))</f>
        <v/>
      </c>
      <c r="AI428" s="2" t="str">
        <f t="shared" si="65"/>
        <v/>
      </c>
      <c r="AJ428" s="2" t="str">
        <f t="shared" si="66"/>
        <v/>
      </c>
      <c r="AK428" s="2" t="str">
        <f t="shared" si="67"/>
        <v/>
      </c>
      <c r="AL428" s="2" t="str">
        <f t="shared" si="68"/>
        <v/>
      </c>
      <c r="AM428" s="2" t="str">
        <f t="shared" si="69"/>
        <v/>
      </c>
      <c r="AN428" s="2"/>
      <c r="AO428" s="2"/>
    </row>
    <row r="429" spans="1:41" ht="12" customHeight="1" x14ac:dyDescent="0.3">
      <c r="A429" s="2"/>
      <c r="B429" s="2" t="str">
        <f t="shared" si="60"/>
        <v/>
      </c>
      <c r="C429" s="2" t="str">
        <f t="shared" si="61"/>
        <v/>
      </c>
      <c r="D429" s="2" t="str">
        <f>IF(DB_Artworks_Export!A429="","",DB_Artworks_Export!A429)</f>
        <v/>
      </c>
      <c r="E429" s="2" t="str">
        <f>IF(DB_Artworks_Export!B429="","",DB_Artworks_Export!B429)</f>
        <v/>
      </c>
      <c r="F429" s="2" t="str">
        <f>IF(DB_Artworks_Export!C429="","",DB_Artworks_Export!C429)</f>
        <v/>
      </c>
      <c r="G429" s="2" t="str">
        <f>IF(DB_Artworks_Export!D429="","",DB_Artworks_Export!D429)</f>
        <v/>
      </c>
      <c r="H429" s="2" t="str">
        <f>IF(DB_Artworks_Export!E429="","",DB_Artworks_Export!E429)</f>
        <v/>
      </c>
      <c r="I429" s="2" t="str">
        <f>IF(DB_Artworks_Export!F429="","",DB_Artworks_Export!F429)</f>
        <v/>
      </c>
      <c r="J429" s="2" t="str">
        <f>IF(DB_Artworks_Export!G429="","",DB_Artworks_Export!G429)</f>
        <v/>
      </c>
      <c r="K429" s="2" t="str">
        <f>IF(DB_Artworks_Export!H429="","",DB_Artworks_Export!H429)</f>
        <v/>
      </c>
      <c r="L429" s="2" t="str">
        <f>IF(DB_Artworks_Export!I429="","",DB_Artworks_Export!I429)</f>
        <v/>
      </c>
      <c r="M429" s="2" t="str">
        <f>IF(DB_Artworks_Export!J429="","",DB_Artworks_Export!J429)</f>
        <v/>
      </c>
      <c r="N429" s="2" t="str">
        <f>IF(DB_Artworks_Export!K429="","",DB_Artworks_Export!K429)</f>
        <v/>
      </c>
      <c r="O429" s="2" t="str">
        <f>IF(DB_Artworks_Export!L429="","",DB_Artworks_Export!L429)</f>
        <v/>
      </c>
      <c r="P429" s="2" t="str">
        <f>IF(DB_Artworks_Export!M429="","",DB_Artworks_Export!M429)</f>
        <v/>
      </c>
      <c r="Q429" s="2" t="str">
        <f>IF(DB_Artworks_Export!N429="","",DB_Artworks_Export!N429)</f>
        <v/>
      </c>
      <c r="R429" s="2" t="str">
        <f>IF($D429="","",IF(COUNTIF(DB_Categories_Export!$A:$A,$F429)&gt;0,"OK","INVALID CATEGORY"))</f>
        <v/>
      </c>
      <c r="S429" s="2" t="str">
        <f>IF($D429="","",COUNTIF(DB_Artwork_Sizes_Export!$B:$B,$D429))</f>
        <v/>
      </c>
      <c r="T429" s="2" t="str">
        <f>IF($D429="","",IFERROR(INDEX(DB_Artwork_Sizes_Export!$D:$D,MATCH($D429,DB_Artwork_Sizes_Export!$B:$B,0)),""))</f>
        <v/>
      </c>
      <c r="U429" s="2" t="str">
        <f>IF($D429="","",IFERROR(INDEX(DB_Artwork_Sizes_Export!$E:$E,MATCH($D429,DB_Artwork_Sizes_Export!$B:$B,0)),""))</f>
        <v/>
      </c>
      <c r="V429" s="2" t="str">
        <f>IF($D429="","",IFERROR(INDEX(DB_Artwork_Sizes_Export!$F:$F,MATCH($D429,DB_Artwork_Sizes_Export!$B:$B,0)),""))</f>
        <v/>
      </c>
      <c r="W429" s="2" t="str">
        <f t="shared" si="62"/>
        <v/>
      </c>
      <c r="X429" s="2"/>
      <c r="Y429" s="2"/>
      <c r="Z429" s="2"/>
      <c r="AA429" s="2"/>
      <c r="AB429" s="2"/>
      <c r="AC429" s="2"/>
      <c r="AD429" s="2"/>
      <c r="AE429" s="2"/>
      <c r="AF429" s="2" t="str">
        <f t="shared" si="63"/>
        <v/>
      </c>
      <c r="AG429" s="2" t="str">
        <f t="shared" si="64"/>
        <v/>
      </c>
      <c r="AH429" s="2" t="str">
        <f>IF($AG429="","",IFERROR(VLOOKUP($AG429,DB_Categories_Export!$A:$B,2,FALSE()),"INVALID CATEGORY"))</f>
        <v/>
      </c>
      <c r="AI429" s="2" t="str">
        <f t="shared" si="65"/>
        <v/>
      </c>
      <c r="AJ429" s="2" t="str">
        <f t="shared" si="66"/>
        <v/>
      </c>
      <c r="AK429" s="2" t="str">
        <f t="shared" si="67"/>
        <v/>
      </c>
      <c r="AL429" s="2" t="str">
        <f t="shared" si="68"/>
        <v/>
      </c>
      <c r="AM429" s="2" t="str">
        <f t="shared" si="69"/>
        <v/>
      </c>
      <c r="AN429" s="2"/>
      <c r="AO429" s="2"/>
    </row>
    <row r="430" spans="1:41" ht="12" customHeight="1" x14ac:dyDescent="0.3">
      <c r="A430" s="2"/>
      <c r="B430" s="2" t="str">
        <f t="shared" si="60"/>
        <v/>
      </c>
      <c r="C430" s="2" t="str">
        <f t="shared" si="61"/>
        <v/>
      </c>
      <c r="D430" s="2" t="str">
        <f>IF(DB_Artworks_Export!A430="","",DB_Artworks_Export!A430)</f>
        <v/>
      </c>
      <c r="E430" s="2" t="str">
        <f>IF(DB_Artworks_Export!B430="","",DB_Artworks_Export!B430)</f>
        <v/>
      </c>
      <c r="F430" s="2" t="str">
        <f>IF(DB_Artworks_Export!C430="","",DB_Artworks_Export!C430)</f>
        <v/>
      </c>
      <c r="G430" s="2" t="str">
        <f>IF(DB_Artworks_Export!D430="","",DB_Artworks_Export!D430)</f>
        <v/>
      </c>
      <c r="H430" s="2" t="str">
        <f>IF(DB_Artworks_Export!E430="","",DB_Artworks_Export!E430)</f>
        <v/>
      </c>
      <c r="I430" s="2" t="str">
        <f>IF(DB_Artworks_Export!F430="","",DB_Artworks_Export!F430)</f>
        <v/>
      </c>
      <c r="J430" s="2" t="str">
        <f>IF(DB_Artworks_Export!G430="","",DB_Artworks_Export!G430)</f>
        <v/>
      </c>
      <c r="K430" s="2" t="str">
        <f>IF(DB_Artworks_Export!H430="","",DB_Artworks_Export!H430)</f>
        <v/>
      </c>
      <c r="L430" s="2" t="str">
        <f>IF(DB_Artworks_Export!I430="","",DB_Artworks_Export!I430)</f>
        <v/>
      </c>
      <c r="M430" s="2" t="str">
        <f>IF(DB_Artworks_Export!J430="","",DB_Artworks_Export!J430)</f>
        <v/>
      </c>
      <c r="N430" s="2" t="str">
        <f>IF(DB_Artworks_Export!K430="","",DB_Artworks_Export!K430)</f>
        <v/>
      </c>
      <c r="O430" s="2" t="str">
        <f>IF(DB_Artworks_Export!L430="","",DB_Artworks_Export!L430)</f>
        <v/>
      </c>
      <c r="P430" s="2" t="str">
        <f>IF(DB_Artworks_Export!M430="","",DB_Artworks_Export!M430)</f>
        <v/>
      </c>
      <c r="Q430" s="2" t="str">
        <f>IF(DB_Artworks_Export!N430="","",DB_Artworks_Export!N430)</f>
        <v/>
      </c>
      <c r="R430" s="2" t="str">
        <f>IF($D430="","",IF(COUNTIF(DB_Categories_Export!$A:$A,$F430)&gt;0,"OK","INVALID CATEGORY"))</f>
        <v/>
      </c>
      <c r="S430" s="2" t="str">
        <f>IF($D430="","",COUNTIF(DB_Artwork_Sizes_Export!$B:$B,$D430))</f>
        <v/>
      </c>
      <c r="T430" s="2" t="str">
        <f>IF($D430="","",IFERROR(INDEX(DB_Artwork_Sizes_Export!$D:$D,MATCH($D430,DB_Artwork_Sizes_Export!$B:$B,0)),""))</f>
        <v/>
      </c>
      <c r="U430" s="2" t="str">
        <f>IF($D430="","",IFERROR(INDEX(DB_Artwork_Sizes_Export!$E:$E,MATCH($D430,DB_Artwork_Sizes_Export!$B:$B,0)),""))</f>
        <v/>
      </c>
      <c r="V430" s="2" t="str">
        <f>IF($D430="","",IFERROR(INDEX(DB_Artwork_Sizes_Export!$F:$F,MATCH($D430,DB_Artwork_Sizes_Export!$B:$B,0)),""))</f>
        <v/>
      </c>
      <c r="W430" s="2" t="str">
        <f t="shared" si="62"/>
        <v/>
      </c>
      <c r="X430" s="2"/>
      <c r="Y430" s="2"/>
      <c r="Z430" s="2"/>
      <c r="AA430" s="2"/>
      <c r="AB430" s="2"/>
      <c r="AC430" s="2"/>
      <c r="AD430" s="2"/>
      <c r="AE430" s="2"/>
      <c r="AF430" s="2" t="str">
        <f t="shared" si="63"/>
        <v/>
      </c>
      <c r="AG430" s="2" t="str">
        <f t="shared" si="64"/>
        <v/>
      </c>
      <c r="AH430" s="2" t="str">
        <f>IF($AG430="","",IFERROR(VLOOKUP($AG430,DB_Categories_Export!$A:$B,2,FALSE()),"INVALID CATEGORY"))</f>
        <v/>
      </c>
      <c r="AI430" s="2" t="str">
        <f t="shared" si="65"/>
        <v/>
      </c>
      <c r="AJ430" s="2" t="str">
        <f t="shared" si="66"/>
        <v/>
      </c>
      <c r="AK430" s="2" t="str">
        <f t="shared" si="67"/>
        <v/>
      </c>
      <c r="AL430" s="2" t="str">
        <f t="shared" si="68"/>
        <v/>
      </c>
      <c r="AM430" s="2" t="str">
        <f t="shared" si="69"/>
        <v/>
      </c>
      <c r="AN430" s="2"/>
      <c r="AO430" s="2"/>
    </row>
    <row r="431" spans="1:41" ht="12" customHeight="1" x14ac:dyDescent="0.3">
      <c r="A431" s="2"/>
      <c r="B431" s="2" t="str">
        <f t="shared" si="60"/>
        <v/>
      </c>
      <c r="C431" s="2" t="str">
        <f t="shared" si="61"/>
        <v/>
      </c>
      <c r="D431" s="2" t="str">
        <f>IF(DB_Artworks_Export!A431="","",DB_Artworks_Export!A431)</f>
        <v/>
      </c>
      <c r="E431" s="2" t="str">
        <f>IF(DB_Artworks_Export!B431="","",DB_Artworks_Export!B431)</f>
        <v/>
      </c>
      <c r="F431" s="2" t="str">
        <f>IF(DB_Artworks_Export!C431="","",DB_Artworks_Export!C431)</f>
        <v/>
      </c>
      <c r="G431" s="2" t="str">
        <f>IF(DB_Artworks_Export!D431="","",DB_Artworks_Export!D431)</f>
        <v/>
      </c>
      <c r="H431" s="2" t="str">
        <f>IF(DB_Artworks_Export!E431="","",DB_Artworks_Export!E431)</f>
        <v/>
      </c>
      <c r="I431" s="2" t="str">
        <f>IF(DB_Artworks_Export!F431="","",DB_Artworks_Export!F431)</f>
        <v/>
      </c>
      <c r="J431" s="2" t="str">
        <f>IF(DB_Artworks_Export!G431="","",DB_Artworks_Export!G431)</f>
        <v/>
      </c>
      <c r="K431" s="2" t="str">
        <f>IF(DB_Artworks_Export!H431="","",DB_Artworks_Export!H431)</f>
        <v/>
      </c>
      <c r="L431" s="2" t="str">
        <f>IF(DB_Artworks_Export!I431="","",DB_Artworks_Export!I431)</f>
        <v/>
      </c>
      <c r="M431" s="2" t="str">
        <f>IF(DB_Artworks_Export!J431="","",DB_Artworks_Export!J431)</f>
        <v/>
      </c>
      <c r="N431" s="2" t="str">
        <f>IF(DB_Artworks_Export!K431="","",DB_Artworks_Export!K431)</f>
        <v/>
      </c>
      <c r="O431" s="2" t="str">
        <f>IF(DB_Artworks_Export!L431="","",DB_Artworks_Export!L431)</f>
        <v/>
      </c>
      <c r="P431" s="2" t="str">
        <f>IF(DB_Artworks_Export!M431="","",DB_Artworks_Export!M431)</f>
        <v/>
      </c>
      <c r="Q431" s="2" t="str">
        <f>IF(DB_Artworks_Export!N431="","",DB_Artworks_Export!N431)</f>
        <v/>
      </c>
      <c r="R431" s="2" t="str">
        <f>IF($D431="","",IF(COUNTIF(DB_Categories_Export!$A:$A,$F431)&gt;0,"OK","INVALID CATEGORY"))</f>
        <v/>
      </c>
      <c r="S431" s="2" t="str">
        <f>IF($D431="","",COUNTIF(DB_Artwork_Sizes_Export!$B:$B,$D431))</f>
        <v/>
      </c>
      <c r="T431" s="2" t="str">
        <f>IF($D431="","",IFERROR(INDEX(DB_Artwork_Sizes_Export!$D:$D,MATCH($D431,DB_Artwork_Sizes_Export!$B:$B,0)),""))</f>
        <v/>
      </c>
      <c r="U431" s="2" t="str">
        <f>IF($D431="","",IFERROR(INDEX(DB_Artwork_Sizes_Export!$E:$E,MATCH($D431,DB_Artwork_Sizes_Export!$B:$B,0)),""))</f>
        <v/>
      </c>
      <c r="V431" s="2" t="str">
        <f>IF($D431="","",IFERROR(INDEX(DB_Artwork_Sizes_Export!$F:$F,MATCH($D431,DB_Artwork_Sizes_Export!$B:$B,0)),""))</f>
        <v/>
      </c>
      <c r="W431" s="2" t="str">
        <f t="shared" si="62"/>
        <v/>
      </c>
      <c r="X431" s="2"/>
      <c r="Y431" s="2"/>
      <c r="Z431" s="2"/>
      <c r="AA431" s="2"/>
      <c r="AB431" s="2"/>
      <c r="AC431" s="2"/>
      <c r="AD431" s="2"/>
      <c r="AE431" s="2"/>
      <c r="AF431" s="2" t="str">
        <f t="shared" si="63"/>
        <v/>
      </c>
      <c r="AG431" s="2" t="str">
        <f t="shared" si="64"/>
        <v/>
      </c>
      <c r="AH431" s="2" t="str">
        <f>IF($AG431="","",IFERROR(VLOOKUP($AG431,DB_Categories_Export!$A:$B,2,FALSE()),"INVALID CATEGORY"))</f>
        <v/>
      </c>
      <c r="AI431" s="2" t="str">
        <f t="shared" si="65"/>
        <v/>
      </c>
      <c r="AJ431" s="2" t="str">
        <f t="shared" si="66"/>
        <v/>
      </c>
      <c r="AK431" s="2" t="str">
        <f t="shared" si="67"/>
        <v/>
      </c>
      <c r="AL431" s="2" t="str">
        <f t="shared" si="68"/>
        <v/>
      </c>
      <c r="AM431" s="2" t="str">
        <f t="shared" si="69"/>
        <v/>
      </c>
      <c r="AN431" s="2"/>
      <c r="AO431" s="2"/>
    </row>
    <row r="432" spans="1:41" ht="12" customHeight="1" x14ac:dyDescent="0.3">
      <c r="A432" s="2"/>
      <c r="B432" s="2" t="str">
        <f t="shared" si="60"/>
        <v/>
      </c>
      <c r="C432" s="2" t="str">
        <f t="shared" si="61"/>
        <v/>
      </c>
      <c r="D432" s="2" t="str">
        <f>IF(DB_Artworks_Export!A432="","",DB_Artworks_Export!A432)</f>
        <v/>
      </c>
      <c r="E432" s="2" t="str">
        <f>IF(DB_Artworks_Export!B432="","",DB_Artworks_Export!B432)</f>
        <v/>
      </c>
      <c r="F432" s="2" t="str">
        <f>IF(DB_Artworks_Export!C432="","",DB_Artworks_Export!C432)</f>
        <v/>
      </c>
      <c r="G432" s="2" t="str">
        <f>IF(DB_Artworks_Export!D432="","",DB_Artworks_Export!D432)</f>
        <v/>
      </c>
      <c r="H432" s="2" t="str">
        <f>IF(DB_Artworks_Export!E432="","",DB_Artworks_Export!E432)</f>
        <v/>
      </c>
      <c r="I432" s="2" t="str">
        <f>IF(DB_Artworks_Export!F432="","",DB_Artworks_Export!F432)</f>
        <v/>
      </c>
      <c r="J432" s="2" t="str">
        <f>IF(DB_Artworks_Export!G432="","",DB_Artworks_Export!G432)</f>
        <v/>
      </c>
      <c r="K432" s="2" t="str">
        <f>IF(DB_Artworks_Export!H432="","",DB_Artworks_Export!H432)</f>
        <v/>
      </c>
      <c r="L432" s="2" t="str">
        <f>IF(DB_Artworks_Export!I432="","",DB_Artworks_Export!I432)</f>
        <v/>
      </c>
      <c r="M432" s="2" t="str">
        <f>IF(DB_Artworks_Export!J432="","",DB_Artworks_Export!J432)</f>
        <v/>
      </c>
      <c r="N432" s="2" t="str">
        <f>IF(DB_Artworks_Export!K432="","",DB_Artworks_Export!K432)</f>
        <v/>
      </c>
      <c r="O432" s="2" t="str">
        <f>IF(DB_Artworks_Export!L432="","",DB_Artworks_Export!L432)</f>
        <v/>
      </c>
      <c r="P432" s="2" t="str">
        <f>IF(DB_Artworks_Export!M432="","",DB_Artworks_Export!M432)</f>
        <v/>
      </c>
      <c r="Q432" s="2" t="str">
        <f>IF(DB_Artworks_Export!N432="","",DB_Artworks_Export!N432)</f>
        <v/>
      </c>
      <c r="R432" s="2" t="str">
        <f>IF($D432="","",IF(COUNTIF(DB_Categories_Export!$A:$A,$F432)&gt;0,"OK","INVALID CATEGORY"))</f>
        <v/>
      </c>
      <c r="S432" s="2" t="str">
        <f>IF($D432="","",COUNTIF(DB_Artwork_Sizes_Export!$B:$B,$D432))</f>
        <v/>
      </c>
      <c r="T432" s="2" t="str">
        <f>IF($D432="","",IFERROR(INDEX(DB_Artwork_Sizes_Export!$D:$D,MATCH($D432,DB_Artwork_Sizes_Export!$B:$B,0)),""))</f>
        <v/>
      </c>
      <c r="U432" s="2" t="str">
        <f>IF($D432="","",IFERROR(INDEX(DB_Artwork_Sizes_Export!$E:$E,MATCH($D432,DB_Artwork_Sizes_Export!$B:$B,0)),""))</f>
        <v/>
      </c>
      <c r="V432" s="2" t="str">
        <f>IF($D432="","",IFERROR(INDEX(DB_Artwork_Sizes_Export!$F:$F,MATCH($D432,DB_Artwork_Sizes_Export!$B:$B,0)),""))</f>
        <v/>
      </c>
      <c r="W432" s="2" t="str">
        <f t="shared" si="62"/>
        <v/>
      </c>
      <c r="X432" s="2"/>
      <c r="Y432" s="2"/>
      <c r="Z432" s="2"/>
      <c r="AA432" s="2"/>
      <c r="AB432" s="2"/>
      <c r="AC432" s="2"/>
      <c r="AD432" s="2"/>
      <c r="AE432" s="2"/>
      <c r="AF432" s="2" t="str">
        <f t="shared" si="63"/>
        <v/>
      </c>
      <c r="AG432" s="2" t="str">
        <f t="shared" si="64"/>
        <v/>
      </c>
      <c r="AH432" s="2" t="str">
        <f>IF($AG432="","",IFERROR(VLOOKUP($AG432,DB_Categories_Export!$A:$B,2,FALSE()),"INVALID CATEGORY"))</f>
        <v/>
      </c>
      <c r="AI432" s="2" t="str">
        <f t="shared" si="65"/>
        <v/>
      </c>
      <c r="AJ432" s="2" t="str">
        <f t="shared" si="66"/>
        <v/>
      </c>
      <c r="AK432" s="2" t="str">
        <f t="shared" si="67"/>
        <v/>
      </c>
      <c r="AL432" s="2" t="str">
        <f t="shared" si="68"/>
        <v/>
      </c>
      <c r="AM432" s="2" t="str">
        <f t="shared" si="69"/>
        <v/>
      </c>
      <c r="AN432" s="2"/>
      <c r="AO432" s="2"/>
    </row>
    <row r="433" spans="1:41" ht="12" customHeight="1" x14ac:dyDescent="0.3">
      <c r="A433" s="2"/>
      <c r="B433" s="2" t="str">
        <f t="shared" si="60"/>
        <v/>
      </c>
      <c r="C433" s="2" t="str">
        <f t="shared" si="61"/>
        <v/>
      </c>
      <c r="D433" s="2" t="str">
        <f>IF(DB_Artworks_Export!A433="","",DB_Artworks_Export!A433)</f>
        <v/>
      </c>
      <c r="E433" s="2" t="str">
        <f>IF(DB_Artworks_Export!B433="","",DB_Artworks_Export!B433)</f>
        <v/>
      </c>
      <c r="F433" s="2" t="str">
        <f>IF(DB_Artworks_Export!C433="","",DB_Artworks_Export!C433)</f>
        <v/>
      </c>
      <c r="G433" s="2" t="str">
        <f>IF(DB_Artworks_Export!D433="","",DB_Artworks_Export!D433)</f>
        <v/>
      </c>
      <c r="H433" s="2" t="str">
        <f>IF(DB_Artworks_Export!E433="","",DB_Artworks_Export!E433)</f>
        <v/>
      </c>
      <c r="I433" s="2" t="str">
        <f>IF(DB_Artworks_Export!F433="","",DB_Artworks_Export!F433)</f>
        <v/>
      </c>
      <c r="J433" s="2" t="str">
        <f>IF(DB_Artworks_Export!G433="","",DB_Artworks_Export!G433)</f>
        <v/>
      </c>
      <c r="K433" s="2" t="str">
        <f>IF(DB_Artworks_Export!H433="","",DB_Artworks_Export!H433)</f>
        <v/>
      </c>
      <c r="L433" s="2" t="str">
        <f>IF(DB_Artworks_Export!I433="","",DB_Artworks_Export!I433)</f>
        <v/>
      </c>
      <c r="M433" s="2" t="str">
        <f>IF(DB_Artworks_Export!J433="","",DB_Artworks_Export!J433)</f>
        <v/>
      </c>
      <c r="N433" s="2" t="str">
        <f>IF(DB_Artworks_Export!K433="","",DB_Artworks_Export!K433)</f>
        <v/>
      </c>
      <c r="O433" s="2" t="str">
        <f>IF(DB_Artworks_Export!L433="","",DB_Artworks_Export!L433)</f>
        <v/>
      </c>
      <c r="P433" s="2" t="str">
        <f>IF(DB_Artworks_Export!M433="","",DB_Artworks_Export!M433)</f>
        <v/>
      </c>
      <c r="Q433" s="2" t="str">
        <f>IF(DB_Artworks_Export!N433="","",DB_Artworks_Export!N433)</f>
        <v/>
      </c>
      <c r="R433" s="2" t="str">
        <f>IF($D433="","",IF(COUNTIF(DB_Categories_Export!$A:$A,$F433)&gt;0,"OK","INVALID CATEGORY"))</f>
        <v/>
      </c>
      <c r="S433" s="2" t="str">
        <f>IF($D433="","",COUNTIF(DB_Artwork_Sizes_Export!$B:$B,$D433))</f>
        <v/>
      </c>
      <c r="T433" s="2" t="str">
        <f>IF($D433="","",IFERROR(INDEX(DB_Artwork_Sizes_Export!$D:$D,MATCH($D433,DB_Artwork_Sizes_Export!$B:$B,0)),""))</f>
        <v/>
      </c>
      <c r="U433" s="2" t="str">
        <f>IF($D433="","",IFERROR(INDEX(DB_Artwork_Sizes_Export!$E:$E,MATCH($D433,DB_Artwork_Sizes_Export!$B:$B,0)),""))</f>
        <v/>
      </c>
      <c r="V433" s="2" t="str">
        <f>IF($D433="","",IFERROR(INDEX(DB_Artwork_Sizes_Export!$F:$F,MATCH($D433,DB_Artwork_Sizes_Export!$B:$B,0)),""))</f>
        <v/>
      </c>
      <c r="W433" s="2" t="str">
        <f t="shared" si="62"/>
        <v/>
      </c>
      <c r="X433" s="2"/>
      <c r="Y433" s="2"/>
      <c r="Z433" s="2"/>
      <c r="AA433" s="2"/>
      <c r="AB433" s="2"/>
      <c r="AC433" s="2"/>
      <c r="AD433" s="2"/>
      <c r="AE433" s="2"/>
      <c r="AF433" s="2" t="str">
        <f t="shared" si="63"/>
        <v/>
      </c>
      <c r="AG433" s="2" t="str">
        <f t="shared" si="64"/>
        <v/>
      </c>
      <c r="AH433" s="2" t="str">
        <f>IF($AG433="","",IFERROR(VLOOKUP($AG433,DB_Categories_Export!$A:$B,2,FALSE()),"INVALID CATEGORY"))</f>
        <v/>
      </c>
      <c r="AI433" s="2" t="str">
        <f t="shared" si="65"/>
        <v/>
      </c>
      <c r="AJ433" s="2" t="str">
        <f t="shared" si="66"/>
        <v/>
      </c>
      <c r="AK433" s="2" t="str">
        <f t="shared" si="67"/>
        <v/>
      </c>
      <c r="AL433" s="2" t="str">
        <f t="shared" si="68"/>
        <v/>
      </c>
      <c r="AM433" s="2" t="str">
        <f t="shared" si="69"/>
        <v/>
      </c>
      <c r="AN433" s="2"/>
      <c r="AO433" s="2"/>
    </row>
    <row r="434" spans="1:41" ht="12" customHeight="1" x14ac:dyDescent="0.3">
      <c r="A434" s="2"/>
      <c r="B434" s="2" t="str">
        <f t="shared" si="60"/>
        <v/>
      </c>
      <c r="C434" s="2" t="str">
        <f t="shared" si="61"/>
        <v/>
      </c>
      <c r="D434" s="2" t="str">
        <f>IF(DB_Artworks_Export!A434="","",DB_Artworks_Export!A434)</f>
        <v/>
      </c>
      <c r="E434" s="2" t="str">
        <f>IF(DB_Artworks_Export!B434="","",DB_Artworks_Export!B434)</f>
        <v/>
      </c>
      <c r="F434" s="2" t="str">
        <f>IF(DB_Artworks_Export!C434="","",DB_Artworks_Export!C434)</f>
        <v/>
      </c>
      <c r="G434" s="2" t="str">
        <f>IF(DB_Artworks_Export!D434="","",DB_Artworks_Export!D434)</f>
        <v/>
      </c>
      <c r="H434" s="2" t="str">
        <f>IF(DB_Artworks_Export!E434="","",DB_Artworks_Export!E434)</f>
        <v/>
      </c>
      <c r="I434" s="2" t="str">
        <f>IF(DB_Artworks_Export!F434="","",DB_Artworks_Export!F434)</f>
        <v/>
      </c>
      <c r="J434" s="2" t="str">
        <f>IF(DB_Artworks_Export!G434="","",DB_Artworks_Export!G434)</f>
        <v/>
      </c>
      <c r="K434" s="2" t="str">
        <f>IF(DB_Artworks_Export!H434="","",DB_Artworks_Export!H434)</f>
        <v/>
      </c>
      <c r="L434" s="2" t="str">
        <f>IF(DB_Artworks_Export!I434="","",DB_Artworks_Export!I434)</f>
        <v/>
      </c>
      <c r="M434" s="2" t="str">
        <f>IF(DB_Artworks_Export!J434="","",DB_Artworks_Export!J434)</f>
        <v/>
      </c>
      <c r="N434" s="2" t="str">
        <f>IF(DB_Artworks_Export!K434="","",DB_Artworks_Export!K434)</f>
        <v/>
      </c>
      <c r="O434" s="2" t="str">
        <f>IF(DB_Artworks_Export!L434="","",DB_Artworks_Export!L434)</f>
        <v/>
      </c>
      <c r="P434" s="2" t="str">
        <f>IF(DB_Artworks_Export!M434="","",DB_Artworks_Export!M434)</f>
        <v/>
      </c>
      <c r="Q434" s="2" t="str">
        <f>IF(DB_Artworks_Export!N434="","",DB_Artworks_Export!N434)</f>
        <v/>
      </c>
      <c r="R434" s="2" t="str">
        <f>IF($D434="","",IF(COUNTIF(DB_Categories_Export!$A:$A,$F434)&gt;0,"OK","INVALID CATEGORY"))</f>
        <v/>
      </c>
      <c r="S434" s="2" t="str">
        <f>IF($D434="","",COUNTIF(DB_Artwork_Sizes_Export!$B:$B,$D434))</f>
        <v/>
      </c>
      <c r="T434" s="2" t="str">
        <f>IF($D434="","",IFERROR(INDEX(DB_Artwork_Sizes_Export!$D:$D,MATCH($D434,DB_Artwork_Sizes_Export!$B:$B,0)),""))</f>
        <v/>
      </c>
      <c r="U434" s="2" t="str">
        <f>IF($D434="","",IFERROR(INDEX(DB_Artwork_Sizes_Export!$E:$E,MATCH($D434,DB_Artwork_Sizes_Export!$B:$B,0)),""))</f>
        <v/>
      </c>
      <c r="V434" s="2" t="str">
        <f>IF($D434="","",IFERROR(INDEX(DB_Artwork_Sizes_Export!$F:$F,MATCH($D434,DB_Artwork_Sizes_Export!$B:$B,0)),""))</f>
        <v/>
      </c>
      <c r="W434" s="2" t="str">
        <f t="shared" si="62"/>
        <v/>
      </c>
      <c r="X434" s="2"/>
      <c r="Y434" s="2"/>
      <c r="Z434" s="2"/>
      <c r="AA434" s="2"/>
      <c r="AB434" s="2"/>
      <c r="AC434" s="2"/>
      <c r="AD434" s="2"/>
      <c r="AE434" s="2"/>
      <c r="AF434" s="2" t="str">
        <f t="shared" si="63"/>
        <v/>
      </c>
      <c r="AG434" s="2" t="str">
        <f t="shared" si="64"/>
        <v/>
      </c>
      <c r="AH434" s="2" t="str">
        <f>IF($AG434="","",IFERROR(VLOOKUP($AG434,DB_Categories_Export!$A:$B,2,FALSE()),"INVALID CATEGORY"))</f>
        <v/>
      </c>
      <c r="AI434" s="2" t="str">
        <f t="shared" si="65"/>
        <v/>
      </c>
      <c r="AJ434" s="2" t="str">
        <f t="shared" si="66"/>
        <v/>
      </c>
      <c r="AK434" s="2" t="str">
        <f t="shared" si="67"/>
        <v/>
      </c>
      <c r="AL434" s="2" t="str">
        <f t="shared" si="68"/>
        <v/>
      </c>
      <c r="AM434" s="2" t="str">
        <f t="shared" si="69"/>
        <v/>
      </c>
      <c r="AN434" s="2"/>
      <c r="AO434" s="2"/>
    </row>
    <row r="435" spans="1:41" ht="12" customHeight="1" x14ac:dyDescent="0.3">
      <c r="A435" s="2"/>
      <c r="B435" s="2" t="str">
        <f t="shared" si="60"/>
        <v/>
      </c>
      <c r="C435" s="2" t="str">
        <f t="shared" si="61"/>
        <v/>
      </c>
      <c r="D435" s="2" t="str">
        <f>IF(DB_Artworks_Export!A435="","",DB_Artworks_Export!A435)</f>
        <v/>
      </c>
      <c r="E435" s="2" t="str">
        <f>IF(DB_Artworks_Export!B435="","",DB_Artworks_Export!B435)</f>
        <v/>
      </c>
      <c r="F435" s="2" t="str">
        <f>IF(DB_Artworks_Export!C435="","",DB_Artworks_Export!C435)</f>
        <v/>
      </c>
      <c r="G435" s="2" t="str">
        <f>IF(DB_Artworks_Export!D435="","",DB_Artworks_Export!D435)</f>
        <v/>
      </c>
      <c r="H435" s="2" t="str">
        <f>IF(DB_Artworks_Export!E435="","",DB_Artworks_Export!E435)</f>
        <v/>
      </c>
      <c r="I435" s="2" t="str">
        <f>IF(DB_Artworks_Export!F435="","",DB_Artworks_Export!F435)</f>
        <v/>
      </c>
      <c r="J435" s="2" t="str">
        <f>IF(DB_Artworks_Export!G435="","",DB_Artworks_Export!G435)</f>
        <v/>
      </c>
      <c r="K435" s="2" t="str">
        <f>IF(DB_Artworks_Export!H435="","",DB_Artworks_Export!H435)</f>
        <v/>
      </c>
      <c r="L435" s="2" t="str">
        <f>IF(DB_Artworks_Export!I435="","",DB_Artworks_Export!I435)</f>
        <v/>
      </c>
      <c r="M435" s="2" t="str">
        <f>IF(DB_Artworks_Export!J435="","",DB_Artworks_Export!J435)</f>
        <v/>
      </c>
      <c r="N435" s="2" t="str">
        <f>IF(DB_Artworks_Export!K435="","",DB_Artworks_Export!K435)</f>
        <v/>
      </c>
      <c r="O435" s="2" t="str">
        <f>IF(DB_Artworks_Export!L435="","",DB_Artworks_Export!L435)</f>
        <v/>
      </c>
      <c r="P435" s="2" t="str">
        <f>IF(DB_Artworks_Export!M435="","",DB_Artworks_Export!M435)</f>
        <v/>
      </c>
      <c r="Q435" s="2" t="str">
        <f>IF(DB_Artworks_Export!N435="","",DB_Artworks_Export!N435)</f>
        <v/>
      </c>
      <c r="R435" s="2" t="str">
        <f>IF($D435="","",IF(COUNTIF(DB_Categories_Export!$A:$A,$F435)&gt;0,"OK","INVALID CATEGORY"))</f>
        <v/>
      </c>
      <c r="S435" s="2" t="str">
        <f>IF($D435="","",COUNTIF(DB_Artwork_Sizes_Export!$B:$B,$D435))</f>
        <v/>
      </c>
      <c r="T435" s="2" t="str">
        <f>IF($D435="","",IFERROR(INDEX(DB_Artwork_Sizes_Export!$D:$D,MATCH($D435,DB_Artwork_Sizes_Export!$B:$B,0)),""))</f>
        <v/>
      </c>
      <c r="U435" s="2" t="str">
        <f>IF($D435="","",IFERROR(INDEX(DB_Artwork_Sizes_Export!$E:$E,MATCH($D435,DB_Artwork_Sizes_Export!$B:$B,0)),""))</f>
        <v/>
      </c>
      <c r="V435" s="2" t="str">
        <f>IF($D435="","",IFERROR(INDEX(DB_Artwork_Sizes_Export!$F:$F,MATCH($D435,DB_Artwork_Sizes_Export!$B:$B,0)),""))</f>
        <v/>
      </c>
      <c r="W435" s="2" t="str">
        <f t="shared" si="62"/>
        <v/>
      </c>
      <c r="X435" s="2"/>
      <c r="Y435" s="2"/>
      <c r="Z435" s="2"/>
      <c r="AA435" s="2"/>
      <c r="AB435" s="2"/>
      <c r="AC435" s="2"/>
      <c r="AD435" s="2"/>
      <c r="AE435" s="2"/>
      <c r="AF435" s="2" t="str">
        <f t="shared" si="63"/>
        <v/>
      </c>
      <c r="AG435" s="2" t="str">
        <f t="shared" si="64"/>
        <v/>
      </c>
      <c r="AH435" s="2" t="str">
        <f>IF($AG435="","",IFERROR(VLOOKUP($AG435,DB_Categories_Export!$A:$B,2,FALSE()),"INVALID CATEGORY"))</f>
        <v/>
      </c>
      <c r="AI435" s="2" t="str">
        <f t="shared" si="65"/>
        <v/>
      </c>
      <c r="AJ435" s="2" t="str">
        <f t="shared" si="66"/>
        <v/>
      </c>
      <c r="AK435" s="2" t="str">
        <f t="shared" si="67"/>
        <v/>
      </c>
      <c r="AL435" s="2" t="str">
        <f t="shared" si="68"/>
        <v/>
      </c>
      <c r="AM435" s="2" t="str">
        <f t="shared" si="69"/>
        <v/>
      </c>
      <c r="AN435" s="2"/>
      <c r="AO435" s="2"/>
    </row>
    <row r="436" spans="1:41" ht="12" customHeight="1" x14ac:dyDescent="0.3">
      <c r="A436" s="2"/>
      <c r="B436" s="2" t="str">
        <f t="shared" si="60"/>
        <v/>
      </c>
      <c r="C436" s="2" t="str">
        <f t="shared" si="61"/>
        <v/>
      </c>
      <c r="D436" s="2" t="str">
        <f>IF(DB_Artworks_Export!A436="","",DB_Artworks_Export!A436)</f>
        <v/>
      </c>
      <c r="E436" s="2" t="str">
        <f>IF(DB_Artworks_Export!B436="","",DB_Artworks_Export!B436)</f>
        <v/>
      </c>
      <c r="F436" s="2" t="str">
        <f>IF(DB_Artworks_Export!C436="","",DB_Artworks_Export!C436)</f>
        <v/>
      </c>
      <c r="G436" s="2" t="str">
        <f>IF(DB_Artworks_Export!D436="","",DB_Artworks_Export!D436)</f>
        <v/>
      </c>
      <c r="H436" s="2" t="str">
        <f>IF(DB_Artworks_Export!E436="","",DB_Artworks_Export!E436)</f>
        <v/>
      </c>
      <c r="I436" s="2" t="str">
        <f>IF(DB_Artworks_Export!F436="","",DB_Artworks_Export!F436)</f>
        <v/>
      </c>
      <c r="J436" s="2" t="str">
        <f>IF(DB_Artworks_Export!G436="","",DB_Artworks_Export!G436)</f>
        <v/>
      </c>
      <c r="K436" s="2" t="str">
        <f>IF(DB_Artworks_Export!H436="","",DB_Artworks_Export!H436)</f>
        <v/>
      </c>
      <c r="L436" s="2" t="str">
        <f>IF(DB_Artworks_Export!I436="","",DB_Artworks_Export!I436)</f>
        <v/>
      </c>
      <c r="M436" s="2" t="str">
        <f>IF(DB_Artworks_Export!J436="","",DB_Artworks_Export!J436)</f>
        <v/>
      </c>
      <c r="N436" s="2" t="str">
        <f>IF(DB_Artworks_Export!K436="","",DB_Artworks_Export!K436)</f>
        <v/>
      </c>
      <c r="O436" s="2" t="str">
        <f>IF(DB_Artworks_Export!L436="","",DB_Artworks_Export!L436)</f>
        <v/>
      </c>
      <c r="P436" s="2" t="str">
        <f>IF(DB_Artworks_Export!M436="","",DB_Artworks_Export!M436)</f>
        <v/>
      </c>
      <c r="Q436" s="2" t="str">
        <f>IF(DB_Artworks_Export!N436="","",DB_Artworks_Export!N436)</f>
        <v/>
      </c>
      <c r="R436" s="2" t="str">
        <f>IF($D436="","",IF(COUNTIF(DB_Categories_Export!$A:$A,$F436)&gt;0,"OK","INVALID CATEGORY"))</f>
        <v/>
      </c>
      <c r="S436" s="2" t="str">
        <f>IF($D436="","",COUNTIF(DB_Artwork_Sizes_Export!$B:$B,$D436))</f>
        <v/>
      </c>
      <c r="T436" s="2" t="str">
        <f>IF($D436="","",IFERROR(INDEX(DB_Artwork_Sizes_Export!$D:$D,MATCH($D436,DB_Artwork_Sizes_Export!$B:$B,0)),""))</f>
        <v/>
      </c>
      <c r="U436" s="2" t="str">
        <f>IF($D436="","",IFERROR(INDEX(DB_Artwork_Sizes_Export!$E:$E,MATCH($D436,DB_Artwork_Sizes_Export!$B:$B,0)),""))</f>
        <v/>
      </c>
      <c r="V436" s="2" t="str">
        <f>IF($D436="","",IFERROR(INDEX(DB_Artwork_Sizes_Export!$F:$F,MATCH($D436,DB_Artwork_Sizes_Export!$B:$B,0)),""))</f>
        <v/>
      </c>
      <c r="W436" s="2" t="str">
        <f t="shared" si="62"/>
        <v/>
      </c>
      <c r="X436" s="2"/>
      <c r="Y436" s="2"/>
      <c r="Z436" s="2"/>
      <c r="AA436" s="2"/>
      <c r="AB436" s="2"/>
      <c r="AC436" s="2"/>
      <c r="AD436" s="2"/>
      <c r="AE436" s="2"/>
      <c r="AF436" s="2" t="str">
        <f t="shared" si="63"/>
        <v/>
      </c>
      <c r="AG436" s="2" t="str">
        <f t="shared" si="64"/>
        <v/>
      </c>
      <c r="AH436" s="2" t="str">
        <f>IF($AG436="","",IFERROR(VLOOKUP($AG436,DB_Categories_Export!$A:$B,2,FALSE()),"INVALID CATEGORY"))</f>
        <v/>
      </c>
      <c r="AI436" s="2" t="str">
        <f t="shared" si="65"/>
        <v/>
      </c>
      <c r="AJ436" s="2" t="str">
        <f t="shared" si="66"/>
        <v/>
      </c>
      <c r="AK436" s="2" t="str">
        <f t="shared" si="67"/>
        <v/>
      </c>
      <c r="AL436" s="2" t="str">
        <f t="shared" si="68"/>
        <v/>
      </c>
      <c r="AM436" s="2" t="str">
        <f t="shared" si="69"/>
        <v/>
      </c>
      <c r="AN436" s="2"/>
      <c r="AO436" s="2"/>
    </row>
    <row r="437" spans="1:41" ht="12" customHeight="1" x14ac:dyDescent="0.3">
      <c r="A437" s="2"/>
      <c r="B437" s="2" t="str">
        <f t="shared" si="60"/>
        <v/>
      </c>
      <c r="C437" s="2" t="str">
        <f t="shared" si="61"/>
        <v/>
      </c>
      <c r="D437" s="2" t="str">
        <f>IF(DB_Artworks_Export!A437="","",DB_Artworks_Export!A437)</f>
        <v/>
      </c>
      <c r="E437" s="2" t="str">
        <f>IF(DB_Artworks_Export!B437="","",DB_Artworks_Export!B437)</f>
        <v/>
      </c>
      <c r="F437" s="2" t="str">
        <f>IF(DB_Artworks_Export!C437="","",DB_Artworks_Export!C437)</f>
        <v/>
      </c>
      <c r="G437" s="2" t="str">
        <f>IF(DB_Artworks_Export!D437="","",DB_Artworks_Export!D437)</f>
        <v/>
      </c>
      <c r="H437" s="2" t="str">
        <f>IF(DB_Artworks_Export!E437="","",DB_Artworks_Export!E437)</f>
        <v/>
      </c>
      <c r="I437" s="2" t="str">
        <f>IF(DB_Artworks_Export!F437="","",DB_Artworks_Export!F437)</f>
        <v/>
      </c>
      <c r="J437" s="2" t="str">
        <f>IF(DB_Artworks_Export!G437="","",DB_Artworks_Export!G437)</f>
        <v/>
      </c>
      <c r="K437" s="2" t="str">
        <f>IF(DB_Artworks_Export!H437="","",DB_Artworks_Export!H437)</f>
        <v/>
      </c>
      <c r="L437" s="2" t="str">
        <f>IF(DB_Artworks_Export!I437="","",DB_Artworks_Export!I437)</f>
        <v/>
      </c>
      <c r="M437" s="2" t="str">
        <f>IF(DB_Artworks_Export!J437="","",DB_Artworks_Export!J437)</f>
        <v/>
      </c>
      <c r="N437" s="2" t="str">
        <f>IF(DB_Artworks_Export!K437="","",DB_Artworks_Export!K437)</f>
        <v/>
      </c>
      <c r="O437" s="2" t="str">
        <f>IF(DB_Artworks_Export!L437="","",DB_Artworks_Export!L437)</f>
        <v/>
      </c>
      <c r="P437" s="2" t="str">
        <f>IF(DB_Artworks_Export!M437="","",DB_Artworks_Export!M437)</f>
        <v/>
      </c>
      <c r="Q437" s="2" t="str">
        <f>IF(DB_Artworks_Export!N437="","",DB_Artworks_Export!N437)</f>
        <v/>
      </c>
      <c r="R437" s="2" t="str">
        <f>IF($D437="","",IF(COUNTIF(DB_Categories_Export!$A:$A,$F437)&gt;0,"OK","INVALID CATEGORY"))</f>
        <v/>
      </c>
      <c r="S437" s="2" t="str">
        <f>IF($D437="","",COUNTIF(DB_Artwork_Sizes_Export!$B:$B,$D437))</f>
        <v/>
      </c>
      <c r="T437" s="2" t="str">
        <f>IF($D437="","",IFERROR(INDEX(DB_Artwork_Sizes_Export!$D:$D,MATCH($D437,DB_Artwork_Sizes_Export!$B:$B,0)),""))</f>
        <v/>
      </c>
      <c r="U437" s="2" t="str">
        <f>IF($D437="","",IFERROR(INDEX(DB_Artwork_Sizes_Export!$E:$E,MATCH($D437,DB_Artwork_Sizes_Export!$B:$B,0)),""))</f>
        <v/>
      </c>
      <c r="V437" s="2" t="str">
        <f>IF($D437="","",IFERROR(INDEX(DB_Artwork_Sizes_Export!$F:$F,MATCH($D437,DB_Artwork_Sizes_Export!$B:$B,0)),""))</f>
        <v/>
      </c>
      <c r="W437" s="2" t="str">
        <f t="shared" si="62"/>
        <v/>
      </c>
      <c r="X437" s="2"/>
      <c r="Y437" s="2"/>
      <c r="Z437" s="2"/>
      <c r="AA437" s="2"/>
      <c r="AB437" s="2"/>
      <c r="AC437" s="2"/>
      <c r="AD437" s="2"/>
      <c r="AE437" s="2"/>
      <c r="AF437" s="2" t="str">
        <f t="shared" si="63"/>
        <v/>
      </c>
      <c r="AG437" s="2" t="str">
        <f t="shared" si="64"/>
        <v/>
      </c>
      <c r="AH437" s="2" t="str">
        <f>IF($AG437="","",IFERROR(VLOOKUP($AG437,DB_Categories_Export!$A:$B,2,FALSE()),"INVALID CATEGORY"))</f>
        <v/>
      </c>
      <c r="AI437" s="2" t="str">
        <f t="shared" si="65"/>
        <v/>
      </c>
      <c r="AJ437" s="2" t="str">
        <f t="shared" si="66"/>
        <v/>
      </c>
      <c r="AK437" s="2" t="str">
        <f t="shared" si="67"/>
        <v/>
      </c>
      <c r="AL437" s="2" t="str">
        <f t="shared" si="68"/>
        <v/>
      </c>
      <c r="AM437" s="2" t="str">
        <f t="shared" si="69"/>
        <v/>
      </c>
      <c r="AN437" s="2"/>
      <c r="AO437" s="2"/>
    </row>
    <row r="438" spans="1:41" ht="12" customHeight="1" x14ac:dyDescent="0.3">
      <c r="A438" s="2"/>
      <c r="B438" s="2" t="str">
        <f t="shared" si="60"/>
        <v/>
      </c>
      <c r="C438" s="2" t="str">
        <f t="shared" si="61"/>
        <v/>
      </c>
      <c r="D438" s="2" t="str">
        <f>IF(DB_Artworks_Export!A438="","",DB_Artworks_Export!A438)</f>
        <v/>
      </c>
      <c r="E438" s="2" t="str">
        <f>IF(DB_Artworks_Export!B438="","",DB_Artworks_Export!B438)</f>
        <v/>
      </c>
      <c r="F438" s="2" t="str">
        <f>IF(DB_Artworks_Export!C438="","",DB_Artworks_Export!C438)</f>
        <v/>
      </c>
      <c r="G438" s="2" t="str">
        <f>IF(DB_Artworks_Export!D438="","",DB_Artworks_Export!D438)</f>
        <v/>
      </c>
      <c r="H438" s="2" t="str">
        <f>IF(DB_Artworks_Export!E438="","",DB_Artworks_Export!E438)</f>
        <v/>
      </c>
      <c r="I438" s="2" t="str">
        <f>IF(DB_Artworks_Export!F438="","",DB_Artworks_Export!F438)</f>
        <v/>
      </c>
      <c r="J438" s="2" t="str">
        <f>IF(DB_Artworks_Export!G438="","",DB_Artworks_Export!G438)</f>
        <v/>
      </c>
      <c r="K438" s="2" t="str">
        <f>IF(DB_Artworks_Export!H438="","",DB_Artworks_Export!H438)</f>
        <v/>
      </c>
      <c r="L438" s="2" t="str">
        <f>IF(DB_Artworks_Export!I438="","",DB_Artworks_Export!I438)</f>
        <v/>
      </c>
      <c r="M438" s="2" t="str">
        <f>IF(DB_Artworks_Export!J438="","",DB_Artworks_Export!J438)</f>
        <v/>
      </c>
      <c r="N438" s="2" t="str">
        <f>IF(DB_Artworks_Export!K438="","",DB_Artworks_Export!K438)</f>
        <v/>
      </c>
      <c r="O438" s="2" t="str">
        <f>IF(DB_Artworks_Export!L438="","",DB_Artworks_Export!L438)</f>
        <v/>
      </c>
      <c r="P438" s="2" t="str">
        <f>IF(DB_Artworks_Export!M438="","",DB_Artworks_Export!M438)</f>
        <v/>
      </c>
      <c r="Q438" s="2" t="str">
        <f>IF(DB_Artworks_Export!N438="","",DB_Artworks_Export!N438)</f>
        <v/>
      </c>
      <c r="R438" s="2" t="str">
        <f>IF($D438="","",IF(COUNTIF(DB_Categories_Export!$A:$A,$F438)&gt;0,"OK","INVALID CATEGORY"))</f>
        <v/>
      </c>
      <c r="S438" s="2" t="str">
        <f>IF($D438="","",COUNTIF(DB_Artwork_Sizes_Export!$B:$B,$D438))</f>
        <v/>
      </c>
      <c r="T438" s="2" t="str">
        <f>IF($D438="","",IFERROR(INDEX(DB_Artwork_Sizes_Export!$D:$D,MATCH($D438,DB_Artwork_Sizes_Export!$B:$B,0)),""))</f>
        <v/>
      </c>
      <c r="U438" s="2" t="str">
        <f>IF($D438="","",IFERROR(INDEX(DB_Artwork_Sizes_Export!$E:$E,MATCH($D438,DB_Artwork_Sizes_Export!$B:$B,0)),""))</f>
        <v/>
      </c>
      <c r="V438" s="2" t="str">
        <f>IF($D438="","",IFERROR(INDEX(DB_Artwork_Sizes_Export!$F:$F,MATCH($D438,DB_Artwork_Sizes_Export!$B:$B,0)),""))</f>
        <v/>
      </c>
      <c r="W438" s="2" t="str">
        <f t="shared" si="62"/>
        <v/>
      </c>
      <c r="X438" s="2"/>
      <c r="Y438" s="2"/>
      <c r="Z438" s="2"/>
      <c r="AA438" s="2"/>
      <c r="AB438" s="2"/>
      <c r="AC438" s="2"/>
      <c r="AD438" s="2"/>
      <c r="AE438" s="2"/>
      <c r="AF438" s="2" t="str">
        <f t="shared" si="63"/>
        <v/>
      </c>
      <c r="AG438" s="2" t="str">
        <f t="shared" si="64"/>
        <v/>
      </c>
      <c r="AH438" s="2" t="str">
        <f>IF($AG438="","",IFERROR(VLOOKUP($AG438,DB_Categories_Export!$A:$B,2,FALSE()),"INVALID CATEGORY"))</f>
        <v/>
      </c>
      <c r="AI438" s="2" t="str">
        <f t="shared" si="65"/>
        <v/>
      </c>
      <c r="AJ438" s="2" t="str">
        <f t="shared" si="66"/>
        <v/>
      </c>
      <c r="AK438" s="2" t="str">
        <f t="shared" si="67"/>
        <v/>
      </c>
      <c r="AL438" s="2" t="str">
        <f t="shared" si="68"/>
        <v/>
      </c>
      <c r="AM438" s="2" t="str">
        <f t="shared" si="69"/>
        <v/>
      </c>
      <c r="AN438" s="2"/>
      <c r="AO438" s="2"/>
    </row>
    <row r="439" spans="1:41" ht="12" customHeight="1" x14ac:dyDescent="0.3">
      <c r="A439" s="2"/>
      <c r="B439" s="2" t="str">
        <f t="shared" si="60"/>
        <v/>
      </c>
      <c r="C439" s="2" t="str">
        <f t="shared" si="61"/>
        <v/>
      </c>
      <c r="D439" s="2" t="str">
        <f>IF(DB_Artworks_Export!A439="","",DB_Artworks_Export!A439)</f>
        <v/>
      </c>
      <c r="E439" s="2" t="str">
        <f>IF(DB_Artworks_Export!B439="","",DB_Artworks_Export!B439)</f>
        <v/>
      </c>
      <c r="F439" s="2" t="str">
        <f>IF(DB_Artworks_Export!C439="","",DB_Artworks_Export!C439)</f>
        <v/>
      </c>
      <c r="G439" s="2" t="str">
        <f>IF(DB_Artworks_Export!D439="","",DB_Artworks_Export!D439)</f>
        <v/>
      </c>
      <c r="H439" s="2" t="str">
        <f>IF(DB_Artworks_Export!E439="","",DB_Artworks_Export!E439)</f>
        <v/>
      </c>
      <c r="I439" s="2" t="str">
        <f>IF(DB_Artworks_Export!F439="","",DB_Artworks_Export!F439)</f>
        <v/>
      </c>
      <c r="J439" s="2" t="str">
        <f>IF(DB_Artworks_Export!G439="","",DB_Artworks_Export!G439)</f>
        <v/>
      </c>
      <c r="K439" s="2" t="str">
        <f>IF(DB_Artworks_Export!H439="","",DB_Artworks_Export!H439)</f>
        <v/>
      </c>
      <c r="L439" s="2" t="str">
        <f>IF(DB_Artworks_Export!I439="","",DB_Artworks_Export!I439)</f>
        <v/>
      </c>
      <c r="M439" s="2" t="str">
        <f>IF(DB_Artworks_Export!J439="","",DB_Artworks_Export!J439)</f>
        <v/>
      </c>
      <c r="N439" s="2" t="str">
        <f>IF(DB_Artworks_Export!K439="","",DB_Artworks_Export!K439)</f>
        <v/>
      </c>
      <c r="O439" s="2" t="str">
        <f>IF(DB_Artworks_Export!L439="","",DB_Artworks_Export!L439)</f>
        <v/>
      </c>
      <c r="P439" s="2" t="str">
        <f>IF(DB_Artworks_Export!M439="","",DB_Artworks_Export!M439)</f>
        <v/>
      </c>
      <c r="Q439" s="2" t="str">
        <f>IF(DB_Artworks_Export!N439="","",DB_Artworks_Export!N439)</f>
        <v/>
      </c>
      <c r="R439" s="2" t="str">
        <f>IF($D439="","",IF(COUNTIF(DB_Categories_Export!$A:$A,$F439)&gt;0,"OK","INVALID CATEGORY"))</f>
        <v/>
      </c>
      <c r="S439" s="2" t="str">
        <f>IF($D439="","",COUNTIF(DB_Artwork_Sizes_Export!$B:$B,$D439))</f>
        <v/>
      </c>
      <c r="T439" s="2" t="str">
        <f>IF($D439="","",IFERROR(INDEX(DB_Artwork_Sizes_Export!$D:$D,MATCH($D439,DB_Artwork_Sizes_Export!$B:$B,0)),""))</f>
        <v/>
      </c>
      <c r="U439" s="2" t="str">
        <f>IF($D439="","",IFERROR(INDEX(DB_Artwork_Sizes_Export!$E:$E,MATCH($D439,DB_Artwork_Sizes_Export!$B:$B,0)),""))</f>
        <v/>
      </c>
      <c r="V439" s="2" t="str">
        <f>IF($D439="","",IFERROR(INDEX(DB_Artwork_Sizes_Export!$F:$F,MATCH($D439,DB_Artwork_Sizes_Export!$B:$B,0)),""))</f>
        <v/>
      </c>
      <c r="W439" s="2" t="str">
        <f t="shared" si="62"/>
        <v/>
      </c>
      <c r="X439" s="2"/>
      <c r="Y439" s="2"/>
      <c r="Z439" s="2"/>
      <c r="AA439" s="2"/>
      <c r="AB439" s="2"/>
      <c r="AC439" s="2"/>
      <c r="AD439" s="2"/>
      <c r="AE439" s="2"/>
      <c r="AF439" s="2" t="str">
        <f t="shared" si="63"/>
        <v/>
      </c>
      <c r="AG439" s="2" t="str">
        <f t="shared" si="64"/>
        <v/>
      </c>
      <c r="AH439" s="2" t="str">
        <f>IF($AG439="","",IFERROR(VLOOKUP($AG439,DB_Categories_Export!$A:$B,2,FALSE()),"INVALID CATEGORY"))</f>
        <v/>
      </c>
      <c r="AI439" s="2" t="str">
        <f t="shared" si="65"/>
        <v/>
      </c>
      <c r="AJ439" s="2" t="str">
        <f t="shared" si="66"/>
        <v/>
      </c>
      <c r="AK439" s="2" t="str">
        <f t="shared" si="67"/>
        <v/>
      </c>
      <c r="AL439" s="2" t="str">
        <f t="shared" si="68"/>
        <v/>
      </c>
      <c r="AM439" s="2" t="str">
        <f t="shared" si="69"/>
        <v/>
      </c>
      <c r="AN439" s="2"/>
      <c r="AO439" s="2"/>
    </row>
    <row r="440" spans="1:41" ht="12" customHeight="1" x14ac:dyDescent="0.3">
      <c r="A440" s="2"/>
      <c r="B440" s="2" t="str">
        <f t="shared" si="60"/>
        <v/>
      </c>
      <c r="C440" s="2" t="str">
        <f t="shared" si="61"/>
        <v/>
      </c>
      <c r="D440" s="2" t="str">
        <f>IF(DB_Artworks_Export!A440="","",DB_Artworks_Export!A440)</f>
        <v/>
      </c>
      <c r="E440" s="2" t="str">
        <f>IF(DB_Artworks_Export!B440="","",DB_Artworks_Export!B440)</f>
        <v/>
      </c>
      <c r="F440" s="2" t="str">
        <f>IF(DB_Artworks_Export!C440="","",DB_Artworks_Export!C440)</f>
        <v/>
      </c>
      <c r="G440" s="2" t="str">
        <f>IF(DB_Artworks_Export!D440="","",DB_Artworks_Export!D440)</f>
        <v/>
      </c>
      <c r="H440" s="2" t="str">
        <f>IF(DB_Artworks_Export!E440="","",DB_Artworks_Export!E440)</f>
        <v/>
      </c>
      <c r="I440" s="2" t="str">
        <f>IF(DB_Artworks_Export!F440="","",DB_Artworks_Export!F440)</f>
        <v/>
      </c>
      <c r="J440" s="2" t="str">
        <f>IF(DB_Artworks_Export!G440="","",DB_Artworks_Export!G440)</f>
        <v/>
      </c>
      <c r="K440" s="2" t="str">
        <f>IF(DB_Artworks_Export!H440="","",DB_Artworks_Export!H440)</f>
        <v/>
      </c>
      <c r="L440" s="2" t="str">
        <f>IF(DB_Artworks_Export!I440="","",DB_Artworks_Export!I440)</f>
        <v/>
      </c>
      <c r="M440" s="2" t="str">
        <f>IF(DB_Artworks_Export!J440="","",DB_Artworks_Export!J440)</f>
        <v/>
      </c>
      <c r="N440" s="2" t="str">
        <f>IF(DB_Artworks_Export!K440="","",DB_Artworks_Export!K440)</f>
        <v/>
      </c>
      <c r="O440" s="2" t="str">
        <f>IF(DB_Artworks_Export!L440="","",DB_Artworks_Export!L440)</f>
        <v/>
      </c>
      <c r="P440" s="2" t="str">
        <f>IF(DB_Artworks_Export!M440="","",DB_Artworks_Export!M440)</f>
        <v/>
      </c>
      <c r="Q440" s="2" t="str">
        <f>IF(DB_Artworks_Export!N440="","",DB_Artworks_Export!N440)</f>
        <v/>
      </c>
      <c r="R440" s="2" t="str">
        <f>IF($D440="","",IF(COUNTIF(DB_Categories_Export!$A:$A,$F440)&gt;0,"OK","INVALID CATEGORY"))</f>
        <v/>
      </c>
      <c r="S440" s="2" t="str">
        <f>IF($D440="","",COUNTIF(DB_Artwork_Sizes_Export!$B:$B,$D440))</f>
        <v/>
      </c>
      <c r="T440" s="2" t="str">
        <f>IF($D440="","",IFERROR(INDEX(DB_Artwork_Sizes_Export!$D:$D,MATCH($D440,DB_Artwork_Sizes_Export!$B:$B,0)),""))</f>
        <v/>
      </c>
      <c r="U440" s="2" t="str">
        <f>IF($D440="","",IFERROR(INDEX(DB_Artwork_Sizes_Export!$E:$E,MATCH($D440,DB_Artwork_Sizes_Export!$B:$B,0)),""))</f>
        <v/>
      </c>
      <c r="V440" s="2" t="str">
        <f>IF($D440="","",IFERROR(INDEX(DB_Artwork_Sizes_Export!$F:$F,MATCH($D440,DB_Artwork_Sizes_Export!$B:$B,0)),""))</f>
        <v/>
      </c>
      <c r="W440" s="2" t="str">
        <f t="shared" si="62"/>
        <v/>
      </c>
      <c r="X440" s="2"/>
      <c r="Y440" s="2"/>
      <c r="Z440" s="2"/>
      <c r="AA440" s="2"/>
      <c r="AB440" s="2"/>
      <c r="AC440" s="2"/>
      <c r="AD440" s="2"/>
      <c r="AE440" s="2"/>
      <c r="AF440" s="2" t="str">
        <f t="shared" si="63"/>
        <v/>
      </c>
      <c r="AG440" s="2" t="str">
        <f t="shared" si="64"/>
        <v/>
      </c>
      <c r="AH440" s="2" t="str">
        <f>IF($AG440="","",IFERROR(VLOOKUP($AG440,DB_Categories_Export!$A:$B,2,FALSE()),"INVALID CATEGORY"))</f>
        <v/>
      </c>
      <c r="AI440" s="2" t="str">
        <f t="shared" si="65"/>
        <v/>
      </c>
      <c r="AJ440" s="2" t="str">
        <f t="shared" si="66"/>
        <v/>
      </c>
      <c r="AK440" s="2" t="str">
        <f t="shared" si="67"/>
        <v/>
      </c>
      <c r="AL440" s="2" t="str">
        <f t="shared" si="68"/>
        <v/>
      </c>
      <c r="AM440" s="2" t="str">
        <f t="shared" si="69"/>
        <v/>
      </c>
      <c r="AN440" s="2"/>
      <c r="AO440" s="2"/>
    </row>
    <row r="441" spans="1:41" ht="12" customHeight="1" x14ac:dyDescent="0.3">
      <c r="A441" s="2"/>
      <c r="B441" s="2" t="str">
        <f t="shared" si="60"/>
        <v/>
      </c>
      <c r="C441" s="2" t="str">
        <f t="shared" si="61"/>
        <v/>
      </c>
      <c r="D441" s="2" t="str">
        <f>IF(DB_Artworks_Export!A441="","",DB_Artworks_Export!A441)</f>
        <v/>
      </c>
      <c r="E441" s="2" t="str">
        <f>IF(DB_Artworks_Export!B441="","",DB_Artworks_Export!B441)</f>
        <v/>
      </c>
      <c r="F441" s="2" t="str">
        <f>IF(DB_Artworks_Export!C441="","",DB_Artworks_Export!C441)</f>
        <v/>
      </c>
      <c r="G441" s="2" t="str">
        <f>IF(DB_Artworks_Export!D441="","",DB_Artworks_Export!D441)</f>
        <v/>
      </c>
      <c r="H441" s="2" t="str">
        <f>IF(DB_Artworks_Export!E441="","",DB_Artworks_Export!E441)</f>
        <v/>
      </c>
      <c r="I441" s="2" t="str">
        <f>IF(DB_Artworks_Export!F441="","",DB_Artworks_Export!F441)</f>
        <v/>
      </c>
      <c r="J441" s="2" t="str">
        <f>IF(DB_Artworks_Export!G441="","",DB_Artworks_Export!G441)</f>
        <v/>
      </c>
      <c r="K441" s="2" t="str">
        <f>IF(DB_Artworks_Export!H441="","",DB_Artworks_Export!H441)</f>
        <v/>
      </c>
      <c r="L441" s="2" t="str">
        <f>IF(DB_Artworks_Export!I441="","",DB_Artworks_Export!I441)</f>
        <v/>
      </c>
      <c r="M441" s="2" t="str">
        <f>IF(DB_Artworks_Export!J441="","",DB_Artworks_Export!J441)</f>
        <v/>
      </c>
      <c r="N441" s="2" t="str">
        <f>IF(DB_Artworks_Export!K441="","",DB_Artworks_Export!K441)</f>
        <v/>
      </c>
      <c r="O441" s="2" t="str">
        <f>IF(DB_Artworks_Export!L441="","",DB_Artworks_Export!L441)</f>
        <v/>
      </c>
      <c r="P441" s="2" t="str">
        <f>IF(DB_Artworks_Export!M441="","",DB_Artworks_Export!M441)</f>
        <v/>
      </c>
      <c r="Q441" s="2" t="str">
        <f>IF(DB_Artworks_Export!N441="","",DB_Artworks_Export!N441)</f>
        <v/>
      </c>
      <c r="R441" s="2" t="str">
        <f>IF($D441="","",IF(COUNTIF(DB_Categories_Export!$A:$A,$F441)&gt;0,"OK","INVALID CATEGORY"))</f>
        <v/>
      </c>
      <c r="S441" s="2" t="str">
        <f>IF($D441="","",COUNTIF(DB_Artwork_Sizes_Export!$B:$B,$D441))</f>
        <v/>
      </c>
      <c r="T441" s="2" t="str">
        <f>IF($D441="","",IFERROR(INDEX(DB_Artwork_Sizes_Export!$D:$D,MATCH($D441,DB_Artwork_Sizes_Export!$B:$B,0)),""))</f>
        <v/>
      </c>
      <c r="U441" s="2" t="str">
        <f>IF($D441="","",IFERROR(INDEX(DB_Artwork_Sizes_Export!$E:$E,MATCH($D441,DB_Artwork_Sizes_Export!$B:$B,0)),""))</f>
        <v/>
      </c>
      <c r="V441" s="2" t="str">
        <f>IF($D441="","",IFERROR(INDEX(DB_Artwork_Sizes_Export!$F:$F,MATCH($D441,DB_Artwork_Sizes_Export!$B:$B,0)),""))</f>
        <v/>
      </c>
      <c r="W441" s="2" t="str">
        <f t="shared" si="62"/>
        <v/>
      </c>
      <c r="X441" s="2"/>
      <c r="Y441" s="2"/>
      <c r="Z441" s="2"/>
      <c r="AA441" s="2"/>
      <c r="AB441" s="2"/>
      <c r="AC441" s="2"/>
      <c r="AD441" s="2"/>
      <c r="AE441" s="2"/>
      <c r="AF441" s="2" t="str">
        <f t="shared" si="63"/>
        <v/>
      </c>
      <c r="AG441" s="2" t="str">
        <f t="shared" si="64"/>
        <v/>
      </c>
      <c r="AH441" s="2" t="str">
        <f>IF($AG441="","",IFERROR(VLOOKUP($AG441,DB_Categories_Export!$A:$B,2,FALSE()),"INVALID CATEGORY"))</f>
        <v/>
      </c>
      <c r="AI441" s="2" t="str">
        <f t="shared" si="65"/>
        <v/>
      </c>
      <c r="AJ441" s="2" t="str">
        <f t="shared" si="66"/>
        <v/>
      </c>
      <c r="AK441" s="2" t="str">
        <f t="shared" si="67"/>
        <v/>
      </c>
      <c r="AL441" s="2" t="str">
        <f t="shared" si="68"/>
        <v/>
      </c>
      <c r="AM441" s="2" t="str">
        <f t="shared" si="69"/>
        <v/>
      </c>
      <c r="AN441" s="2"/>
      <c r="AO441" s="2"/>
    </row>
    <row r="442" spans="1:41" ht="12" customHeight="1" x14ac:dyDescent="0.3">
      <c r="A442" s="2"/>
      <c r="B442" s="2" t="str">
        <f t="shared" si="60"/>
        <v/>
      </c>
      <c r="C442" s="2" t="str">
        <f t="shared" si="61"/>
        <v/>
      </c>
      <c r="D442" s="2" t="str">
        <f>IF(DB_Artworks_Export!A442="","",DB_Artworks_Export!A442)</f>
        <v/>
      </c>
      <c r="E442" s="2" t="str">
        <f>IF(DB_Artworks_Export!B442="","",DB_Artworks_Export!B442)</f>
        <v/>
      </c>
      <c r="F442" s="2" t="str">
        <f>IF(DB_Artworks_Export!C442="","",DB_Artworks_Export!C442)</f>
        <v/>
      </c>
      <c r="G442" s="2" t="str">
        <f>IF(DB_Artworks_Export!D442="","",DB_Artworks_Export!D442)</f>
        <v/>
      </c>
      <c r="H442" s="2" t="str">
        <f>IF(DB_Artworks_Export!E442="","",DB_Artworks_Export!E442)</f>
        <v/>
      </c>
      <c r="I442" s="2" t="str">
        <f>IF(DB_Artworks_Export!F442="","",DB_Artworks_Export!F442)</f>
        <v/>
      </c>
      <c r="J442" s="2" t="str">
        <f>IF(DB_Artworks_Export!G442="","",DB_Artworks_Export!G442)</f>
        <v/>
      </c>
      <c r="K442" s="2" t="str">
        <f>IF(DB_Artworks_Export!H442="","",DB_Artworks_Export!H442)</f>
        <v/>
      </c>
      <c r="L442" s="2" t="str">
        <f>IF(DB_Artworks_Export!I442="","",DB_Artworks_Export!I442)</f>
        <v/>
      </c>
      <c r="M442" s="2" t="str">
        <f>IF(DB_Artworks_Export!J442="","",DB_Artworks_Export!J442)</f>
        <v/>
      </c>
      <c r="N442" s="2" t="str">
        <f>IF(DB_Artworks_Export!K442="","",DB_Artworks_Export!K442)</f>
        <v/>
      </c>
      <c r="O442" s="2" t="str">
        <f>IF(DB_Artworks_Export!L442="","",DB_Artworks_Export!L442)</f>
        <v/>
      </c>
      <c r="P442" s="2" t="str">
        <f>IF(DB_Artworks_Export!M442="","",DB_Artworks_Export!M442)</f>
        <v/>
      </c>
      <c r="Q442" s="2" t="str">
        <f>IF(DB_Artworks_Export!N442="","",DB_Artworks_Export!N442)</f>
        <v/>
      </c>
      <c r="R442" s="2" t="str">
        <f>IF($D442="","",IF(COUNTIF(DB_Categories_Export!$A:$A,$F442)&gt;0,"OK","INVALID CATEGORY"))</f>
        <v/>
      </c>
      <c r="S442" s="2" t="str">
        <f>IF($D442="","",COUNTIF(DB_Artwork_Sizes_Export!$B:$B,$D442))</f>
        <v/>
      </c>
      <c r="T442" s="2" t="str">
        <f>IF($D442="","",IFERROR(INDEX(DB_Artwork_Sizes_Export!$D:$D,MATCH($D442,DB_Artwork_Sizes_Export!$B:$B,0)),""))</f>
        <v/>
      </c>
      <c r="U442" s="2" t="str">
        <f>IF($D442="","",IFERROR(INDEX(DB_Artwork_Sizes_Export!$E:$E,MATCH($D442,DB_Artwork_Sizes_Export!$B:$B,0)),""))</f>
        <v/>
      </c>
      <c r="V442" s="2" t="str">
        <f>IF($D442="","",IFERROR(INDEX(DB_Artwork_Sizes_Export!$F:$F,MATCH($D442,DB_Artwork_Sizes_Export!$B:$B,0)),""))</f>
        <v/>
      </c>
      <c r="W442" s="2" t="str">
        <f t="shared" si="62"/>
        <v/>
      </c>
      <c r="X442" s="2"/>
      <c r="Y442" s="2"/>
      <c r="Z442" s="2"/>
      <c r="AA442" s="2"/>
      <c r="AB442" s="2"/>
      <c r="AC442" s="2"/>
      <c r="AD442" s="2"/>
      <c r="AE442" s="2"/>
      <c r="AF442" s="2" t="str">
        <f t="shared" si="63"/>
        <v/>
      </c>
      <c r="AG442" s="2" t="str">
        <f t="shared" si="64"/>
        <v/>
      </c>
      <c r="AH442" s="2" t="str">
        <f>IF($AG442="","",IFERROR(VLOOKUP($AG442,DB_Categories_Export!$A:$B,2,FALSE()),"INVALID CATEGORY"))</f>
        <v/>
      </c>
      <c r="AI442" s="2" t="str">
        <f t="shared" si="65"/>
        <v/>
      </c>
      <c r="AJ442" s="2" t="str">
        <f t="shared" si="66"/>
        <v/>
      </c>
      <c r="AK442" s="2" t="str">
        <f t="shared" si="67"/>
        <v/>
      </c>
      <c r="AL442" s="2" t="str">
        <f t="shared" si="68"/>
        <v/>
      </c>
      <c r="AM442" s="2" t="str">
        <f t="shared" si="69"/>
        <v/>
      </c>
      <c r="AN442" s="2"/>
      <c r="AO442" s="2"/>
    </row>
    <row r="443" spans="1:41" ht="12" customHeight="1" x14ac:dyDescent="0.3">
      <c r="A443" s="2"/>
      <c r="B443" s="2" t="str">
        <f t="shared" si="60"/>
        <v/>
      </c>
      <c r="C443" s="2" t="str">
        <f t="shared" si="61"/>
        <v/>
      </c>
      <c r="D443" s="2" t="str">
        <f>IF(DB_Artworks_Export!A443="","",DB_Artworks_Export!A443)</f>
        <v/>
      </c>
      <c r="E443" s="2" t="str">
        <f>IF(DB_Artworks_Export!B443="","",DB_Artworks_Export!B443)</f>
        <v/>
      </c>
      <c r="F443" s="2" t="str">
        <f>IF(DB_Artworks_Export!C443="","",DB_Artworks_Export!C443)</f>
        <v/>
      </c>
      <c r="G443" s="2" t="str">
        <f>IF(DB_Artworks_Export!D443="","",DB_Artworks_Export!D443)</f>
        <v/>
      </c>
      <c r="H443" s="2" t="str">
        <f>IF(DB_Artworks_Export!E443="","",DB_Artworks_Export!E443)</f>
        <v/>
      </c>
      <c r="I443" s="2" t="str">
        <f>IF(DB_Artworks_Export!F443="","",DB_Artworks_Export!F443)</f>
        <v/>
      </c>
      <c r="J443" s="2" t="str">
        <f>IF(DB_Artworks_Export!G443="","",DB_Artworks_Export!G443)</f>
        <v/>
      </c>
      <c r="K443" s="2" t="str">
        <f>IF(DB_Artworks_Export!H443="","",DB_Artworks_Export!H443)</f>
        <v/>
      </c>
      <c r="L443" s="2" t="str">
        <f>IF(DB_Artworks_Export!I443="","",DB_Artworks_Export!I443)</f>
        <v/>
      </c>
      <c r="M443" s="2" t="str">
        <f>IF(DB_Artworks_Export!J443="","",DB_Artworks_Export!J443)</f>
        <v/>
      </c>
      <c r="N443" s="2" t="str">
        <f>IF(DB_Artworks_Export!K443="","",DB_Artworks_Export!K443)</f>
        <v/>
      </c>
      <c r="O443" s="2" t="str">
        <f>IF(DB_Artworks_Export!L443="","",DB_Artworks_Export!L443)</f>
        <v/>
      </c>
      <c r="P443" s="2" t="str">
        <f>IF(DB_Artworks_Export!M443="","",DB_Artworks_Export!M443)</f>
        <v/>
      </c>
      <c r="Q443" s="2" t="str">
        <f>IF(DB_Artworks_Export!N443="","",DB_Artworks_Export!N443)</f>
        <v/>
      </c>
      <c r="R443" s="2" t="str">
        <f>IF($D443="","",IF(COUNTIF(DB_Categories_Export!$A:$A,$F443)&gt;0,"OK","INVALID CATEGORY"))</f>
        <v/>
      </c>
      <c r="S443" s="2" t="str">
        <f>IF($D443="","",COUNTIF(DB_Artwork_Sizes_Export!$B:$B,$D443))</f>
        <v/>
      </c>
      <c r="T443" s="2" t="str">
        <f>IF($D443="","",IFERROR(INDEX(DB_Artwork_Sizes_Export!$D:$D,MATCH($D443,DB_Artwork_Sizes_Export!$B:$B,0)),""))</f>
        <v/>
      </c>
      <c r="U443" s="2" t="str">
        <f>IF($D443="","",IFERROR(INDEX(DB_Artwork_Sizes_Export!$E:$E,MATCH($D443,DB_Artwork_Sizes_Export!$B:$B,0)),""))</f>
        <v/>
      </c>
      <c r="V443" s="2" t="str">
        <f>IF($D443="","",IFERROR(INDEX(DB_Artwork_Sizes_Export!$F:$F,MATCH($D443,DB_Artwork_Sizes_Export!$B:$B,0)),""))</f>
        <v/>
      </c>
      <c r="W443" s="2" t="str">
        <f t="shared" si="62"/>
        <v/>
      </c>
      <c r="X443" s="2"/>
      <c r="Y443" s="2"/>
      <c r="Z443" s="2"/>
      <c r="AA443" s="2"/>
      <c r="AB443" s="2"/>
      <c r="AC443" s="2"/>
      <c r="AD443" s="2"/>
      <c r="AE443" s="2"/>
      <c r="AF443" s="2" t="str">
        <f t="shared" si="63"/>
        <v/>
      </c>
      <c r="AG443" s="2" t="str">
        <f t="shared" si="64"/>
        <v/>
      </c>
      <c r="AH443" s="2" t="str">
        <f>IF($AG443="","",IFERROR(VLOOKUP($AG443,DB_Categories_Export!$A:$B,2,FALSE()),"INVALID CATEGORY"))</f>
        <v/>
      </c>
      <c r="AI443" s="2" t="str">
        <f t="shared" si="65"/>
        <v/>
      </c>
      <c r="AJ443" s="2" t="str">
        <f t="shared" si="66"/>
        <v/>
      </c>
      <c r="AK443" s="2" t="str">
        <f t="shared" si="67"/>
        <v/>
      </c>
      <c r="AL443" s="2" t="str">
        <f t="shared" si="68"/>
        <v/>
      </c>
      <c r="AM443" s="2" t="str">
        <f t="shared" si="69"/>
        <v/>
      </c>
      <c r="AN443" s="2"/>
      <c r="AO443" s="2"/>
    </row>
    <row r="444" spans="1:41" ht="12" customHeight="1" x14ac:dyDescent="0.3">
      <c r="A444" s="2"/>
      <c r="B444" s="2" t="str">
        <f t="shared" si="60"/>
        <v/>
      </c>
      <c r="C444" s="2" t="str">
        <f t="shared" si="61"/>
        <v/>
      </c>
      <c r="D444" s="2" t="str">
        <f>IF(DB_Artworks_Export!A444="","",DB_Artworks_Export!A444)</f>
        <v/>
      </c>
      <c r="E444" s="2" t="str">
        <f>IF(DB_Artworks_Export!B444="","",DB_Artworks_Export!B444)</f>
        <v/>
      </c>
      <c r="F444" s="2" t="str">
        <f>IF(DB_Artworks_Export!C444="","",DB_Artworks_Export!C444)</f>
        <v/>
      </c>
      <c r="G444" s="2" t="str">
        <f>IF(DB_Artworks_Export!D444="","",DB_Artworks_Export!D444)</f>
        <v/>
      </c>
      <c r="H444" s="2" t="str">
        <f>IF(DB_Artworks_Export!E444="","",DB_Artworks_Export!E444)</f>
        <v/>
      </c>
      <c r="I444" s="2" t="str">
        <f>IF(DB_Artworks_Export!F444="","",DB_Artworks_Export!F444)</f>
        <v/>
      </c>
      <c r="J444" s="2" t="str">
        <f>IF(DB_Artworks_Export!G444="","",DB_Artworks_Export!G444)</f>
        <v/>
      </c>
      <c r="K444" s="2" t="str">
        <f>IF(DB_Artworks_Export!H444="","",DB_Artworks_Export!H444)</f>
        <v/>
      </c>
      <c r="L444" s="2" t="str">
        <f>IF(DB_Artworks_Export!I444="","",DB_Artworks_Export!I444)</f>
        <v/>
      </c>
      <c r="M444" s="2" t="str">
        <f>IF(DB_Artworks_Export!J444="","",DB_Artworks_Export!J444)</f>
        <v/>
      </c>
      <c r="N444" s="2" t="str">
        <f>IF(DB_Artworks_Export!K444="","",DB_Artworks_Export!K444)</f>
        <v/>
      </c>
      <c r="O444" s="2" t="str">
        <f>IF(DB_Artworks_Export!L444="","",DB_Artworks_Export!L444)</f>
        <v/>
      </c>
      <c r="P444" s="2" t="str">
        <f>IF(DB_Artworks_Export!M444="","",DB_Artworks_Export!M444)</f>
        <v/>
      </c>
      <c r="Q444" s="2" t="str">
        <f>IF(DB_Artworks_Export!N444="","",DB_Artworks_Export!N444)</f>
        <v/>
      </c>
      <c r="R444" s="2" t="str">
        <f>IF($D444="","",IF(COUNTIF(DB_Categories_Export!$A:$A,$F444)&gt;0,"OK","INVALID CATEGORY"))</f>
        <v/>
      </c>
      <c r="S444" s="2" t="str">
        <f>IF($D444="","",COUNTIF(DB_Artwork_Sizes_Export!$B:$B,$D444))</f>
        <v/>
      </c>
      <c r="T444" s="2" t="str">
        <f>IF($D444="","",IFERROR(INDEX(DB_Artwork_Sizes_Export!$D:$D,MATCH($D444,DB_Artwork_Sizes_Export!$B:$B,0)),""))</f>
        <v/>
      </c>
      <c r="U444" s="2" t="str">
        <f>IF($D444="","",IFERROR(INDEX(DB_Artwork_Sizes_Export!$E:$E,MATCH($D444,DB_Artwork_Sizes_Export!$B:$B,0)),""))</f>
        <v/>
      </c>
      <c r="V444" s="2" t="str">
        <f>IF($D444="","",IFERROR(INDEX(DB_Artwork_Sizes_Export!$F:$F,MATCH($D444,DB_Artwork_Sizes_Export!$B:$B,0)),""))</f>
        <v/>
      </c>
      <c r="W444" s="2" t="str">
        <f t="shared" si="62"/>
        <v/>
      </c>
      <c r="X444" s="2"/>
      <c r="Y444" s="2"/>
      <c r="Z444" s="2"/>
      <c r="AA444" s="2"/>
      <c r="AB444" s="2"/>
      <c r="AC444" s="2"/>
      <c r="AD444" s="2"/>
      <c r="AE444" s="2"/>
      <c r="AF444" s="2" t="str">
        <f t="shared" si="63"/>
        <v/>
      </c>
      <c r="AG444" s="2" t="str">
        <f t="shared" si="64"/>
        <v/>
      </c>
      <c r="AH444" s="2" t="str">
        <f>IF($AG444="","",IFERROR(VLOOKUP($AG444,DB_Categories_Export!$A:$B,2,FALSE()),"INVALID CATEGORY"))</f>
        <v/>
      </c>
      <c r="AI444" s="2" t="str">
        <f t="shared" si="65"/>
        <v/>
      </c>
      <c r="AJ444" s="2" t="str">
        <f t="shared" si="66"/>
        <v/>
      </c>
      <c r="AK444" s="2" t="str">
        <f t="shared" si="67"/>
        <v/>
      </c>
      <c r="AL444" s="2" t="str">
        <f t="shared" si="68"/>
        <v/>
      </c>
      <c r="AM444" s="2" t="str">
        <f t="shared" si="69"/>
        <v/>
      </c>
      <c r="AN444" s="2"/>
      <c r="AO444" s="2"/>
    </row>
    <row r="445" spans="1:41" ht="12" customHeight="1" x14ac:dyDescent="0.3">
      <c r="A445" s="2"/>
      <c r="B445" s="2" t="str">
        <f t="shared" si="60"/>
        <v/>
      </c>
      <c r="C445" s="2" t="str">
        <f t="shared" si="61"/>
        <v/>
      </c>
      <c r="D445" s="2" t="str">
        <f>IF(DB_Artworks_Export!A445="","",DB_Artworks_Export!A445)</f>
        <v/>
      </c>
      <c r="E445" s="2" t="str">
        <f>IF(DB_Artworks_Export!B445="","",DB_Artworks_Export!B445)</f>
        <v/>
      </c>
      <c r="F445" s="2" t="str">
        <f>IF(DB_Artworks_Export!C445="","",DB_Artworks_Export!C445)</f>
        <v/>
      </c>
      <c r="G445" s="2" t="str">
        <f>IF(DB_Artworks_Export!D445="","",DB_Artworks_Export!D445)</f>
        <v/>
      </c>
      <c r="H445" s="2" t="str">
        <f>IF(DB_Artworks_Export!E445="","",DB_Artworks_Export!E445)</f>
        <v/>
      </c>
      <c r="I445" s="2" t="str">
        <f>IF(DB_Artworks_Export!F445="","",DB_Artworks_Export!F445)</f>
        <v/>
      </c>
      <c r="J445" s="2" t="str">
        <f>IF(DB_Artworks_Export!G445="","",DB_Artworks_Export!G445)</f>
        <v/>
      </c>
      <c r="K445" s="2" t="str">
        <f>IF(DB_Artworks_Export!H445="","",DB_Artworks_Export!H445)</f>
        <v/>
      </c>
      <c r="L445" s="2" t="str">
        <f>IF(DB_Artworks_Export!I445="","",DB_Artworks_Export!I445)</f>
        <v/>
      </c>
      <c r="M445" s="2" t="str">
        <f>IF(DB_Artworks_Export!J445="","",DB_Artworks_Export!J445)</f>
        <v/>
      </c>
      <c r="N445" s="2" t="str">
        <f>IF(DB_Artworks_Export!K445="","",DB_Artworks_Export!K445)</f>
        <v/>
      </c>
      <c r="O445" s="2" t="str">
        <f>IF(DB_Artworks_Export!L445="","",DB_Artworks_Export!L445)</f>
        <v/>
      </c>
      <c r="P445" s="2" t="str">
        <f>IF(DB_Artworks_Export!M445="","",DB_Artworks_Export!M445)</f>
        <v/>
      </c>
      <c r="Q445" s="2" t="str">
        <f>IF(DB_Artworks_Export!N445="","",DB_Artworks_Export!N445)</f>
        <v/>
      </c>
      <c r="R445" s="2" t="str">
        <f>IF($D445="","",IF(COUNTIF(DB_Categories_Export!$A:$A,$F445)&gt;0,"OK","INVALID CATEGORY"))</f>
        <v/>
      </c>
      <c r="S445" s="2" t="str">
        <f>IF($D445="","",COUNTIF(DB_Artwork_Sizes_Export!$B:$B,$D445))</f>
        <v/>
      </c>
      <c r="T445" s="2" t="str">
        <f>IF($D445="","",IFERROR(INDEX(DB_Artwork_Sizes_Export!$D:$D,MATCH($D445,DB_Artwork_Sizes_Export!$B:$B,0)),""))</f>
        <v/>
      </c>
      <c r="U445" s="2" t="str">
        <f>IF($D445="","",IFERROR(INDEX(DB_Artwork_Sizes_Export!$E:$E,MATCH($D445,DB_Artwork_Sizes_Export!$B:$B,0)),""))</f>
        <v/>
      </c>
      <c r="V445" s="2" t="str">
        <f>IF($D445="","",IFERROR(INDEX(DB_Artwork_Sizes_Export!$F:$F,MATCH($D445,DB_Artwork_Sizes_Export!$B:$B,0)),""))</f>
        <v/>
      </c>
      <c r="W445" s="2" t="str">
        <f t="shared" si="62"/>
        <v/>
      </c>
      <c r="X445" s="2"/>
      <c r="Y445" s="2"/>
      <c r="Z445" s="2"/>
      <c r="AA445" s="2"/>
      <c r="AB445" s="2"/>
      <c r="AC445" s="2"/>
      <c r="AD445" s="2"/>
      <c r="AE445" s="2"/>
      <c r="AF445" s="2" t="str">
        <f t="shared" si="63"/>
        <v/>
      </c>
      <c r="AG445" s="2" t="str">
        <f t="shared" si="64"/>
        <v/>
      </c>
      <c r="AH445" s="2" t="str">
        <f>IF($AG445="","",IFERROR(VLOOKUP($AG445,DB_Categories_Export!$A:$B,2,FALSE()),"INVALID CATEGORY"))</f>
        <v/>
      </c>
      <c r="AI445" s="2" t="str">
        <f t="shared" si="65"/>
        <v/>
      </c>
      <c r="AJ445" s="2" t="str">
        <f t="shared" si="66"/>
        <v/>
      </c>
      <c r="AK445" s="2" t="str">
        <f t="shared" si="67"/>
        <v/>
      </c>
      <c r="AL445" s="2" t="str">
        <f t="shared" si="68"/>
        <v/>
      </c>
      <c r="AM445" s="2" t="str">
        <f t="shared" si="69"/>
        <v/>
      </c>
      <c r="AN445" s="2"/>
      <c r="AO445" s="2"/>
    </row>
    <row r="446" spans="1:41" ht="12" customHeight="1" x14ac:dyDescent="0.3">
      <c r="A446" s="2"/>
      <c r="B446" s="2" t="str">
        <f t="shared" si="60"/>
        <v/>
      </c>
      <c r="C446" s="2" t="str">
        <f t="shared" si="61"/>
        <v/>
      </c>
      <c r="D446" s="2" t="str">
        <f>IF(DB_Artworks_Export!A446="","",DB_Artworks_Export!A446)</f>
        <v/>
      </c>
      <c r="E446" s="2" t="str">
        <f>IF(DB_Artworks_Export!B446="","",DB_Artworks_Export!B446)</f>
        <v/>
      </c>
      <c r="F446" s="2" t="str">
        <f>IF(DB_Artworks_Export!C446="","",DB_Artworks_Export!C446)</f>
        <v/>
      </c>
      <c r="G446" s="2" t="str">
        <f>IF(DB_Artworks_Export!D446="","",DB_Artworks_Export!D446)</f>
        <v/>
      </c>
      <c r="H446" s="2" t="str">
        <f>IF(DB_Artworks_Export!E446="","",DB_Artworks_Export!E446)</f>
        <v/>
      </c>
      <c r="I446" s="2" t="str">
        <f>IF(DB_Artworks_Export!F446="","",DB_Artworks_Export!F446)</f>
        <v/>
      </c>
      <c r="J446" s="2" t="str">
        <f>IF(DB_Artworks_Export!G446="","",DB_Artworks_Export!G446)</f>
        <v/>
      </c>
      <c r="K446" s="2" t="str">
        <f>IF(DB_Artworks_Export!H446="","",DB_Artworks_Export!H446)</f>
        <v/>
      </c>
      <c r="L446" s="2" t="str">
        <f>IF(DB_Artworks_Export!I446="","",DB_Artworks_Export!I446)</f>
        <v/>
      </c>
      <c r="M446" s="2" t="str">
        <f>IF(DB_Artworks_Export!J446="","",DB_Artworks_Export!J446)</f>
        <v/>
      </c>
      <c r="N446" s="2" t="str">
        <f>IF(DB_Artworks_Export!K446="","",DB_Artworks_Export!K446)</f>
        <v/>
      </c>
      <c r="O446" s="2" t="str">
        <f>IF(DB_Artworks_Export!L446="","",DB_Artworks_Export!L446)</f>
        <v/>
      </c>
      <c r="P446" s="2" t="str">
        <f>IF(DB_Artworks_Export!M446="","",DB_Artworks_Export!M446)</f>
        <v/>
      </c>
      <c r="Q446" s="2" t="str">
        <f>IF(DB_Artworks_Export!N446="","",DB_Artworks_Export!N446)</f>
        <v/>
      </c>
      <c r="R446" s="2" t="str">
        <f>IF($D446="","",IF(COUNTIF(DB_Categories_Export!$A:$A,$F446)&gt;0,"OK","INVALID CATEGORY"))</f>
        <v/>
      </c>
      <c r="S446" s="2" t="str">
        <f>IF($D446="","",COUNTIF(DB_Artwork_Sizes_Export!$B:$B,$D446))</f>
        <v/>
      </c>
      <c r="T446" s="2" t="str">
        <f>IF($D446="","",IFERROR(INDEX(DB_Artwork_Sizes_Export!$D:$D,MATCH($D446,DB_Artwork_Sizes_Export!$B:$B,0)),""))</f>
        <v/>
      </c>
      <c r="U446" s="2" t="str">
        <f>IF($D446="","",IFERROR(INDEX(DB_Artwork_Sizes_Export!$E:$E,MATCH($D446,DB_Artwork_Sizes_Export!$B:$B,0)),""))</f>
        <v/>
      </c>
      <c r="V446" s="2" t="str">
        <f>IF($D446="","",IFERROR(INDEX(DB_Artwork_Sizes_Export!$F:$F,MATCH($D446,DB_Artwork_Sizes_Export!$B:$B,0)),""))</f>
        <v/>
      </c>
      <c r="W446" s="2" t="str">
        <f t="shared" si="62"/>
        <v/>
      </c>
      <c r="X446" s="2"/>
      <c r="Y446" s="2"/>
      <c r="Z446" s="2"/>
      <c r="AA446" s="2"/>
      <c r="AB446" s="2"/>
      <c r="AC446" s="2"/>
      <c r="AD446" s="2"/>
      <c r="AE446" s="2"/>
      <c r="AF446" s="2" t="str">
        <f t="shared" si="63"/>
        <v/>
      </c>
      <c r="AG446" s="2" t="str">
        <f t="shared" si="64"/>
        <v/>
      </c>
      <c r="AH446" s="2" t="str">
        <f>IF($AG446="","",IFERROR(VLOOKUP($AG446,DB_Categories_Export!$A:$B,2,FALSE()),"INVALID CATEGORY"))</f>
        <v/>
      </c>
      <c r="AI446" s="2" t="str">
        <f t="shared" si="65"/>
        <v/>
      </c>
      <c r="AJ446" s="2" t="str">
        <f t="shared" si="66"/>
        <v/>
      </c>
      <c r="AK446" s="2" t="str">
        <f t="shared" si="67"/>
        <v/>
      </c>
      <c r="AL446" s="2" t="str">
        <f t="shared" si="68"/>
        <v/>
      </c>
      <c r="AM446" s="2" t="str">
        <f t="shared" si="69"/>
        <v/>
      </c>
      <c r="AN446" s="2"/>
      <c r="AO446" s="2"/>
    </row>
    <row r="447" spans="1:41" ht="12" customHeight="1" x14ac:dyDescent="0.3">
      <c r="A447" s="2"/>
      <c r="B447" s="2" t="str">
        <f t="shared" si="60"/>
        <v/>
      </c>
      <c r="C447" s="2" t="str">
        <f t="shared" si="61"/>
        <v/>
      </c>
      <c r="D447" s="2" t="str">
        <f>IF(DB_Artworks_Export!A447="","",DB_Artworks_Export!A447)</f>
        <v/>
      </c>
      <c r="E447" s="2" t="str">
        <f>IF(DB_Artworks_Export!B447="","",DB_Artworks_Export!B447)</f>
        <v/>
      </c>
      <c r="F447" s="2" t="str">
        <f>IF(DB_Artworks_Export!C447="","",DB_Artworks_Export!C447)</f>
        <v/>
      </c>
      <c r="G447" s="2" t="str">
        <f>IF(DB_Artworks_Export!D447="","",DB_Artworks_Export!D447)</f>
        <v/>
      </c>
      <c r="H447" s="2" t="str">
        <f>IF(DB_Artworks_Export!E447="","",DB_Artworks_Export!E447)</f>
        <v/>
      </c>
      <c r="I447" s="2" t="str">
        <f>IF(DB_Artworks_Export!F447="","",DB_Artworks_Export!F447)</f>
        <v/>
      </c>
      <c r="J447" s="2" t="str">
        <f>IF(DB_Artworks_Export!G447="","",DB_Artworks_Export!G447)</f>
        <v/>
      </c>
      <c r="K447" s="2" t="str">
        <f>IF(DB_Artworks_Export!H447="","",DB_Artworks_Export!H447)</f>
        <v/>
      </c>
      <c r="L447" s="2" t="str">
        <f>IF(DB_Artworks_Export!I447="","",DB_Artworks_Export!I447)</f>
        <v/>
      </c>
      <c r="M447" s="2" t="str">
        <f>IF(DB_Artworks_Export!J447="","",DB_Artworks_Export!J447)</f>
        <v/>
      </c>
      <c r="N447" s="2" t="str">
        <f>IF(DB_Artworks_Export!K447="","",DB_Artworks_Export!K447)</f>
        <v/>
      </c>
      <c r="O447" s="2" t="str">
        <f>IF(DB_Artworks_Export!L447="","",DB_Artworks_Export!L447)</f>
        <v/>
      </c>
      <c r="P447" s="2" t="str">
        <f>IF(DB_Artworks_Export!M447="","",DB_Artworks_Export!M447)</f>
        <v/>
      </c>
      <c r="Q447" s="2" t="str">
        <f>IF(DB_Artworks_Export!N447="","",DB_Artworks_Export!N447)</f>
        <v/>
      </c>
      <c r="R447" s="2" t="str">
        <f>IF($D447="","",IF(COUNTIF(DB_Categories_Export!$A:$A,$F447)&gt;0,"OK","INVALID CATEGORY"))</f>
        <v/>
      </c>
      <c r="S447" s="2" t="str">
        <f>IF($D447="","",COUNTIF(DB_Artwork_Sizes_Export!$B:$B,$D447))</f>
        <v/>
      </c>
      <c r="T447" s="2" t="str">
        <f>IF($D447="","",IFERROR(INDEX(DB_Artwork_Sizes_Export!$D:$D,MATCH($D447,DB_Artwork_Sizes_Export!$B:$B,0)),""))</f>
        <v/>
      </c>
      <c r="U447" s="2" t="str">
        <f>IF($D447="","",IFERROR(INDEX(DB_Artwork_Sizes_Export!$E:$E,MATCH($D447,DB_Artwork_Sizes_Export!$B:$B,0)),""))</f>
        <v/>
      </c>
      <c r="V447" s="2" t="str">
        <f>IF($D447="","",IFERROR(INDEX(DB_Artwork_Sizes_Export!$F:$F,MATCH($D447,DB_Artwork_Sizes_Export!$B:$B,0)),""))</f>
        <v/>
      </c>
      <c r="W447" s="2" t="str">
        <f t="shared" si="62"/>
        <v/>
      </c>
      <c r="X447" s="2"/>
      <c r="Y447" s="2"/>
      <c r="Z447" s="2"/>
      <c r="AA447" s="2"/>
      <c r="AB447" s="2"/>
      <c r="AC447" s="2"/>
      <c r="AD447" s="2"/>
      <c r="AE447" s="2"/>
      <c r="AF447" s="2" t="str">
        <f t="shared" si="63"/>
        <v/>
      </c>
      <c r="AG447" s="2" t="str">
        <f t="shared" si="64"/>
        <v/>
      </c>
      <c r="AH447" s="2" t="str">
        <f>IF($AG447="","",IFERROR(VLOOKUP($AG447,DB_Categories_Export!$A:$B,2,FALSE()),"INVALID CATEGORY"))</f>
        <v/>
      </c>
      <c r="AI447" s="2" t="str">
        <f t="shared" si="65"/>
        <v/>
      </c>
      <c r="AJ447" s="2" t="str">
        <f t="shared" si="66"/>
        <v/>
      </c>
      <c r="AK447" s="2" t="str">
        <f t="shared" si="67"/>
        <v/>
      </c>
      <c r="AL447" s="2" t="str">
        <f t="shared" si="68"/>
        <v/>
      </c>
      <c r="AM447" s="2" t="str">
        <f t="shared" si="69"/>
        <v/>
      </c>
      <c r="AN447" s="2"/>
      <c r="AO447" s="2"/>
    </row>
    <row r="448" spans="1:41" ht="12" customHeight="1" x14ac:dyDescent="0.3">
      <c r="A448" s="2"/>
      <c r="B448" s="2" t="str">
        <f t="shared" si="60"/>
        <v/>
      </c>
      <c r="C448" s="2" t="str">
        <f t="shared" si="61"/>
        <v/>
      </c>
      <c r="D448" s="2" t="str">
        <f>IF(DB_Artworks_Export!A448="","",DB_Artworks_Export!A448)</f>
        <v/>
      </c>
      <c r="E448" s="2" t="str">
        <f>IF(DB_Artworks_Export!B448="","",DB_Artworks_Export!B448)</f>
        <v/>
      </c>
      <c r="F448" s="2" t="str">
        <f>IF(DB_Artworks_Export!C448="","",DB_Artworks_Export!C448)</f>
        <v/>
      </c>
      <c r="G448" s="2" t="str">
        <f>IF(DB_Artworks_Export!D448="","",DB_Artworks_Export!D448)</f>
        <v/>
      </c>
      <c r="H448" s="2" t="str">
        <f>IF(DB_Artworks_Export!E448="","",DB_Artworks_Export!E448)</f>
        <v/>
      </c>
      <c r="I448" s="2" t="str">
        <f>IF(DB_Artworks_Export!F448="","",DB_Artworks_Export!F448)</f>
        <v/>
      </c>
      <c r="J448" s="2" t="str">
        <f>IF(DB_Artworks_Export!G448="","",DB_Artworks_Export!G448)</f>
        <v/>
      </c>
      <c r="K448" s="2" t="str">
        <f>IF(DB_Artworks_Export!H448="","",DB_Artworks_Export!H448)</f>
        <v/>
      </c>
      <c r="L448" s="2" t="str">
        <f>IF(DB_Artworks_Export!I448="","",DB_Artworks_Export!I448)</f>
        <v/>
      </c>
      <c r="M448" s="2" t="str">
        <f>IF(DB_Artworks_Export!J448="","",DB_Artworks_Export!J448)</f>
        <v/>
      </c>
      <c r="N448" s="2" t="str">
        <f>IF(DB_Artworks_Export!K448="","",DB_Artworks_Export!K448)</f>
        <v/>
      </c>
      <c r="O448" s="2" t="str">
        <f>IF(DB_Artworks_Export!L448="","",DB_Artworks_Export!L448)</f>
        <v/>
      </c>
      <c r="P448" s="2" t="str">
        <f>IF(DB_Artworks_Export!M448="","",DB_Artworks_Export!M448)</f>
        <v/>
      </c>
      <c r="Q448" s="2" t="str">
        <f>IF(DB_Artworks_Export!N448="","",DB_Artworks_Export!N448)</f>
        <v/>
      </c>
      <c r="R448" s="2" t="str">
        <f>IF($D448="","",IF(COUNTIF(DB_Categories_Export!$A:$A,$F448)&gt;0,"OK","INVALID CATEGORY"))</f>
        <v/>
      </c>
      <c r="S448" s="2" t="str">
        <f>IF($D448="","",COUNTIF(DB_Artwork_Sizes_Export!$B:$B,$D448))</f>
        <v/>
      </c>
      <c r="T448" s="2" t="str">
        <f>IF($D448="","",IFERROR(INDEX(DB_Artwork_Sizes_Export!$D:$D,MATCH($D448,DB_Artwork_Sizes_Export!$B:$B,0)),""))</f>
        <v/>
      </c>
      <c r="U448" s="2" t="str">
        <f>IF($D448="","",IFERROR(INDEX(DB_Artwork_Sizes_Export!$E:$E,MATCH($D448,DB_Artwork_Sizes_Export!$B:$B,0)),""))</f>
        <v/>
      </c>
      <c r="V448" s="2" t="str">
        <f>IF($D448="","",IFERROR(INDEX(DB_Artwork_Sizes_Export!$F:$F,MATCH($D448,DB_Artwork_Sizes_Export!$B:$B,0)),""))</f>
        <v/>
      </c>
      <c r="W448" s="2" t="str">
        <f t="shared" si="62"/>
        <v/>
      </c>
      <c r="X448" s="2"/>
      <c r="Y448" s="2"/>
      <c r="Z448" s="2"/>
      <c r="AA448" s="2"/>
      <c r="AB448" s="2"/>
      <c r="AC448" s="2"/>
      <c r="AD448" s="2"/>
      <c r="AE448" s="2"/>
      <c r="AF448" s="2" t="str">
        <f t="shared" si="63"/>
        <v/>
      </c>
      <c r="AG448" s="2" t="str">
        <f t="shared" si="64"/>
        <v/>
      </c>
      <c r="AH448" s="2" t="str">
        <f>IF($AG448="","",IFERROR(VLOOKUP($AG448,DB_Categories_Export!$A:$B,2,FALSE()),"INVALID CATEGORY"))</f>
        <v/>
      </c>
      <c r="AI448" s="2" t="str">
        <f t="shared" si="65"/>
        <v/>
      </c>
      <c r="AJ448" s="2" t="str">
        <f t="shared" si="66"/>
        <v/>
      </c>
      <c r="AK448" s="2" t="str">
        <f t="shared" si="67"/>
        <v/>
      </c>
      <c r="AL448" s="2" t="str">
        <f t="shared" si="68"/>
        <v/>
      </c>
      <c r="AM448" s="2" t="str">
        <f t="shared" si="69"/>
        <v/>
      </c>
      <c r="AN448" s="2"/>
      <c r="AO448" s="2"/>
    </row>
    <row r="449" spans="1:41" ht="12" customHeight="1" x14ac:dyDescent="0.3">
      <c r="A449" s="2"/>
      <c r="B449" s="2" t="str">
        <f t="shared" si="60"/>
        <v/>
      </c>
      <c r="C449" s="2" t="str">
        <f t="shared" si="61"/>
        <v/>
      </c>
      <c r="D449" s="2" t="str">
        <f>IF(DB_Artworks_Export!A449="","",DB_Artworks_Export!A449)</f>
        <v/>
      </c>
      <c r="E449" s="2" t="str">
        <f>IF(DB_Artworks_Export!B449="","",DB_Artworks_Export!B449)</f>
        <v/>
      </c>
      <c r="F449" s="2" t="str">
        <f>IF(DB_Artworks_Export!C449="","",DB_Artworks_Export!C449)</f>
        <v/>
      </c>
      <c r="G449" s="2" t="str">
        <f>IF(DB_Artworks_Export!D449="","",DB_Artworks_Export!D449)</f>
        <v/>
      </c>
      <c r="H449" s="2" t="str">
        <f>IF(DB_Artworks_Export!E449="","",DB_Artworks_Export!E449)</f>
        <v/>
      </c>
      <c r="I449" s="2" t="str">
        <f>IF(DB_Artworks_Export!F449="","",DB_Artworks_Export!F449)</f>
        <v/>
      </c>
      <c r="J449" s="2" t="str">
        <f>IF(DB_Artworks_Export!G449="","",DB_Artworks_Export!G449)</f>
        <v/>
      </c>
      <c r="K449" s="2" t="str">
        <f>IF(DB_Artworks_Export!H449="","",DB_Artworks_Export!H449)</f>
        <v/>
      </c>
      <c r="L449" s="2" t="str">
        <f>IF(DB_Artworks_Export!I449="","",DB_Artworks_Export!I449)</f>
        <v/>
      </c>
      <c r="M449" s="2" t="str">
        <f>IF(DB_Artworks_Export!J449="","",DB_Artworks_Export!J449)</f>
        <v/>
      </c>
      <c r="N449" s="2" t="str">
        <f>IF(DB_Artworks_Export!K449="","",DB_Artworks_Export!K449)</f>
        <v/>
      </c>
      <c r="O449" s="2" t="str">
        <f>IF(DB_Artworks_Export!L449="","",DB_Artworks_Export!L449)</f>
        <v/>
      </c>
      <c r="P449" s="2" t="str">
        <f>IF(DB_Artworks_Export!M449="","",DB_Artworks_Export!M449)</f>
        <v/>
      </c>
      <c r="Q449" s="2" t="str">
        <f>IF(DB_Artworks_Export!N449="","",DB_Artworks_Export!N449)</f>
        <v/>
      </c>
      <c r="R449" s="2" t="str">
        <f>IF($D449="","",IF(COUNTIF(DB_Categories_Export!$A:$A,$F449)&gt;0,"OK","INVALID CATEGORY"))</f>
        <v/>
      </c>
      <c r="S449" s="2" t="str">
        <f>IF($D449="","",COUNTIF(DB_Artwork_Sizes_Export!$B:$B,$D449))</f>
        <v/>
      </c>
      <c r="T449" s="2" t="str">
        <f>IF($D449="","",IFERROR(INDEX(DB_Artwork_Sizes_Export!$D:$D,MATCH($D449,DB_Artwork_Sizes_Export!$B:$B,0)),""))</f>
        <v/>
      </c>
      <c r="U449" s="2" t="str">
        <f>IF($D449="","",IFERROR(INDEX(DB_Artwork_Sizes_Export!$E:$E,MATCH($D449,DB_Artwork_Sizes_Export!$B:$B,0)),""))</f>
        <v/>
      </c>
      <c r="V449" s="2" t="str">
        <f>IF($D449="","",IFERROR(INDEX(DB_Artwork_Sizes_Export!$F:$F,MATCH($D449,DB_Artwork_Sizes_Export!$B:$B,0)),""))</f>
        <v/>
      </c>
      <c r="W449" s="2" t="str">
        <f t="shared" si="62"/>
        <v/>
      </c>
      <c r="X449" s="2"/>
      <c r="Y449" s="2"/>
      <c r="Z449" s="2"/>
      <c r="AA449" s="2"/>
      <c r="AB449" s="2"/>
      <c r="AC449" s="2"/>
      <c r="AD449" s="2"/>
      <c r="AE449" s="2"/>
      <c r="AF449" s="2" t="str">
        <f t="shared" si="63"/>
        <v/>
      </c>
      <c r="AG449" s="2" t="str">
        <f t="shared" si="64"/>
        <v/>
      </c>
      <c r="AH449" s="2" t="str">
        <f>IF($AG449="","",IFERROR(VLOOKUP($AG449,DB_Categories_Export!$A:$B,2,FALSE()),"INVALID CATEGORY"))</f>
        <v/>
      </c>
      <c r="AI449" s="2" t="str">
        <f t="shared" si="65"/>
        <v/>
      </c>
      <c r="AJ449" s="2" t="str">
        <f t="shared" si="66"/>
        <v/>
      </c>
      <c r="AK449" s="2" t="str">
        <f t="shared" si="67"/>
        <v/>
      </c>
      <c r="AL449" s="2" t="str">
        <f t="shared" si="68"/>
        <v/>
      </c>
      <c r="AM449" s="2" t="str">
        <f t="shared" si="69"/>
        <v/>
      </c>
      <c r="AN449" s="2"/>
      <c r="AO449" s="2"/>
    </row>
    <row r="450" spans="1:41" ht="12" customHeight="1" x14ac:dyDescent="0.3">
      <c r="A450" s="2"/>
      <c r="B450" s="2" t="str">
        <f t="shared" ref="B450:B500" si="70">IF($D450="","",IF(COUNTA($Y450:$AE450)&gt;0,"UPDATE","NO_CHANGE"))</f>
        <v/>
      </c>
      <c r="C450" s="2" t="str">
        <f t="shared" ref="C450:C500" si="71">IF($D450="","",IF($R450&lt;&gt;"OK","ERROR",IF(OR($E450="", $F450="", $J450=""),"ERROR",IF($W450&lt;&gt;"OK","WARNING","PASS"))))</f>
        <v/>
      </c>
      <c r="D450" s="2" t="str">
        <f>IF(DB_Artworks_Export!A450="","",DB_Artworks_Export!A450)</f>
        <v/>
      </c>
      <c r="E450" s="2" t="str">
        <f>IF(DB_Artworks_Export!B450="","",DB_Artworks_Export!B450)</f>
        <v/>
      </c>
      <c r="F450" s="2" t="str">
        <f>IF(DB_Artworks_Export!C450="","",DB_Artworks_Export!C450)</f>
        <v/>
      </c>
      <c r="G450" s="2" t="str">
        <f>IF(DB_Artworks_Export!D450="","",DB_Artworks_Export!D450)</f>
        <v/>
      </c>
      <c r="H450" s="2" t="str">
        <f>IF(DB_Artworks_Export!E450="","",DB_Artworks_Export!E450)</f>
        <v/>
      </c>
      <c r="I450" s="2" t="str">
        <f>IF(DB_Artworks_Export!F450="","",DB_Artworks_Export!F450)</f>
        <v/>
      </c>
      <c r="J450" s="2" t="str">
        <f>IF(DB_Artworks_Export!G450="","",DB_Artworks_Export!G450)</f>
        <v/>
      </c>
      <c r="K450" s="2" t="str">
        <f>IF(DB_Artworks_Export!H450="","",DB_Artworks_Export!H450)</f>
        <v/>
      </c>
      <c r="L450" s="2" t="str">
        <f>IF(DB_Artworks_Export!I450="","",DB_Artworks_Export!I450)</f>
        <v/>
      </c>
      <c r="M450" s="2" t="str">
        <f>IF(DB_Artworks_Export!J450="","",DB_Artworks_Export!J450)</f>
        <v/>
      </c>
      <c r="N450" s="2" t="str">
        <f>IF(DB_Artworks_Export!K450="","",DB_Artworks_Export!K450)</f>
        <v/>
      </c>
      <c r="O450" s="2" t="str">
        <f>IF(DB_Artworks_Export!L450="","",DB_Artworks_Export!L450)</f>
        <v/>
      </c>
      <c r="P450" s="2" t="str">
        <f>IF(DB_Artworks_Export!M450="","",DB_Artworks_Export!M450)</f>
        <v/>
      </c>
      <c r="Q450" s="2" t="str">
        <f>IF(DB_Artworks_Export!N450="","",DB_Artworks_Export!N450)</f>
        <v/>
      </c>
      <c r="R450" s="2" t="str">
        <f>IF($D450="","",IF(COUNTIF(DB_Categories_Export!$A:$A,$F450)&gt;0,"OK","INVALID CATEGORY"))</f>
        <v/>
      </c>
      <c r="S450" s="2" t="str">
        <f>IF($D450="","",COUNTIF(DB_Artwork_Sizes_Export!$B:$B,$D450))</f>
        <v/>
      </c>
      <c r="T450" s="2" t="str">
        <f>IF($D450="","",IFERROR(INDEX(DB_Artwork_Sizes_Export!$D:$D,MATCH($D450,DB_Artwork_Sizes_Export!$B:$B,0)),""))</f>
        <v/>
      </c>
      <c r="U450" s="2" t="str">
        <f>IF($D450="","",IFERROR(INDEX(DB_Artwork_Sizes_Export!$E:$E,MATCH($D450,DB_Artwork_Sizes_Export!$B:$B,0)),""))</f>
        <v/>
      </c>
      <c r="V450" s="2" t="str">
        <f>IF($D450="","",IFERROR(INDEX(DB_Artwork_Sizes_Export!$F:$F,MATCH($D450,DB_Artwork_Sizes_Export!$B:$B,0)),""))</f>
        <v/>
      </c>
      <c r="W450" s="2" t="str">
        <f t="shared" ref="W450:W500" si="72">IF($D450="","",IF($S450&gt;0,"REVIEW_SIZE_PRICING","OK"))</f>
        <v/>
      </c>
      <c r="X450" s="2"/>
      <c r="Y450" s="2"/>
      <c r="Z450" s="2"/>
      <c r="AA450" s="2"/>
      <c r="AB450" s="2"/>
      <c r="AC450" s="2"/>
      <c r="AD450" s="2"/>
      <c r="AE450" s="2"/>
      <c r="AF450" s="2" t="str">
        <f t="shared" ref="AF450:AF500" si="73">IF($Y450&lt;&gt;"",$Y450,$E450)</f>
        <v/>
      </c>
      <c r="AG450" s="2" t="str">
        <f t="shared" ref="AG450:AG500" si="74">IF($Z450&lt;&gt;"",$Z450,$F450)</f>
        <v/>
      </c>
      <c r="AH450" s="2" t="str">
        <f>IF($AG450="","",IFERROR(VLOOKUP($AG450,DB_Categories_Export!$A:$B,2,FALSE()),"INVALID CATEGORY"))</f>
        <v/>
      </c>
      <c r="AI450" s="2" t="str">
        <f t="shared" ref="AI450:AI500" si="75">IF($AA450&lt;&gt;"",$AA450,$H450)</f>
        <v/>
      </c>
      <c r="AJ450" s="2" t="str">
        <f t="shared" ref="AJ450:AJ500" si="76">IF($AB450&lt;&gt;"",$AB450,$I450)</f>
        <v/>
      </c>
      <c r="AK450" s="2" t="str">
        <f t="shared" ref="AK450:AK500" si="77">IF($AC450&lt;&gt;"",$AC450,$J450)</f>
        <v/>
      </c>
      <c r="AL450" s="2" t="str">
        <f t="shared" ref="AL450:AL500" si="78">IF($AD450&lt;&gt;"",$AD450,$N450)</f>
        <v/>
      </c>
      <c r="AM450" s="2" t="str">
        <f t="shared" ref="AM450:AM500" si="79">IF($AE450&lt;&gt;"",$AE450,$O450)</f>
        <v/>
      </c>
      <c r="AN450" s="2"/>
      <c r="AO450" s="2"/>
    </row>
    <row r="451" spans="1:41" ht="12" customHeight="1" x14ac:dyDescent="0.3">
      <c r="A451" s="2"/>
      <c r="B451" s="2" t="str">
        <f t="shared" si="70"/>
        <v/>
      </c>
      <c r="C451" s="2" t="str">
        <f t="shared" si="71"/>
        <v/>
      </c>
      <c r="D451" s="2" t="str">
        <f>IF(DB_Artworks_Export!A451="","",DB_Artworks_Export!A451)</f>
        <v/>
      </c>
      <c r="E451" s="2" t="str">
        <f>IF(DB_Artworks_Export!B451="","",DB_Artworks_Export!B451)</f>
        <v/>
      </c>
      <c r="F451" s="2" t="str">
        <f>IF(DB_Artworks_Export!C451="","",DB_Artworks_Export!C451)</f>
        <v/>
      </c>
      <c r="G451" s="2" t="str">
        <f>IF(DB_Artworks_Export!D451="","",DB_Artworks_Export!D451)</f>
        <v/>
      </c>
      <c r="H451" s="2" t="str">
        <f>IF(DB_Artworks_Export!E451="","",DB_Artworks_Export!E451)</f>
        <v/>
      </c>
      <c r="I451" s="2" t="str">
        <f>IF(DB_Artworks_Export!F451="","",DB_Artworks_Export!F451)</f>
        <v/>
      </c>
      <c r="J451" s="2" t="str">
        <f>IF(DB_Artworks_Export!G451="","",DB_Artworks_Export!G451)</f>
        <v/>
      </c>
      <c r="K451" s="2" t="str">
        <f>IF(DB_Artworks_Export!H451="","",DB_Artworks_Export!H451)</f>
        <v/>
      </c>
      <c r="L451" s="2" t="str">
        <f>IF(DB_Artworks_Export!I451="","",DB_Artworks_Export!I451)</f>
        <v/>
      </c>
      <c r="M451" s="2" t="str">
        <f>IF(DB_Artworks_Export!J451="","",DB_Artworks_Export!J451)</f>
        <v/>
      </c>
      <c r="N451" s="2" t="str">
        <f>IF(DB_Artworks_Export!K451="","",DB_Artworks_Export!K451)</f>
        <v/>
      </c>
      <c r="O451" s="2" t="str">
        <f>IF(DB_Artworks_Export!L451="","",DB_Artworks_Export!L451)</f>
        <v/>
      </c>
      <c r="P451" s="2" t="str">
        <f>IF(DB_Artworks_Export!M451="","",DB_Artworks_Export!M451)</f>
        <v/>
      </c>
      <c r="Q451" s="2" t="str">
        <f>IF(DB_Artworks_Export!N451="","",DB_Artworks_Export!N451)</f>
        <v/>
      </c>
      <c r="R451" s="2" t="str">
        <f>IF($D451="","",IF(COUNTIF(DB_Categories_Export!$A:$A,$F451)&gt;0,"OK","INVALID CATEGORY"))</f>
        <v/>
      </c>
      <c r="S451" s="2" t="str">
        <f>IF($D451="","",COUNTIF(DB_Artwork_Sizes_Export!$B:$B,$D451))</f>
        <v/>
      </c>
      <c r="T451" s="2" t="str">
        <f>IF($D451="","",IFERROR(INDEX(DB_Artwork_Sizes_Export!$D:$D,MATCH($D451,DB_Artwork_Sizes_Export!$B:$B,0)),""))</f>
        <v/>
      </c>
      <c r="U451" s="2" t="str">
        <f>IF($D451="","",IFERROR(INDEX(DB_Artwork_Sizes_Export!$E:$E,MATCH($D451,DB_Artwork_Sizes_Export!$B:$B,0)),""))</f>
        <v/>
      </c>
      <c r="V451" s="2" t="str">
        <f>IF($D451="","",IFERROR(INDEX(DB_Artwork_Sizes_Export!$F:$F,MATCH($D451,DB_Artwork_Sizes_Export!$B:$B,0)),""))</f>
        <v/>
      </c>
      <c r="W451" s="2" t="str">
        <f t="shared" si="72"/>
        <v/>
      </c>
      <c r="X451" s="2"/>
      <c r="Y451" s="2"/>
      <c r="Z451" s="2"/>
      <c r="AA451" s="2"/>
      <c r="AB451" s="2"/>
      <c r="AC451" s="2"/>
      <c r="AD451" s="2"/>
      <c r="AE451" s="2"/>
      <c r="AF451" s="2" t="str">
        <f t="shared" si="73"/>
        <v/>
      </c>
      <c r="AG451" s="2" t="str">
        <f t="shared" si="74"/>
        <v/>
      </c>
      <c r="AH451" s="2" t="str">
        <f>IF($AG451="","",IFERROR(VLOOKUP($AG451,DB_Categories_Export!$A:$B,2,FALSE()),"INVALID CATEGORY"))</f>
        <v/>
      </c>
      <c r="AI451" s="2" t="str">
        <f t="shared" si="75"/>
        <v/>
      </c>
      <c r="AJ451" s="2" t="str">
        <f t="shared" si="76"/>
        <v/>
      </c>
      <c r="AK451" s="2" t="str">
        <f t="shared" si="77"/>
        <v/>
      </c>
      <c r="AL451" s="2" t="str">
        <f t="shared" si="78"/>
        <v/>
      </c>
      <c r="AM451" s="2" t="str">
        <f t="shared" si="79"/>
        <v/>
      </c>
      <c r="AN451" s="2"/>
      <c r="AO451" s="2"/>
    </row>
    <row r="452" spans="1:41" ht="12" customHeight="1" x14ac:dyDescent="0.3">
      <c r="A452" s="2"/>
      <c r="B452" s="2" t="str">
        <f t="shared" si="70"/>
        <v/>
      </c>
      <c r="C452" s="2" t="str">
        <f t="shared" si="71"/>
        <v/>
      </c>
      <c r="D452" s="2" t="str">
        <f>IF(DB_Artworks_Export!A452="","",DB_Artworks_Export!A452)</f>
        <v/>
      </c>
      <c r="E452" s="2" t="str">
        <f>IF(DB_Artworks_Export!B452="","",DB_Artworks_Export!B452)</f>
        <v/>
      </c>
      <c r="F452" s="2" t="str">
        <f>IF(DB_Artworks_Export!C452="","",DB_Artworks_Export!C452)</f>
        <v/>
      </c>
      <c r="G452" s="2" t="str">
        <f>IF(DB_Artworks_Export!D452="","",DB_Artworks_Export!D452)</f>
        <v/>
      </c>
      <c r="H452" s="2" t="str">
        <f>IF(DB_Artworks_Export!E452="","",DB_Artworks_Export!E452)</f>
        <v/>
      </c>
      <c r="I452" s="2" t="str">
        <f>IF(DB_Artworks_Export!F452="","",DB_Artworks_Export!F452)</f>
        <v/>
      </c>
      <c r="J452" s="2" t="str">
        <f>IF(DB_Artworks_Export!G452="","",DB_Artworks_Export!G452)</f>
        <v/>
      </c>
      <c r="K452" s="2" t="str">
        <f>IF(DB_Artworks_Export!H452="","",DB_Artworks_Export!H452)</f>
        <v/>
      </c>
      <c r="L452" s="2" t="str">
        <f>IF(DB_Artworks_Export!I452="","",DB_Artworks_Export!I452)</f>
        <v/>
      </c>
      <c r="M452" s="2" t="str">
        <f>IF(DB_Artworks_Export!J452="","",DB_Artworks_Export!J452)</f>
        <v/>
      </c>
      <c r="N452" s="2" t="str">
        <f>IF(DB_Artworks_Export!K452="","",DB_Artworks_Export!K452)</f>
        <v/>
      </c>
      <c r="O452" s="2" t="str">
        <f>IF(DB_Artworks_Export!L452="","",DB_Artworks_Export!L452)</f>
        <v/>
      </c>
      <c r="P452" s="2" t="str">
        <f>IF(DB_Artworks_Export!M452="","",DB_Artworks_Export!M452)</f>
        <v/>
      </c>
      <c r="Q452" s="2" t="str">
        <f>IF(DB_Artworks_Export!N452="","",DB_Artworks_Export!N452)</f>
        <v/>
      </c>
      <c r="R452" s="2" t="str">
        <f>IF($D452="","",IF(COUNTIF(DB_Categories_Export!$A:$A,$F452)&gt;0,"OK","INVALID CATEGORY"))</f>
        <v/>
      </c>
      <c r="S452" s="2" t="str">
        <f>IF($D452="","",COUNTIF(DB_Artwork_Sizes_Export!$B:$B,$D452))</f>
        <v/>
      </c>
      <c r="T452" s="2" t="str">
        <f>IF($D452="","",IFERROR(INDEX(DB_Artwork_Sizes_Export!$D:$D,MATCH($D452,DB_Artwork_Sizes_Export!$B:$B,0)),""))</f>
        <v/>
      </c>
      <c r="U452" s="2" t="str">
        <f>IF($D452="","",IFERROR(INDEX(DB_Artwork_Sizes_Export!$E:$E,MATCH($D452,DB_Artwork_Sizes_Export!$B:$B,0)),""))</f>
        <v/>
      </c>
      <c r="V452" s="2" t="str">
        <f>IF($D452="","",IFERROR(INDEX(DB_Artwork_Sizes_Export!$F:$F,MATCH($D452,DB_Artwork_Sizes_Export!$B:$B,0)),""))</f>
        <v/>
      </c>
      <c r="W452" s="2" t="str">
        <f t="shared" si="72"/>
        <v/>
      </c>
      <c r="X452" s="2"/>
      <c r="Y452" s="2"/>
      <c r="Z452" s="2"/>
      <c r="AA452" s="2"/>
      <c r="AB452" s="2"/>
      <c r="AC452" s="2"/>
      <c r="AD452" s="2"/>
      <c r="AE452" s="2"/>
      <c r="AF452" s="2" t="str">
        <f t="shared" si="73"/>
        <v/>
      </c>
      <c r="AG452" s="2" t="str">
        <f t="shared" si="74"/>
        <v/>
      </c>
      <c r="AH452" s="2" t="str">
        <f>IF($AG452="","",IFERROR(VLOOKUP($AG452,DB_Categories_Export!$A:$B,2,FALSE()),"INVALID CATEGORY"))</f>
        <v/>
      </c>
      <c r="AI452" s="2" t="str">
        <f t="shared" si="75"/>
        <v/>
      </c>
      <c r="AJ452" s="2" t="str">
        <f t="shared" si="76"/>
        <v/>
      </c>
      <c r="AK452" s="2" t="str">
        <f t="shared" si="77"/>
        <v/>
      </c>
      <c r="AL452" s="2" t="str">
        <f t="shared" si="78"/>
        <v/>
      </c>
      <c r="AM452" s="2" t="str">
        <f t="shared" si="79"/>
        <v/>
      </c>
      <c r="AN452" s="2"/>
      <c r="AO452" s="2"/>
    </row>
    <row r="453" spans="1:41" ht="12" customHeight="1" x14ac:dyDescent="0.3">
      <c r="A453" s="2"/>
      <c r="B453" s="2" t="str">
        <f t="shared" si="70"/>
        <v/>
      </c>
      <c r="C453" s="2" t="str">
        <f t="shared" si="71"/>
        <v/>
      </c>
      <c r="D453" s="2" t="str">
        <f>IF(DB_Artworks_Export!A453="","",DB_Artworks_Export!A453)</f>
        <v/>
      </c>
      <c r="E453" s="2" t="str">
        <f>IF(DB_Artworks_Export!B453="","",DB_Artworks_Export!B453)</f>
        <v/>
      </c>
      <c r="F453" s="2" t="str">
        <f>IF(DB_Artworks_Export!C453="","",DB_Artworks_Export!C453)</f>
        <v/>
      </c>
      <c r="G453" s="2" t="str">
        <f>IF(DB_Artworks_Export!D453="","",DB_Artworks_Export!D453)</f>
        <v/>
      </c>
      <c r="H453" s="2" t="str">
        <f>IF(DB_Artworks_Export!E453="","",DB_Artworks_Export!E453)</f>
        <v/>
      </c>
      <c r="I453" s="2" t="str">
        <f>IF(DB_Artworks_Export!F453="","",DB_Artworks_Export!F453)</f>
        <v/>
      </c>
      <c r="J453" s="2" t="str">
        <f>IF(DB_Artworks_Export!G453="","",DB_Artworks_Export!G453)</f>
        <v/>
      </c>
      <c r="K453" s="2" t="str">
        <f>IF(DB_Artworks_Export!H453="","",DB_Artworks_Export!H453)</f>
        <v/>
      </c>
      <c r="L453" s="2" t="str">
        <f>IF(DB_Artworks_Export!I453="","",DB_Artworks_Export!I453)</f>
        <v/>
      </c>
      <c r="M453" s="2" t="str">
        <f>IF(DB_Artworks_Export!J453="","",DB_Artworks_Export!J453)</f>
        <v/>
      </c>
      <c r="N453" s="2" t="str">
        <f>IF(DB_Artworks_Export!K453="","",DB_Artworks_Export!K453)</f>
        <v/>
      </c>
      <c r="O453" s="2" t="str">
        <f>IF(DB_Artworks_Export!L453="","",DB_Artworks_Export!L453)</f>
        <v/>
      </c>
      <c r="P453" s="2" t="str">
        <f>IF(DB_Artworks_Export!M453="","",DB_Artworks_Export!M453)</f>
        <v/>
      </c>
      <c r="Q453" s="2" t="str">
        <f>IF(DB_Artworks_Export!N453="","",DB_Artworks_Export!N453)</f>
        <v/>
      </c>
      <c r="R453" s="2" t="str">
        <f>IF($D453="","",IF(COUNTIF(DB_Categories_Export!$A:$A,$F453)&gt;0,"OK","INVALID CATEGORY"))</f>
        <v/>
      </c>
      <c r="S453" s="2" t="str">
        <f>IF($D453="","",COUNTIF(DB_Artwork_Sizes_Export!$B:$B,$D453))</f>
        <v/>
      </c>
      <c r="T453" s="2" t="str">
        <f>IF($D453="","",IFERROR(INDEX(DB_Artwork_Sizes_Export!$D:$D,MATCH($D453,DB_Artwork_Sizes_Export!$B:$B,0)),""))</f>
        <v/>
      </c>
      <c r="U453" s="2" t="str">
        <f>IF($D453="","",IFERROR(INDEX(DB_Artwork_Sizes_Export!$E:$E,MATCH($D453,DB_Artwork_Sizes_Export!$B:$B,0)),""))</f>
        <v/>
      </c>
      <c r="V453" s="2" t="str">
        <f>IF($D453="","",IFERROR(INDEX(DB_Artwork_Sizes_Export!$F:$F,MATCH($D453,DB_Artwork_Sizes_Export!$B:$B,0)),""))</f>
        <v/>
      </c>
      <c r="W453" s="2" t="str">
        <f t="shared" si="72"/>
        <v/>
      </c>
      <c r="X453" s="2"/>
      <c r="Y453" s="2"/>
      <c r="Z453" s="2"/>
      <c r="AA453" s="2"/>
      <c r="AB453" s="2"/>
      <c r="AC453" s="2"/>
      <c r="AD453" s="2"/>
      <c r="AE453" s="2"/>
      <c r="AF453" s="2" t="str">
        <f t="shared" si="73"/>
        <v/>
      </c>
      <c r="AG453" s="2" t="str">
        <f t="shared" si="74"/>
        <v/>
      </c>
      <c r="AH453" s="2" t="str">
        <f>IF($AG453="","",IFERROR(VLOOKUP($AG453,DB_Categories_Export!$A:$B,2,FALSE()),"INVALID CATEGORY"))</f>
        <v/>
      </c>
      <c r="AI453" s="2" t="str">
        <f t="shared" si="75"/>
        <v/>
      </c>
      <c r="AJ453" s="2" t="str">
        <f t="shared" si="76"/>
        <v/>
      </c>
      <c r="AK453" s="2" t="str">
        <f t="shared" si="77"/>
        <v/>
      </c>
      <c r="AL453" s="2" t="str">
        <f t="shared" si="78"/>
        <v/>
      </c>
      <c r="AM453" s="2" t="str">
        <f t="shared" si="79"/>
        <v/>
      </c>
      <c r="AN453" s="2"/>
      <c r="AO453" s="2"/>
    </row>
    <row r="454" spans="1:41" ht="12" customHeight="1" x14ac:dyDescent="0.3">
      <c r="A454" s="2"/>
      <c r="B454" s="2" t="str">
        <f t="shared" si="70"/>
        <v/>
      </c>
      <c r="C454" s="2" t="str">
        <f t="shared" si="71"/>
        <v/>
      </c>
      <c r="D454" s="2" t="str">
        <f>IF(DB_Artworks_Export!A454="","",DB_Artworks_Export!A454)</f>
        <v/>
      </c>
      <c r="E454" s="2" t="str">
        <f>IF(DB_Artworks_Export!B454="","",DB_Artworks_Export!B454)</f>
        <v/>
      </c>
      <c r="F454" s="2" t="str">
        <f>IF(DB_Artworks_Export!C454="","",DB_Artworks_Export!C454)</f>
        <v/>
      </c>
      <c r="G454" s="2" t="str">
        <f>IF(DB_Artworks_Export!D454="","",DB_Artworks_Export!D454)</f>
        <v/>
      </c>
      <c r="H454" s="2" t="str">
        <f>IF(DB_Artworks_Export!E454="","",DB_Artworks_Export!E454)</f>
        <v/>
      </c>
      <c r="I454" s="2" t="str">
        <f>IF(DB_Artworks_Export!F454="","",DB_Artworks_Export!F454)</f>
        <v/>
      </c>
      <c r="J454" s="2" t="str">
        <f>IF(DB_Artworks_Export!G454="","",DB_Artworks_Export!G454)</f>
        <v/>
      </c>
      <c r="K454" s="2" t="str">
        <f>IF(DB_Artworks_Export!H454="","",DB_Artworks_Export!H454)</f>
        <v/>
      </c>
      <c r="L454" s="2" t="str">
        <f>IF(DB_Artworks_Export!I454="","",DB_Artworks_Export!I454)</f>
        <v/>
      </c>
      <c r="M454" s="2" t="str">
        <f>IF(DB_Artworks_Export!J454="","",DB_Artworks_Export!J454)</f>
        <v/>
      </c>
      <c r="N454" s="2" t="str">
        <f>IF(DB_Artworks_Export!K454="","",DB_Artworks_Export!K454)</f>
        <v/>
      </c>
      <c r="O454" s="2" t="str">
        <f>IF(DB_Artworks_Export!L454="","",DB_Artworks_Export!L454)</f>
        <v/>
      </c>
      <c r="P454" s="2" t="str">
        <f>IF(DB_Artworks_Export!M454="","",DB_Artworks_Export!M454)</f>
        <v/>
      </c>
      <c r="Q454" s="2" t="str">
        <f>IF(DB_Artworks_Export!N454="","",DB_Artworks_Export!N454)</f>
        <v/>
      </c>
      <c r="R454" s="2" t="str">
        <f>IF($D454="","",IF(COUNTIF(DB_Categories_Export!$A:$A,$F454)&gt;0,"OK","INVALID CATEGORY"))</f>
        <v/>
      </c>
      <c r="S454" s="2" t="str">
        <f>IF($D454="","",COUNTIF(DB_Artwork_Sizes_Export!$B:$B,$D454))</f>
        <v/>
      </c>
      <c r="T454" s="2" t="str">
        <f>IF($D454="","",IFERROR(INDEX(DB_Artwork_Sizes_Export!$D:$D,MATCH($D454,DB_Artwork_Sizes_Export!$B:$B,0)),""))</f>
        <v/>
      </c>
      <c r="U454" s="2" t="str">
        <f>IF($D454="","",IFERROR(INDEX(DB_Artwork_Sizes_Export!$E:$E,MATCH($D454,DB_Artwork_Sizes_Export!$B:$B,0)),""))</f>
        <v/>
      </c>
      <c r="V454" s="2" t="str">
        <f>IF($D454="","",IFERROR(INDEX(DB_Artwork_Sizes_Export!$F:$F,MATCH($D454,DB_Artwork_Sizes_Export!$B:$B,0)),""))</f>
        <v/>
      </c>
      <c r="W454" s="2" t="str">
        <f t="shared" si="72"/>
        <v/>
      </c>
      <c r="X454" s="2"/>
      <c r="Y454" s="2"/>
      <c r="Z454" s="2"/>
      <c r="AA454" s="2"/>
      <c r="AB454" s="2"/>
      <c r="AC454" s="2"/>
      <c r="AD454" s="2"/>
      <c r="AE454" s="2"/>
      <c r="AF454" s="2" t="str">
        <f t="shared" si="73"/>
        <v/>
      </c>
      <c r="AG454" s="2" t="str">
        <f t="shared" si="74"/>
        <v/>
      </c>
      <c r="AH454" s="2" t="str">
        <f>IF($AG454="","",IFERROR(VLOOKUP($AG454,DB_Categories_Export!$A:$B,2,FALSE()),"INVALID CATEGORY"))</f>
        <v/>
      </c>
      <c r="AI454" s="2" t="str">
        <f t="shared" si="75"/>
        <v/>
      </c>
      <c r="AJ454" s="2" t="str">
        <f t="shared" si="76"/>
        <v/>
      </c>
      <c r="AK454" s="2" t="str">
        <f t="shared" si="77"/>
        <v/>
      </c>
      <c r="AL454" s="2" t="str">
        <f t="shared" si="78"/>
        <v/>
      </c>
      <c r="AM454" s="2" t="str">
        <f t="shared" si="79"/>
        <v/>
      </c>
      <c r="AN454" s="2"/>
      <c r="AO454" s="2"/>
    </row>
    <row r="455" spans="1:41" ht="12" customHeight="1" x14ac:dyDescent="0.3">
      <c r="A455" s="2"/>
      <c r="B455" s="2" t="str">
        <f t="shared" si="70"/>
        <v/>
      </c>
      <c r="C455" s="2" t="str">
        <f t="shared" si="71"/>
        <v/>
      </c>
      <c r="D455" s="2" t="str">
        <f>IF(DB_Artworks_Export!A455="","",DB_Artworks_Export!A455)</f>
        <v/>
      </c>
      <c r="E455" s="2" t="str">
        <f>IF(DB_Artworks_Export!B455="","",DB_Artworks_Export!B455)</f>
        <v/>
      </c>
      <c r="F455" s="2" t="str">
        <f>IF(DB_Artworks_Export!C455="","",DB_Artworks_Export!C455)</f>
        <v/>
      </c>
      <c r="G455" s="2" t="str">
        <f>IF(DB_Artworks_Export!D455="","",DB_Artworks_Export!D455)</f>
        <v/>
      </c>
      <c r="H455" s="2" t="str">
        <f>IF(DB_Artworks_Export!E455="","",DB_Artworks_Export!E455)</f>
        <v/>
      </c>
      <c r="I455" s="2" t="str">
        <f>IF(DB_Artworks_Export!F455="","",DB_Artworks_Export!F455)</f>
        <v/>
      </c>
      <c r="J455" s="2" t="str">
        <f>IF(DB_Artworks_Export!G455="","",DB_Artworks_Export!G455)</f>
        <v/>
      </c>
      <c r="K455" s="2" t="str">
        <f>IF(DB_Artworks_Export!H455="","",DB_Artworks_Export!H455)</f>
        <v/>
      </c>
      <c r="L455" s="2" t="str">
        <f>IF(DB_Artworks_Export!I455="","",DB_Artworks_Export!I455)</f>
        <v/>
      </c>
      <c r="M455" s="2" t="str">
        <f>IF(DB_Artworks_Export!J455="","",DB_Artworks_Export!J455)</f>
        <v/>
      </c>
      <c r="N455" s="2" t="str">
        <f>IF(DB_Artworks_Export!K455="","",DB_Artworks_Export!K455)</f>
        <v/>
      </c>
      <c r="O455" s="2" t="str">
        <f>IF(DB_Artworks_Export!L455="","",DB_Artworks_Export!L455)</f>
        <v/>
      </c>
      <c r="P455" s="2" t="str">
        <f>IF(DB_Artworks_Export!M455="","",DB_Artworks_Export!M455)</f>
        <v/>
      </c>
      <c r="Q455" s="2" t="str">
        <f>IF(DB_Artworks_Export!N455="","",DB_Artworks_Export!N455)</f>
        <v/>
      </c>
      <c r="R455" s="2" t="str">
        <f>IF($D455="","",IF(COUNTIF(DB_Categories_Export!$A:$A,$F455)&gt;0,"OK","INVALID CATEGORY"))</f>
        <v/>
      </c>
      <c r="S455" s="2" t="str">
        <f>IF($D455="","",COUNTIF(DB_Artwork_Sizes_Export!$B:$B,$D455))</f>
        <v/>
      </c>
      <c r="T455" s="2" t="str">
        <f>IF($D455="","",IFERROR(INDEX(DB_Artwork_Sizes_Export!$D:$D,MATCH($D455,DB_Artwork_Sizes_Export!$B:$B,0)),""))</f>
        <v/>
      </c>
      <c r="U455" s="2" t="str">
        <f>IF($D455="","",IFERROR(INDEX(DB_Artwork_Sizes_Export!$E:$E,MATCH($D455,DB_Artwork_Sizes_Export!$B:$B,0)),""))</f>
        <v/>
      </c>
      <c r="V455" s="2" t="str">
        <f>IF($D455="","",IFERROR(INDEX(DB_Artwork_Sizes_Export!$F:$F,MATCH($D455,DB_Artwork_Sizes_Export!$B:$B,0)),""))</f>
        <v/>
      </c>
      <c r="W455" s="2" t="str">
        <f t="shared" si="72"/>
        <v/>
      </c>
      <c r="X455" s="2"/>
      <c r="Y455" s="2"/>
      <c r="Z455" s="2"/>
      <c r="AA455" s="2"/>
      <c r="AB455" s="2"/>
      <c r="AC455" s="2"/>
      <c r="AD455" s="2"/>
      <c r="AE455" s="2"/>
      <c r="AF455" s="2" t="str">
        <f t="shared" si="73"/>
        <v/>
      </c>
      <c r="AG455" s="2" t="str">
        <f t="shared" si="74"/>
        <v/>
      </c>
      <c r="AH455" s="2" t="str">
        <f>IF($AG455="","",IFERROR(VLOOKUP($AG455,DB_Categories_Export!$A:$B,2,FALSE()),"INVALID CATEGORY"))</f>
        <v/>
      </c>
      <c r="AI455" s="2" t="str">
        <f t="shared" si="75"/>
        <v/>
      </c>
      <c r="AJ455" s="2" t="str">
        <f t="shared" si="76"/>
        <v/>
      </c>
      <c r="AK455" s="2" t="str">
        <f t="shared" si="77"/>
        <v/>
      </c>
      <c r="AL455" s="2" t="str">
        <f t="shared" si="78"/>
        <v/>
      </c>
      <c r="AM455" s="2" t="str">
        <f t="shared" si="79"/>
        <v/>
      </c>
      <c r="AN455" s="2"/>
      <c r="AO455" s="2"/>
    </row>
    <row r="456" spans="1:41" ht="12" customHeight="1" x14ac:dyDescent="0.3">
      <c r="A456" s="2"/>
      <c r="B456" s="2" t="str">
        <f t="shared" si="70"/>
        <v/>
      </c>
      <c r="C456" s="2" t="str">
        <f t="shared" si="71"/>
        <v/>
      </c>
      <c r="D456" s="2" t="str">
        <f>IF(DB_Artworks_Export!A456="","",DB_Artworks_Export!A456)</f>
        <v/>
      </c>
      <c r="E456" s="2" t="str">
        <f>IF(DB_Artworks_Export!B456="","",DB_Artworks_Export!B456)</f>
        <v/>
      </c>
      <c r="F456" s="2" t="str">
        <f>IF(DB_Artworks_Export!C456="","",DB_Artworks_Export!C456)</f>
        <v/>
      </c>
      <c r="G456" s="2" t="str">
        <f>IF(DB_Artworks_Export!D456="","",DB_Artworks_Export!D456)</f>
        <v/>
      </c>
      <c r="H456" s="2" t="str">
        <f>IF(DB_Artworks_Export!E456="","",DB_Artworks_Export!E456)</f>
        <v/>
      </c>
      <c r="I456" s="2" t="str">
        <f>IF(DB_Artworks_Export!F456="","",DB_Artworks_Export!F456)</f>
        <v/>
      </c>
      <c r="J456" s="2" t="str">
        <f>IF(DB_Artworks_Export!G456="","",DB_Artworks_Export!G456)</f>
        <v/>
      </c>
      <c r="K456" s="2" t="str">
        <f>IF(DB_Artworks_Export!H456="","",DB_Artworks_Export!H456)</f>
        <v/>
      </c>
      <c r="L456" s="2" t="str">
        <f>IF(DB_Artworks_Export!I456="","",DB_Artworks_Export!I456)</f>
        <v/>
      </c>
      <c r="M456" s="2" t="str">
        <f>IF(DB_Artworks_Export!J456="","",DB_Artworks_Export!J456)</f>
        <v/>
      </c>
      <c r="N456" s="2" t="str">
        <f>IF(DB_Artworks_Export!K456="","",DB_Artworks_Export!K456)</f>
        <v/>
      </c>
      <c r="O456" s="2" t="str">
        <f>IF(DB_Artworks_Export!L456="","",DB_Artworks_Export!L456)</f>
        <v/>
      </c>
      <c r="P456" s="2" t="str">
        <f>IF(DB_Artworks_Export!M456="","",DB_Artworks_Export!M456)</f>
        <v/>
      </c>
      <c r="Q456" s="2" t="str">
        <f>IF(DB_Artworks_Export!N456="","",DB_Artworks_Export!N456)</f>
        <v/>
      </c>
      <c r="R456" s="2" t="str">
        <f>IF($D456="","",IF(COUNTIF(DB_Categories_Export!$A:$A,$F456)&gt;0,"OK","INVALID CATEGORY"))</f>
        <v/>
      </c>
      <c r="S456" s="2" t="str">
        <f>IF($D456="","",COUNTIF(DB_Artwork_Sizes_Export!$B:$B,$D456))</f>
        <v/>
      </c>
      <c r="T456" s="2" t="str">
        <f>IF($D456="","",IFERROR(INDEX(DB_Artwork_Sizes_Export!$D:$D,MATCH($D456,DB_Artwork_Sizes_Export!$B:$B,0)),""))</f>
        <v/>
      </c>
      <c r="U456" s="2" t="str">
        <f>IF($D456="","",IFERROR(INDEX(DB_Artwork_Sizes_Export!$E:$E,MATCH($D456,DB_Artwork_Sizes_Export!$B:$B,0)),""))</f>
        <v/>
      </c>
      <c r="V456" s="2" t="str">
        <f>IF($D456="","",IFERROR(INDEX(DB_Artwork_Sizes_Export!$F:$F,MATCH($D456,DB_Artwork_Sizes_Export!$B:$B,0)),""))</f>
        <v/>
      </c>
      <c r="W456" s="2" t="str">
        <f t="shared" si="72"/>
        <v/>
      </c>
      <c r="X456" s="2"/>
      <c r="Y456" s="2"/>
      <c r="Z456" s="2"/>
      <c r="AA456" s="2"/>
      <c r="AB456" s="2"/>
      <c r="AC456" s="2"/>
      <c r="AD456" s="2"/>
      <c r="AE456" s="2"/>
      <c r="AF456" s="2" t="str">
        <f t="shared" si="73"/>
        <v/>
      </c>
      <c r="AG456" s="2" t="str">
        <f t="shared" si="74"/>
        <v/>
      </c>
      <c r="AH456" s="2" t="str">
        <f>IF($AG456="","",IFERROR(VLOOKUP($AG456,DB_Categories_Export!$A:$B,2,FALSE()),"INVALID CATEGORY"))</f>
        <v/>
      </c>
      <c r="AI456" s="2" t="str">
        <f t="shared" si="75"/>
        <v/>
      </c>
      <c r="AJ456" s="2" t="str">
        <f t="shared" si="76"/>
        <v/>
      </c>
      <c r="AK456" s="2" t="str">
        <f t="shared" si="77"/>
        <v/>
      </c>
      <c r="AL456" s="2" t="str">
        <f t="shared" si="78"/>
        <v/>
      </c>
      <c r="AM456" s="2" t="str">
        <f t="shared" si="79"/>
        <v/>
      </c>
      <c r="AN456" s="2"/>
      <c r="AO456" s="2"/>
    </row>
    <row r="457" spans="1:41" ht="12" customHeight="1" x14ac:dyDescent="0.3">
      <c r="A457" s="2"/>
      <c r="B457" s="2" t="str">
        <f t="shared" si="70"/>
        <v/>
      </c>
      <c r="C457" s="2" t="str">
        <f t="shared" si="71"/>
        <v/>
      </c>
      <c r="D457" s="2" t="str">
        <f>IF(DB_Artworks_Export!A457="","",DB_Artworks_Export!A457)</f>
        <v/>
      </c>
      <c r="E457" s="2" t="str">
        <f>IF(DB_Artworks_Export!B457="","",DB_Artworks_Export!B457)</f>
        <v/>
      </c>
      <c r="F457" s="2" t="str">
        <f>IF(DB_Artworks_Export!C457="","",DB_Artworks_Export!C457)</f>
        <v/>
      </c>
      <c r="G457" s="2" t="str">
        <f>IF(DB_Artworks_Export!D457="","",DB_Artworks_Export!D457)</f>
        <v/>
      </c>
      <c r="H457" s="2" t="str">
        <f>IF(DB_Artworks_Export!E457="","",DB_Artworks_Export!E457)</f>
        <v/>
      </c>
      <c r="I457" s="2" t="str">
        <f>IF(DB_Artworks_Export!F457="","",DB_Artworks_Export!F457)</f>
        <v/>
      </c>
      <c r="J457" s="2" t="str">
        <f>IF(DB_Artworks_Export!G457="","",DB_Artworks_Export!G457)</f>
        <v/>
      </c>
      <c r="K457" s="2" t="str">
        <f>IF(DB_Artworks_Export!H457="","",DB_Artworks_Export!H457)</f>
        <v/>
      </c>
      <c r="L457" s="2" t="str">
        <f>IF(DB_Artworks_Export!I457="","",DB_Artworks_Export!I457)</f>
        <v/>
      </c>
      <c r="M457" s="2" t="str">
        <f>IF(DB_Artworks_Export!J457="","",DB_Artworks_Export!J457)</f>
        <v/>
      </c>
      <c r="N457" s="2" t="str">
        <f>IF(DB_Artworks_Export!K457="","",DB_Artworks_Export!K457)</f>
        <v/>
      </c>
      <c r="O457" s="2" t="str">
        <f>IF(DB_Artworks_Export!L457="","",DB_Artworks_Export!L457)</f>
        <v/>
      </c>
      <c r="P457" s="2" t="str">
        <f>IF(DB_Artworks_Export!M457="","",DB_Artworks_Export!M457)</f>
        <v/>
      </c>
      <c r="Q457" s="2" t="str">
        <f>IF(DB_Artworks_Export!N457="","",DB_Artworks_Export!N457)</f>
        <v/>
      </c>
      <c r="R457" s="2" t="str">
        <f>IF($D457="","",IF(COUNTIF(DB_Categories_Export!$A:$A,$F457)&gt;0,"OK","INVALID CATEGORY"))</f>
        <v/>
      </c>
      <c r="S457" s="2" t="str">
        <f>IF($D457="","",COUNTIF(DB_Artwork_Sizes_Export!$B:$B,$D457))</f>
        <v/>
      </c>
      <c r="T457" s="2" t="str">
        <f>IF($D457="","",IFERROR(INDEX(DB_Artwork_Sizes_Export!$D:$D,MATCH($D457,DB_Artwork_Sizes_Export!$B:$B,0)),""))</f>
        <v/>
      </c>
      <c r="U457" s="2" t="str">
        <f>IF($D457="","",IFERROR(INDEX(DB_Artwork_Sizes_Export!$E:$E,MATCH($D457,DB_Artwork_Sizes_Export!$B:$B,0)),""))</f>
        <v/>
      </c>
      <c r="V457" s="2" t="str">
        <f>IF($D457="","",IFERROR(INDEX(DB_Artwork_Sizes_Export!$F:$F,MATCH($D457,DB_Artwork_Sizes_Export!$B:$B,0)),""))</f>
        <v/>
      </c>
      <c r="W457" s="2" t="str">
        <f t="shared" si="72"/>
        <v/>
      </c>
      <c r="X457" s="2"/>
      <c r="Y457" s="2"/>
      <c r="Z457" s="2"/>
      <c r="AA457" s="2"/>
      <c r="AB457" s="2"/>
      <c r="AC457" s="2"/>
      <c r="AD457" s="2"/>
      <c r="AE457" s="2"/>
      <c r="AF457" s="2" t="str">
        <f t="shared" si="73"/>
        <v/>
      </c>
      <c r="AG457" s="2" t="str">
        <f t="shared" si="74"/>
        <v/>
      </c>
      <c r="AH457" s="2" t="str">
        <f>IF($AG457="","",IFERROR(VLOOKUP($AG457,DB_Categories_Export!$A:$B,2,FALSE()),"INVALID CATEGORY"))</f>
        <v/>
      </c>
      <c r="AI457" s="2" t="str">
        <f t="shared" si="75"/>
        <v/>
      </c>
      <c r="AJ457" s="2" t="str">
        <f t="shared" si="76"/>
        <v/>
      </c>
      <c r="AK457" s="2" t="str">
        <f t="shared" si="77"/>
        <v/>
      </c>
      <c r="AL457" s="2" t="str">
        <f t="shared" si="78"/>
        <v/>
      </c>
      <c r="AM457" s="2" t="str">
        <f t="shared" si="79"/>
        <v/>
      </c>
      <c r="AN457" s="2"/>
      <c r="AO457" s="2"/>
    </row>
    <row r="458" spans="1:41" ht="12" customHeight="1" x14ac:dyDescent="0.3">
      <c r="A458" s="2"/>
      <c r="B458" s="2" t="str">
        <f t="shared" si="70"/>
        <v/>
      </c>
      <c r="C458" s="2" t="str">
        <f t="shared" si="71"/>
        <v/>
      </c>
      <c r="D458" s="2" t="str">
        <f>IF(DB_Artworks_Export!A458="","",DB_Artworks_Export!A458)</f>
        <v/>
      </c>
      <c r="E458" s="2" t="str">
        <f>IF(DB_Artworks_Export!B458="","",DB_Artworks_Export!B458)</f>
        <v/>
      </c>
      <c r="F458" s="2" t="str">
        <f>IF(DB_Artworks_Export!C458="","",DB_Artworks_Export!C458)</f>
        <v/>
      </c>
      <c r="G458" s="2" t="str">
        <f>IF(DB_Artworks_Export!D458="","",DB_Artworks_Export!D458)</f>
        <v/>
      </c>
      <c r="H458" s="2" t="str">
        <f>IF(DB_Artworks_Export!E458="","",DB_Artworks_Export!E458)</f>
        <v/>
      </c>
      <c r="I458" s="2" t="str">
        <f>IF(DB_Artworks_Export!F458="","",DB_Artworks_Export!F458)</f>
        <v/>
      </c>
      <c r="J458" s="2" t="str">
        <f>IF(DB_Artworks_Export!G458="","",DB_Artworks_Export!G458)</f>
        <v/>
      </c>
      <c r="K458" s="2" t="str">
        <f>IF(DB_Artworks_Export!H458="","",DB_Artworks_Export!H458)</f>
        <v/>
      </c>
      <c r="L458" s="2" t="str">
        <f>IF(DB_Artworks_Export!I458="","",DB_Artworks_Export!I458)</f>
        <v/>
      </c>
      <c r="M458" s="2" t="str">
        <f>IF(DB_Artworks_Export!J458="","",DB_Artworks_Export!J458)</f>
        <v/>
      </c>
      <c r="N458" s="2" t="str">
        <f>IF(DB_Artworks_Export!K458="","",DB_Artworks_Export!K458)</f>
        <v/>
      </c>
      <c r="O458" s="2" t="str">
        <f>IF(DB_Artworks_Export!L458="","",DB_Artworks_Export!L458)</f>
        <v/>
      </c>
      <c r="P458" s="2" t="str">
        <f>IF(DB_Artworks_Export!M458="","",DB_Artworks_Export!M458)</f>
        <v/>
      </c>
      <c r="Q458" s="2" t="str">
        <f>IF(DB_Artworks_Export!N458="","",DB_Artworks_Export!N458)</f>
        <v/>
      </c>
      <c r="R458" s="2" t="str">
        <f>IF($D458="","",IF(COUNTIF(DB_Categories_Export!$A:$A,$F458)&gt;0,"OK","INVALID CATEGORY"))</f>
        <v/>
      </c>
      <c r="S458" s="2" t="str">
        <f>IF($D458="","",COUNTIF(DB_Artwork_Sizes_Export!$B:$B,$D458))</f>
        <v/>
      </c>
      <c r="T458" s="2" t="str">
        <f>IF($D458="","",IFERROR(INDEX(DB_Artwork_Sizes_Export!$D:$D,MATCH($D458,DB_Artwork_Sizes_Export!$B:$B,0)),""))</f>
        <v/>
      </c>
      <c r="U458" s="2" t="str">
        <f>IF($D458="","",IFERROR(INDEX(DB_Artwork_Sizes_Export!$E:$E,MATCH($D458,DB_Artwork_Sizes_Export!$B:$B,0)),""))</f>
        <v/>
      </c>
      <c r="V458" s="2" t="str">
        <f>IF($D458="","",IFERROR(INDEX(DB_Artwork_Sizes_Export!$F:$F,MATCH($D458,DB_Artwork_Sizes_Export!$B:$B,0)),""))</f>
        <v/>
      </c>
      <c r="W458" s="2" t="str">
        <f t="shared" si="72"/>
        <v/>
      </c>
      <c r="X458" s="2"/>
      <c r="Y458" s="2"/>
      <c r="Z458" s="2"/>
      <c r="AA458" s="2"/>
      <c r="AB458" s="2"/>
      <c r="AC458" s="2"/>
      <c r="AD458" s="2"/>
      <c r="AE458" s="2"/>
      <c r="AF458" s="2" t="str">
        <f t="shared" si="73"/>
        <v/>
      </c>
      <c r="AG458" s="2" t="str">
        <f t="shared" si="74"/>
        <v/>
      </c>
      <c r="AH458" s="2" t="str">
        <f>IF($AG458="","",IFERROR(VLOOKUP($AG458,DB_Categories_Export!$A:$B,2,FALSE()),"INVALID CATEGORY"))</f>
        <v/>
      </c>
      <c r="AI458" s="2" t="str">
        <f t="shared" si="75"/>
        <v/>
      </c>
      <c r="AJ458" s="2" t="str">
        <f t="shared" si="76"/>
        <v/>
      </c>
      <c r="AK458" s="2" t="str">
        <f t="shared" si="77"/>
        <v/>
      </c>
      <c r="AL458" s="2" t="str">
        <f t="shared" si="78"/>
        <v/>
      </c>
      <c r="AM458" s="2" t="str">
        <f t="shared" si="79"/>
        <v/>
      </c>
      <c r="AN458" s="2"/>
      <c r="AO458" s="2"/>
    </row>
    <row r="459" spans="1:41" ht="12" customHeight="1" x14ac:dyDescent="0.3">
      <c r="A459" s="2"/>
      <c r="B459" s="2" t="str">
        <f t="shared" si="70"/>
        <v/>
      </c>
      <c r="C459" s="2" t="str">
        <f t="shared" si="71"/>
        <v/>
      </c>
      <c r="D459" s="2" t="str">
        <f>IF(DB_Artworks_Export!A459="","",DB_Artworks_Export!A459)</f>
        <v/>
      </c>
      <c r="E459" s="2" t="str">
        <f>IF(DB_Artworks_Export!B459="","",DB_Artworks_Export!B459)</f>
        <v/>
      </c>
      <c r="F459" s="2" t="str">
        <f>IF(DB_Artworks_Export!C459="","",DB_Artworks_Export!C459)</f>
        <v/>
      </c>
      <c r="G459" s="2" t="str">
        <f>IF(DB_Artworks_Export!D459="","",DB_Artworks_Export!D459)</f>
        <v/>
      </c>
      <c r="H459" s="2" t="str">
        <f>IF(DB_Artworks_Export!E459="","",DB_Artworks_Export!E459)</f>
        <v/>
      </c>
      <c r="I459" s="2" t="str">
        <f>IF(DB_Artworks_Export!F459="","",DB_Artworks_Export!F459)</f>
        <v/>
      </c>
      <c r="J459" s="2" t="str">
        <f>IF(DB_Artworks_Export!G459="","",DB_Artworks_Export!G459)</f>
        <v/>
      </c>
      <c r="K459" s="2" t="str">
        <f>IF(DB_Artworks_Export!H459="","",DB_Artworks_Export!H459)</f>
        <v/>
      </c>
      <c r="L459" s="2" t="str">
        <f>IF(DB_Artworks_Export!I459="","",DB_Artworks_Export!I459)</f>
        <v/>
      </c>
      <c r="M459" s="2" t="str">
        <f>IF(DB_Artworks_Export!J459="","",DB_Artworks_Export!J459)</f>
        <v/>
      </c>
      <c r="N459" s="2" t="str">
        <f>IF(DB_Artworks_Export!K459="","",DB_Artworks_Export!K459)</f>
        <v/>
      </c>
      <c r="O459" s="2" t="str">
        <f>IF(DB_Artworks_Export!L459="","",DB_Artworks_Export!L459)</f>
        <v/>
      </c>
      <c r="P459" s="2" t="str">
        <f>IF(DB_Artworks_Export!M459="","",DB_Artworks_Export!M459)</f>
        <v/>
      </c>
      <c r="Q459" s="2" t="str">
        <f>IF(DB_Artworks_Export!N459="","",DB_Artworks_Export!N459)</f>
        <v/>
      </c>
      <c r="R459" s="2" t="str">
        <f>IF($D459="","",IF(COUNTIF(DB_Categories_Export!$A:$A,$F459)&gt;0,"OK","INVALID CATEGORY"))</f>
        <v/>
      </c>
      <c r="S459" s="2" t="str">
        <f>IF($D459="","",COUNTIF(DB_Artwork_Sizes_Export!$B:$B,$D459))</f>
        <v/>
      </c>
      <c r="T459" s="2" t="str">
        <f>IF($D459="","",IFERROR(INDEX(DB_Artwork_Sizes_Export!$D:$D,MATCH($D459,DB_Artwork_Sizes_Export!$B:$B,0)),""))</f>
        <v/>
      </c>
      <c r="U459" s="2" t="str">
        <f>IF($D459="","",IFERROR(INDEX(DB_Artwork_Sizes_Export!$E:$E,MATCH($D459,DB_Artwork_Sizes_Export!$B:$B,0)),""))</f>
        <v/>
      </c>
      <c r="V459" s="2" t="str">
        <f>IF($D459="","",IFERROR(INDEX(DB_Artwork_Sizes_Export!$F:$F,MATCH($D459,DB_Artwork_Sizes_Export!$B:$B,0)),""))</f>
        <v/>
      </c>
      <c r="W459" s="2" t="str">
        <f t="shared" si="72"/>
        <v/>
      </c>
      <c r="X459" s="2"/>
      <c r="Y459" s="2"/>
      <c r="Z459" s="2"/>
      <c r="AA459" s="2"/>
      <c r="AB459" s="2"/>
      <c r="AC459" s="2"/>
      <c r="AD459" s="2"/>
      <c r="AE459" s="2"/>
      <c r="AF459" s="2" t="str">
        <f t="shared" si="73"/>
        <v/>
      </c>
      <c r="AG459" s="2" t="str">
        <f t="shared" si="74"/>
        <v/>
      </c>
      <c r="AH459" s="2" t="str">
        <f>IF($AG459="","",IFERROR(VLOOKUP($AG459,DB_Categories_Export!$A:$B,2,FALSE()),"INVALID CATEGORY"))</f>
        <v/>
      </c>
      <c r="AI459" s="2" t="str">
        <f t="shared" si="75"/>
        <v/>
      </c>
      <c r="AJ459" s="2" t="str">
        <f t="shared" si="76"/>
        <v/>
      </c>
      <c r="AK459" s="2" t="str">
        <f t="shared" si="77"/>
        <v/>
      </c>
      <c r="AL459" s="2" t="str">
        <f t="shared" si="78"/>
        <v/>
      </c>
      <c r="AM459" s="2" t="str">
        <f t="shared" si="79"/>
        <v/>
      </c>
      <c r="AN459" s="2"/>
      <c r="AO459" s="2"/>
    </row>
    <row r="460" spans="1:41" ht="12" customHeight="1" x14ac:dyDescent="0.3">
      <c r="A460" s="2"/>
      <c r="B460" s="2" t="str">
        <f t="shared" si="70"/>
        <v/>
      </c>
      <c r="C460" s="2" t="str">
        <f t="shared" si="71"/>
        <v/>
      </c>
      <c r="D460" s="2" t="str">
        <f>IF(DB_Artworks_Export!A460="","",DB_Artworks_Export!A460)</f>
        <v/>
      </c>
      <c r="E460" s="2" t="str">
        <f>IF(DB_Artworks_Export!B460="","",DB_Artworks_Export!B460)</f>
        <v/>
      </c>
      <c r="F460" s="2" t="str">
        <f>IF(DB_Artworks_Export!C460="","",DB_Artworks_Export!C460)</f>
        <v/>
      </c>
      <c r="G460" s="2" t="str">
        <f>IF(DB_Artworks_Export!D460="","",DB_Artworks_Export!D460)</f>
        <v/>
      </c>
      <c r="H460" s="2" t="str">
        <f>IF(DB_Artworks_Export!E460="","",DB_Artworks_Export!E460)</f>
        <v/>
      </c>
      <c r="I460" s="2" t="str">
        <f>IF(DB_Artworks_Export!F460="","",DB_Artworks_Export!F460)</f>
        <v/>
      </c>
      <c r="J460" s="2" t="str">
        <f>IF(DB_Artworks_Export!G460="","",DB_Artworks_Export!G460)</f>
        <v/>
      </c>
      <c r="K460" s="2" t="str">
        <f>IF(DB_Artworks_Export!H460="","",DB_Artworks_Export!H460)</f>
        <v/>
      </c>
      <c r="L460" s="2" t="str">
        <f>IF(DB_Artworks_Export!I460="","",DB_Artworks_Export!I460)</f>
        <v/>
      </c>
      <c r="M460" s="2" t="str">
        <f>IF(DB_Artworks_Export!J460="","",DB_Artworks_Export!J460)</f>
        <v/>
      </c>
      <c r="N460" s="2" t="str">
        <f>IF(DB_Artworks_Export!K460="","",DB_Artworks_Export!K460)</f>
        <v/>
      </c>
      <c r="O460" s="2" t="str">
        <f>IF(DB_Artworks_Export!L460="","",DB_Artworks_Export!L460)</f>
        <v/>
      </c>
      <c r="P460" s="2" t="str">
        <f>IF(DB_Artworks_Export!M460="","",DB_Artworks_Export!M460)</f>
        <v/>
      </c>
      <c r="Q460" s="2" t="str">
        <f>IF(DB_Artworks_Export!N460="","",DB_Artworks_Export!N460)</f>
        <v/>
      </c>
      <c r="R460" s="2" t="str">
        <f>IF($D460="","",IF(COUNTIF(DB_Categories_Export!$A:$A,$F460)&gt;0,"OK","INVALID CATEGORY"))</f>
        <v/>
      </c>
      <c r="S460" s="2" t="str">
        <f>IF($D460="","",COUNTIF(DB_Artwork_Sizes_Export!$B:$B,$D460))</f>
        <v/>
      </c>
      <c r="T460" s="2" t="str">
        <f>IF($D460="","",IFERROR(INDEX(DB_Artwork_Sizes_Export!$D:$D,MATCH($D460,DB_Artwork_Sizes_Export!$B:$B,0)),""))</f>
        <v/>
      </c>
      <c r="U460" s="2" t="str">
        <f>IF($D460="","",IFERROR(INDEX(DB_Artwork_Sizes_Export!$E:$E,MATCH($D460,DB_Artwork_Sizes_Export!$B:$B,0)),""))</f>
        <v/>
      </c>
      <c r="V460" s="2" t="str">
        <f>IF($D460="","",IFERROR(INDEX(DB_Artwork_Sizes_Export!$F:$F,MATCH($D460,DB_Artwork_Sizes_Export!$B:$B,0)),""))</f>
        <v/>
      </c>
      <c r="W460" s="2" t="str">
        <f t="shared" si="72"/>
        <v/>
      </c>
      <c r="X460" s="2"/>
      <c r="Y460" s="2"/>
      <c r="Z460" s="2"/>
      <c r="AA460" s="2"/>
      <c r="AB460" s="2"/>
      <c r="AC460" s="2"/>
      <c r="AD460" s="2"/>
      <c r="AE460" s="2"/>
      <c r="AF460" s="2" t="str">
        <f t="shared" si="73"/>
        <v/>
      </c>
      <c r="AG460" s="2" t="str">
        <f t="shared" si="74"/>
        <v/>
      </c>
      <c r="AH460" s="2" t="str">
        <f>IF($AG460="","",IFERROR(VLOOKUP($AG460,DB_Categories_Export!$A:$B,2,FALSE()),"INVALID CATEGORY"))</f>
        <v/>
      </c>
      <c r="AI460" s="2" t="str">
        <f t="shared" si="75"/>
        <v/>
      </c>
      <c r="AJ460" s="2" t="str">
        <f t="shared" si="76"/>
        <v/>
      </c>
      <c r="AK460" s="2" t="str">
        <f t="shared" si="77"/>
        <v/>
      </c>
      <c r="AL460" s="2" t="str">
        <f t="shared" si="78"/>
        <v/>
      </c>
      <c r="AM460" s="2" t="str">
        <f t="shared" si="79"/>
        <v/>
      </c>
      <c r="AN460" s="2"/>
      <c r="AO460" s="2"/>
    </row>
    <row r="461" spans="1:41" ht="12" customHeight="1" x14ac:dyDescent="0.3">
      <c r="A461" s="2"/>
      <c r="B461" s="2" t="str">
        <f t="shared" si="70"/>
        <v/>
      </c>
      <c r="C461" s="2" t="str">
        <f t="shared" si="71"/>
        <v/>
      </c>
      <c r="D461" s="2" t="str">
        <f>IF(DB_Artworks_Export!A461="","",DB_Artworks_Export!A461)</f>
        <v/>
      </c>
      <c r="E461" s="2" t="str">
        <f>IF(DB_Artworks_Export!B461="","",DB_Artworks_Export!B461)</f>
        <v/>
      </c>
      <c r="F461" s="2" t="str">
        <f>IF(DB_Artworks_Export!C461="","",DB_Artworks_Export!C461)</f>
        <v/>
      </c>
      <c r="G461" s="2" t="str">
        <f>IF(DB_Artworks_Export!D461="","",DB_Artworks_Export!D461)</f>
        <v/>
      </c>
      <c r="H461" s="2" t="str">
        <f>IF(DB_Artworks_Export!E461="","",DB_Artworks_Export!E461)</f>
        <v/>
      </c>
      <c r="I461" s="2" t="str">
        <f>IF(DB_Artworks_Export!F461="","",DB_Artworks_Export!F461)</f>
        <v/>
      </c>
      <c r="J461" s="2" t="str">
        <f>IF(DB_Artworks_Export!G461="","",DB_Artworks_Export!G461)</f>
        <v/>
      </c>
      <c r="K461" s="2" t="str">
        <f>IF(DB_Artworks_Export!H461="","",DB_Artworks_Export!H461)</f>
        <v/>
      </c>
      <c r="L461" s="2" t="str">
        <f>IF(DB_Artworks_Export!I461="","",DB_Artworks_Export!I461)</f>
        <v/>
      </c>
      <c r="M461" s="2" t="str">
        <f>IF(DB_Artworks_Export!J461="","",DB_Artworks_Export!J461)</f>
        <v/>
      </c>
      <c r="N461" s="2" t="str">
        <f>IF(DB_Artworks_Export!K461="","",DB_Artworks_Export!K461)</f>
        <v/>
      </c>
      <c r="O461" s="2" t="str">
        <f>IF(DB_Artworks_Export!L461="","",DB_Artworks_Export!L461)</f>
        <v/>
      </c>
      <c r="P461" s="2" t="str">
        <f>IF(DB_Artworks_Export!M461="","",DB_Artworks_Export!M461)</f>
        <v/>
      </c>
      <c r="Q461" s="2" t="str">
        <f>IF(DB_Artworks_Export!N461="","",DB_Artworks_Export!N461)</f>
        <v/>
      </c>
      <c r="R461" s="2" t="str">
        <f>IF($D461="","",IF(COUNTIF(DB_Categories_Export!$A:$A,$F461)&gt;0,"OK","INVALID CATEGORY"))</f>
        <v/>
      </c>
      <c r="S461" s="2" t="str">
        <f>IF($D461="","",COUNTIF(DB_Artwork_Sizes_Export!$B:$B,$D461))</f>
        <v/>
      </c>
      <c r="T461" s="2" t="str">
        <f>IF($D461="","",IFERROR(INDEX(DB_Artwork_Sizes_Export!$D:$D,MATCH($D461,DB_Artwork_Sizes_Export!$B:$B,0)),""))</f>
        <v/>
      </c>
      <c r="U461" s="2" t="str">
        <f>IF($D461="","",IFERROR(INDEX(DB_Artwork_Sizes_Export!$E:$E,MATCH($D461,DB_Artwork_Sizes_Export!$B:$B,0)),""))</f>
        <v/>
      </c>
      <c r="V461" s="2" t="str">
        <f>IF($D461="","",IFERROR(INDEX(DB_Artwork_Sizes_Export!$F:$F,MATCH($D461,DB_Artwork_Sizes_Export!$B:$B,0)),""))</f>
        <v/>
      </c>
      <c r="W461" s="2" t="str">
        <f t="shared" si="72"/>
        <v/>
      </c>
      <c r="X461" s="2"/>
      <c r="Y461" s="2"/>
      <c r="Z461" s="2"/>
      <c r="AA461" s="2"/>
      <c r="AB461" s="2"/>
      <c r="AC461" s="2"/>
      <c r="AD461" s="2"/>
      <c r="AE461" s="2"/>
      <c r="AF461" s="2" t="str">
        <f t="shared" si="73"/>
        <v/>
      </c>
      <c r="AG461" s="2" t="str">
        <f t="shared" si="74"/>
        <v/>
      </c>
      <c r="AH461" s="2" t="str">
        <f>IF($AG461="","",IFERROR(VLOOKUP($AG461,DB_Categories_Export!$A:$B,2,FALSE()),"INVALID CATEGORY"))</f>
        <v/>
      </c>
      <c r="AI461" s="2" t="str">
        <f t="shared" si="75"/>
        <v/>
      </c>
      <c r="AJ461" s="2" t="str">
        <f t="shared" si="76"/>
        <v/>
      </c>
      <c r="AK461" s="2" t="str">
        <f t="shared" si="77"/>
        <v/>
      </c>
      <c r="AL461" s="2" t="str">
        <f t="shared" si="78"/>
        <v/>
      </c>
      <c r="AM461" s="2" t="str">
        <f t="shared" si="79"/>
        <v/>
      </c>
      <c r="AN461" s="2"/>
      <c r="AO461" s="2"/>
    </row>
    <row r="462" spans="1:41" ht="12" customHeight="1" x14ac:dyDescent="0.3">
      <c r="A462" s="2"/>
      <c r="B462" s="2" t="str">
        <f t="shared" si="70"/>
        <v/>
      </c>
      <c r="C462" s="2" t="str">
        <f t="shared" si="71"/>
        <v/>
      </c>
      <c r="D462" s="2" t="str">
        <f>IF(DB_Artworks_Export!A462="","",DB_Artworks_Export!A462)</f>
        <v/>
      </c>
      <c r="E462" s="2" t="str">
        <f>IF(DB_Artworks_Export!B462="","",DB_Artworks_Export!B462)</f>
        <v/>
      </c>
      <c r="F462" s="2" t="str">
        <f>IF(DB_Artworks_Export!C462="","",DB_Artworks_Export!C462)</f>
        <v/>
      </c>
      <c r="G462" s="2" t="str">
        <f>IF(DB_Artworks_Export!D462="","",DB_Artworks_Export!D462)</f>
        <v/>
      </c>
      <c r="H462" s="2" t="str">
        <f>IF(DB_Artworks_Export!E462="","",DB_Artworks_Export!E462)</f>
        <v/>
      </c>
      <c r="I462" s="2" t="str">
        <f>IF(DB_Artworks_Export!F462="","",DB_Artworks_Export!F462)</f>
        <v/>
      </c>
      <c r="J462" s="2" t="str">
        <f>IF(DB_Artworks_Export!G462="","",DB_Artworks_Export!G462)</f>
        <v/>
      </c>
      <c r="K462" s="2" t="str">
        <f>IF(DB_Artworks_Export!H462="","",DB_Artworks_Export!H462)</f>
        <v/>
      </c>
      <c r="L462" s="2" t="str">
        <f>IF(DB_Artworks_Export!I462="","",DB_Artworks_Export!I462)</f>
        <v/>
      </c>
      <c r="M462" s="2" t="str">
        <f>IF(DB_Artworks_Export!J462="","",DB_Artworks_Export!J462)</f>
        <v/>
      </c>
      <c r="N462" s="2" t="str">
        <f>IF(DB_Artworks_Export!K462="","",DB_Artworks_Export!K462)</f>
        <v/>
      </c>
      <c r="O462" s="2" t="str">
        <f>IF(DB_Artworks_Export!L462="","",DB_Artworks_Export!L462)</f>
        <v/>
      </c>
      <c r="P462" s="2" t="str">
        <f>IF(DB_Artworks_Export!M462="","",DB_Artworks_Export!M462)</f>
        <v/>
      </c>
      <c r="Q462" s="2" t="str">
        <f>IF(DB_Artworks_Export!N462="","",DB_Artworks_Export!N462)</f>
        <v/>
      </c>
      <c r="R462" s="2" t="str">
        <f>IF($D462="","",IF(COUNTIF(DB_Categories_Export!$A:$A,$F462)&gt;0,"OK","INVALID CATEGORY"))</f>
        <v/>
      </c>
      <c r="S462" s="2" t="str">
        <f>IF($D462="","",COUNTIF(DB_Artwork_Sizes_Export!$B:$B,$D462))</f>
        <v/>
      </c>
      <c r="T462" s="2" t="str">
        <f>IF($D462="","",IFERROR(INDEX(DB_Artwork_Sizes_Export!$D:$D,MATCH($D462,DB_Artwork_Sizes_Export!$B:$B,0)),""))</f>
        <v/>
      </c>
      <c r="U462" s="2" t="str">
        <f>IF($D462="","",IFERROR(INDEX(DB_Artwork_Sizes_Export!$E:$E,MATCH($D462,DB_Artwork_Sizes_Export!$B:$B,0)),""))</f>
        <v/>
      </c>
      <c r="V462" s="2" t="str">
        <f>IF($D462="","",IFERROR(INDEX(DB_Artwork_Sizes_Export!$F:$F,MATCH($D462,DB_Artwork_Sizes_Export!$B:$B,0)),""))</f>
        <v/>
      </c>
      <c r="W462" s="2" t="str">
        <f t="shared" si="72"/>
        <v/>
      </c>
      <c r="X462" s="2"/>
      <c r="Y462" s="2"/>
      <c r="Z462" s="2"/>
      <c r="AA462" s="2"/>
      <c r="AB462" s="2"/>
      <c r="AC462" s="2"/>
      <c r="AD462" s="2"/>
      <c r="AE462" s="2"/>
      <c r="AF462" s="2" t="str">
        <f t="shared" si="73"/>
        <v/>
      </c>
      <c r="AG462" s="2" t="str">
        <f t="shared" si="74"/>
        <v/>
      </c>
      <c r="AH462" s="2" t="str">
        <f>IF($AG462="","",IFERROR(VLOOKUP($AG462,DB_Categories_Export!$A:$B,2,FALSE()),"INVALID CATEGORY"))</f>
        <v/>
      </c>
      <c r="AI462" s="2" t="str">
        <f t="shared" si="75"/>
        <v/>
      </c>
      <c r="AJ462" s="2" t="str">
        <f t="shared" si="76"/>
        <v/>
      </c>
      <c r="AK462" s="2" t="str">
        <f t="shared" si="77"/>
        <v/>
      </c>
      <c r="AL462" s="2" t="str">
        <f t="shared" si="78"/>
        <v/>
      </c>
      <c r="AM462" s="2" t="str">
        <f t="shared" si="79"/>
        <v/>
      </c>
      <c r="AN462" s="2"/>
      <c r="AO462" s="2"/>
    </row>
    <row r="463" spans="1:41" ht="12" customHeight="1" x14ac:dyDescent="0.3">
      <c r="A463" s="2"/>
      <c r="B463" s="2" t="str">
        <f t="shared" si="70"/>
        <v/>
      </c>
      <c r="C463" s="2" t="str">
        <f t="shared" si="71"/>
        <v/>
      </c>
      <c r="D463" s="2" t="str">
        <f>IF(DB_Artworks_Export!A463="","",DB_Artworks_Export!A463)</f>
        <v/>
      </c>
      <c r="E463" s="2" t="str">
        <f>IF(DB_Artworks_Export!B463="","",DB_Artworks_Export!B463)</f>
        <v/>
      </c>
      <c r="F463" s="2" t="str">
        <f>IF(DB_Artworks_Export!C463="","",DB_Artworks_Export!C463)</f>
        <v/>
      </c>
      <c r="G463" s="2" t="str">
        <f>IF(DB_Artworks_Export!D463="","",DB_Artworks_Export!D463)</f>
        <v/>
      </c>
      <c r="H463" s="2" t="str">
        <f>IF(DB_Artworks_Export!E463="","",DB_Artworks_Export!E463)</f>
        <v/>
      </c>
      <c r="I463" s="2" t="str">
        <f>IF(DB_Artworks_Export!F463="","",DB_Artworks_Export!F463)</f>
        <v/>
      </c>
      <c r="J463" s="2" t="str">
        <f>IF(DB_Artworks_Export!G463="","",DB_Artworks_Export!G463)</f>
        <v/>
      </c>
      <c r="K463" s="2" t="str">
        <f>IF(DB_Artworks_Export!H463="","",DB_Artworks_Export!H463)</f>
        <v/>
      </c>
      <c r="L463" s="2" t="str">
        <f>IF(DB_Artworks_Export!I463="","",DB_Artworks_Export!I463)</f>
        <v/>
      </c>
      <c r="M463" s="2" t="str">
        <f>IF(DB_Artworks_Export!J463="","",DB_Artworks_Export!J463)</f>
        <v/>
      </c>
      <c r="N463" s="2" t="str">
        <f>IF(DB_Artworks_Export!K463="","",DB_Artworks_Export!K463)</f>
        <v/>
      </c>
      <c r="O463" s="2" t="str">
        <f>IF(DB_Artworks_Export!L463="","",DB_Artworks_Export!L463)</f>
        <v/>
      </c>
      <c r="P463" s="2" t="str">
        <f>IF(DB_Artworks_Export!M463="","",DB_Artworks_Export!M463)</f>
        <v/>
      </c>
      <c r="Q463" s="2" t="str">
        <f>IF(DB_Artworks_Export!N463="","",DB_Artworks_Export!N463)</f>
        <v/>
      </c>
      <c r="R463" s="2" t="str">
        <f>IF($D463="","",IF(COUNTIF(DB_Categories_Export!$A:$A,$F463)&gt;0,"OK","INVALID CATEGORY"))</f>
        <v/>
      </c>
      <c r="S463" s="2" t="str">
        <f>IF($D463="","",COUNTIF(DB_Artwork_Sizes_Export!$B:$B,$D463))</f>
        <v/>
      </c>
      <c r="T463" s="2" t="str">
        <f>IF($D463="","",IFERROR(INDEX(DB_Artwork_Sizes_Export!$D:$D,MATCH($D463,DB_Artwork_Sizes_Export!$B:$B,0)),""))</f>
        <v/>
      </c>
      <c r="U463" s="2" t="str">
        <f>IF($D463="","",IFERROR(INDEX(DB_Artwork_Sizes_Export!$E:$E,MATCH($D463,DB_Artwork_Sizes_Export!$B:$B,0)),""))</f>
        <v/>
      </c>
      <c r="V463" s="2" t="str">
        <f>IF($D463="","",IFERROR(INDEX(DB_Artwork_Sizes_Export!$F:$F,MATCH($D463,DB_Artwork_Sizes_Export!$B:$B,0)),""))</f>
        <v/>
      </c>
      <c r="W463" s="2" t="str">
        <f t="shared" si="72"/>
        <v/>
      </c>
      <c r="X463" s="2"/>
      <c r="Y463" s="2"/>
      <c r="Z463" s="2"/>
      <c r="AA463" s="2"/>
      <c r="AB463" s="2"/>
      <c r="AC463" s="2"/>
      <c r="AD463" s="2"/>
      <c r="AE463" s="2"/>
      <c r="AF463" s="2" t="str">
        <f t="shared" si="73"/>
        <v/>
      </c>
      <c r="AG463" s="2" t="str">
        <f t="shared" si="74"/>
        <v/>
      </c>
      <c r="AH463" s="2" t="str">
        <f>IF($AG463="","",IFERROR(VLOOKUP($AG463,DB_Categories_Export!$A:$B,2,FALSE()),"INVALID CATEGORY"))</f>
        <v/>
      </c>
      <c r="AI463" s="2" t="str">
        <f t="shared" si="75"/>
        <v/>
      </c>
      <c r="AJ463" s="2" t="str">
        <f t="shared" si="76"/>
        <v/>
      </c>
      <c r="AK463" s="2" t="str">
        <f t="shared" si="77"/>
        <v/>
      </c>
      <c r="AL463" s="2" t="str">
        <f t="shared" si="78"/>
        <v/>
      </c>
      <c r="AM463" s="2" t="str">
        <f t="shared" si="79"/>
        <v/>
      </c>
      <c r="AN463" s="2"/>
      <c r="AO463" s="2"/>
    </row>
    <row r="464" spans="1:41" ht="12" customHeight="1" x14ac:dyDescent="0.3">
      <c r="A464" s="2"/>
      <c r="B464" s="2" t="str">
        <f t="shared" si="70"/>
        <v/>
      </c>
      <c r="C464" s="2" t="str">
        <f t="shared" si="71"/>
        <v/>
      </c>
      <c r="D464" s="2" t="str">
        <f>IF(DB_Artworks_Export!A464="","",DB_Artworks_Export!A464)</f>
        <v/>
      </c>
      <c r="E464" s="2" t="str">
        <f>IF(DB_Artworks_Export!B464="","",DB_Artworks_Export!B464)</f>
        <v/>
      </c>
      <c r="F464" s="2" t="str">
        <f>IF(DB_Artworks_Export!C464="","",DB_Artworks_Export!C464)</f>
        <v/>
      </c>
      <c r="G464" s="2" t="str">
        <f>IF(DB_Artworks_Export!D464="","",DB_Artworks_Export!D464)</f>
        <v/>
      </c>
      <c r="H464" s="2" t="str">
        <f>IF(DB_Artworks_Export!E464="","",DB_Artworks_Export!E464)</f>
        <v/>
      </c>
      <c r="I464" s="2" t="str">
        <f>IF(DB_Artworks_Export!F464="","",DB_Artworks_Export!F464)</f>
        <v/>
      </c>
      <c r="J464" s="2" t="str">
        <f>IF(DB_Artworks_Export!G464="","",DB_Artworks_Export!G464)</f>
        <v/>
      </c>
      <c r="K464" s="2" t="str">
        <f>IF(DB_Artworks_Export!H464="","",DB_Artworks_Export!H464)</f>
        <v/>
      </c>
      <c r="L464" s="2" t="str">
        <f>IF(DB_Artworks_Export!I464="","",DB_Artworks_Export!I464)</f>
        <v/>
      </c>
      <c r="M464" s="2" t="str">
        <f>IF(DB_Artworks_Export!J464="","",DB_Artworks_Export!J464)</f>
        <v/>
      </c>
      <c r="N464" s="2" t="str">
        <f>IF(DB_Artworks_Export!K464="","",DB_Artworks_Export!K464)</f>
        <v/>
      </c>
      <c r="O464" s="2" t="str">
        <f>IF(DB_Artworks_Export!L464="","",DB_Artworks_Export!L464)</f>
        <v/>
      </c>
      <c r="P464" s="2" t="str">
        <f>IF(DB_Artworks_Export!M464="","",DB_Artworks_Export!M464)</f>
        <v/>
      </c>
      <c r="Q464" s="2" t="str">
        <f>IF(DB_Artworks_Export!N464="","",DB_Artworks_Export!N464)</f>
        <v/>
      </c>
      <c r="R464" s="2" t="str">
        <f>IF($D464="","",IF(COUNTIF(DB_Categories_Export!$A:$A,$F464)&gt;0,"OK","INVALID CATEGORY"))</f>
        <v/>
      </c>
      <c r="S464" s="2" t="str">
        <f>IF($D464="","",COUNTIF(DB_Artwork_Sizes_Export!$B:$B,$D464))</f>
        <v/>
      </c>
      <c r="T464" s="2" t="str">
        <f>IF($D464="","",IFERROR(INDEX(DB_Artwork_Sizes_Export!$D:$D,MATCH($D464,DB_Artwork_Sizes_Export!$B:$B,0)),""))</f>
        <v/>
      </c>
      <c r="U464" s="2" t="str">
        <f>IF($D464="","",IFERROR(INDEX(DB_Artwork_Sizes_Export!$E:$E,MATCH($D464,DB_Artwork_Sizes_Export!$B:$B,0)),""))</f>
        <v/>
      </c>
      <c r="V464" s="2" t="str">
        <f>IF($D464="","",IFERROR(INDEX(DB_Artwork_Sizes_Export!$F:$F,MATCH($D464,DB_Artwork_Sizes_Export!$B:$B,0)),""))</f>
        <v/>
      </c>
      <c r="W464" s="2" t="str">
        <f t="shared" si="72"/>
        <v/>
      </c>
      <c r="X464" s="2"/>
      <c r="Y464" s="2"/>
      <c r="Z464" s="2"/>
      <c r="AA464" s="2"/>
      <c r="AB464" s="2"/>
      <c r="AC464" s="2"/>
      <c r="AD464" s="2"/>
      <c r="AE464" s="2"/>
      <c r="AF464" s="2" t="str">
        <f t="shared" si="73"/>
        <v/>
      </c>
      <c r="AG464" s="2" t="str">
        <f t="shared" si="74"/>
        <v/>
      </c>
      <c r="AH464" s="2" t="str">
        <f>IF($AG464="","",IFERROR(VLOOKUP($AG464,DB_Categories_Export!$A:$B,2,FALSE()),"INVALID CATEGORY"))</f>
        <v/>
      </c>
      <c r="AI464" s="2" t="str">
        <f t="shared" si="75"/>
        <v/>
      </c>
      <c r="AJ464" s="2" t="str">
        <f t="shared" si="76"/>
        <v/>
      </c>
      <c r="AK464" s="2" t="str">
        <f t="shared" si="77"/>
        <v/>
      </c>
      <c r="AL464" s="2" t="str">
        <f t="shared" si="78"/>
        <v/>
      </c>
      <c r="AM464" s="2" t="str">
        <f t="shared" si="79"/>
        <v/>
      </c>
      <c r="AN464" s="2"/>
      <c r="AO464" s="2"/>
    </row>
    <row r="465" spans="1:41" ht="12" customHeight="1" x14ac:dyDescent="0.3">
      <c r="A465" s="2"/>
      <c r="B465" s="2" t="str">
        <f t="shared" si="70"/>
        <v/>
      </c>
      <c r="C465" s="2" t="str">
        <f t="shared" si="71"/>
        <v/>
      </c>
      <c r="D465" s="2" t="str">
        <f>IF(DB_Artworks_Export!A465="","",DB_Artworks_Export!A465)</f>
        <v/>
      </c>
      <c r="E465" s="2" t="str">
        <f>IF(DB_Artworks_Export!B465="","",DB_Artworks_Export!B465)</f>
        <v/>
      </c>
      <c r="F465" s="2" t="str">
        <f>IF(DB_Artworks_Export!C465="","",DB_Artworks_Export!C465)</f>
        <v/>
      </c>
      <c r="G465" s="2" t="str">
        <f>IF(DB_Artworks_Export!D465="","",DB_Artworks_Export!D465)</f>
        <v/>
      </c>
      <c r="H465" s="2" t="str">
        <f>IF(DB_Artworks_Export!E465="","",DB_Artworks_Export!E465)</f>
        <v/>
      </c>
      <c r="I465" s="2" t="str">
        <f>IF(DB_Artworks_Export!F465="","",DB_Artworks_Export!F465)</f>
        <v/>
      </c>
      <c r="J465" s="2" t="str">
        <f>IF(DB_Artworks_Export!G465="","",DB_Artworks_Export!G465)</f>
        <v/>
      </c>
      <c r="K465" s="2" t="str">
        <f>IF(DB_Artworks_Export!H465="","",DB_Artworks_Export!H465)</f>
        <v/>
      </c>
      <c r="L465" s="2" t="str">
        <f>IF(DB_Artworks_Export!I465="","",DB_Artworks_Export!I465)</f>
        <v/>
      </c>
      <c r="M465" s="2" t="str">
        <f>IF(DB_Artworks_Export!J465="","",DB_Artworks_Export!J465)</f>
        <v/>
      </c>
      <c r="N465" s="2" t="str">
        <f>IF(DB_Artworks_Export!K465="","",DB_Artworks_Export!K465)</f>
        <v/>
      </c>
      <c r="O465" s="2" t="str">
        <f>IF(DB_Artworks_Export!L465="","",DB_Artworks_Export!L465)</f>
        <v/>
      </c>
      <c r="P465" s="2" t="str">
        <f>IF(DB_Artworks_Export!M465="","",DB_Artworks_Export!M465)</f>
        <v/>
      </c>
      <c r="Q465" s="2" t="str">
        <f>IF(DB_Artworks_Export!N465="","",DB_Artworks_Export!N465)</f>
        <v/>
      </c>
      <c r="R465" s="2" t="str">
        <f>IF($D465="","",IF(COUNTIF(DB_Categories_Export!$A:$A,$F465)&gt;0,"OK","INVALID CATEGORY"))</f>
        <v/>
      </c>
      <c r="S465" s="2" t="str">
        <f>IF($D465="","",COUNTIF(DB_Artwork_Sizes_Export!$B:$B,$D465))</f>
        <v/>
      </c>
      <c r="T465" s="2" t="str">
        <f>IF($D465="","",IFERROR(INDEX(DB_Artwork_Sizes_Export!$D:$D,MATCH($D465,DB_Artwork_Sizes_Export!$B:$B,0)),""))</f>
        <v/>
      </c>
      <c r="U465" s="2" t="str">
        <f>IF($D465="","",IFERROR(INDEX(DB_Artwork_Sizes_Export!$E:$E,MATCH($D465,DB_Artwork_Sizes_Export!$B:$B,0)),""))</f>
        <v/>
      </c>
      <c r="V465" s="2" t="str">
        <f>IF($D465="","",IFERROR(INDEX(DB_Artwork_Sizes_Export!$F:$F,MATCH($D465,DB_Artwork_Sizes_Export!$B:$B,0)),""))</f>
        <v/>
      </c>
      <c r="W465" s="2" t="str">
        <f t="shared" si="72"/>
        <v/>
      </c>
      <c r="X465" s="2"/>
      <c r="Y465" s="2"/>
      <c r="Z465" s="2"/>
      <c r="AA465" s="2"/>
      <c r="AB465" s="2"/>
      <c r="AC465" s="2"/>
      <c r="AD465" s="2"/>
      <c r="AE465" s="2"/>
      <c r="AF465" s="2" t="str">
        <f t="shared" si="73"/>
        <v/>
      </c>
      <c r="AG465" s="2" t="str">
        <f t="shared" si="74"/>
        <v/>
      </c>
      <c r="AH465" s="2" t="str">
        <f>IF($AG465="","",IFERROR(VLOOKUP($AG465,DB_Categories_Export!$A:$B,2,FALSE()),"INVALID CATEGORY"))</f>
        <v/>
      </c>
      <c r="AI465" s="2" t="str">
        <f t="shared" si="75"/>
        <v/>
      </c>
      <c r="AJ465" s="2" t="str">
        <f t="shared" si="76"/>
        <v/>
      </c>
      <c r="AK465" s="2" t="str">
        <f t="shared" si="77"/>
        <v/>
      </c>
      <c r="AL465" s="2" t="str">
        <f t="shared" si="78"/>
        <v/>
      </c>
      <c r="AM465" s="2" t="str">
        <f t="shared" si="79"/>
        <v/>
      </c>
      <c r="AN465" s="2"/>
      <c r="AO465" s="2"/>
    </row>
    <row r="466" spans="1:41" ht="12" customHeight="1" x14ac:dyDescent="0.3">
      <c r="A466" s="2"/>
      <c r="B466" s="2" t="str">
        <f t="shared" si="70"/>
        <v/>
      </c>
      <c r="C466" s="2" t="str">
        <f t="shared" si="71"/>
        <v/>
      </c>
      <c r="D466" s="2" t="str">
        <f>IF(DB_Artworks_Export!A466="","",DB_Artworks_Export!A466)</f>
        <v/>
      </c>
      <c r="E466" s="2" t="str">
        <f>IF(DB_Artworks_Export!B466="","",DB_Artworks_Export!B466)</f>
        <v/>
      </c>
      <c r="F466" s="2" t="str">
        <f>IF(DB_Artworks_Export!C466="","",DB_Artworks_Export!C466)</f>
        <v/>
      </c>
      <c r="G466" s="2" t="str">
        <f>IF(DB_Artworks_Export!D466="","",DB_Artworks_Export!D466)</f>
        <v/>
      </c>
      <c r="H466" s="2" t="str">
        <f>IF(DB_Artworks_Export!E466="","",DB_Artworks_Export!E466)</f>
        <v/>
      </c>
      <c r="I466" s="2" t="str">
        <f>IF(DB_Artworks_Export!F466="","",DB_Artworks_Export!F466)</f>
        <v/>
      </c>
      <c r="J466" s="2" t="str">
        <f>IF(DB_Artworks_Export!G466="","",DB_Artworks_Export!G466)</f>
        <v/>
      </c>
      <c r="K466" s="2" t="str">
        <f>IF(DB_Artworks_Export!H466="","",DB_Artworks_Export!H466)</f>
        <v/>
      </c>
      <c r="L466" s="2" t="str">
        <f>IF(DB_Artworks_Export!I466="","",DB_Artworks_Export!I466)</f>
        <v/>
      </c>
      <c r="M466" s="2" t="str">
        <f>IF(DB_Artworks_Export!J466="","",DB_Artworks_Export!J466)</f>
        <v/>
      </c>
      <c r="N466" s="2" t="str">
        <f>IF(DB_Artworks_Export!K466="","",DB_Artworks_Export!K466)</f>
        <v/>
      </c>
      <c r="O466" s="2" t="str">
        <f>IF(DB_Artworks_Export!L466="","",DB_Artworks_Export!L466)</f>
        <v/>
      </c>
      <c r="P466" s="2" t="str">
        <f>IF(DB_Artworks_Export!M466="","",DB_Artworks_Export!M466)</f>
        <v/>
      </c>
      <c r="Q466" s="2" t="str">
        <f>IF(DB_Artworks_Export!N466="","",DB_Artworks_Export!N466)</f>
        <v/>
      </c>
      <c r="R466" s="2" t="str">
        <f>IF($D466="","",IF(COUNTIF(DB_Categories_Export!$A:$A,$F466)&gt;0,"OK","INVALID CATEGORY"))</f>
        <v/>
      </c>
      <c r="S466" s="2" t="str">
        <f>IF($D466="","",COUNTIF(DB_Artwork_Sizes_Export!$B:$B,$D466))</f>
        <v/>
      </c>
      <c r="T466" s="2" t="str">
        <f>IF($D466="","",IFERROR(INDEX(DB_Artwork_Sizes_Export!$D:$D,MATCH($D466,DB_Artwork_Sizes_Export!$B:$B,0)),""))</f>
        <v/>
      </c>
      <c r="U466" s="2" t="str">
        <f>IF($D466="","",IFERROR(INDEX(DB_Artwork_Sizes_Export!$E:$E,MATCH($D466,DB_Artwork_Sizes_Export!$B:$B,0)),""))</f>
        <v/>
      </c>
      <c r="V466" s="2" t="str">
        <f>IF($D466="","",IFERROR(INDEX(DB_Artwork_Sizes_Export!$F:$F,MATCH($D466,DB_Artwork_Sizes_Export!$B:$B,0)),""))</f>
        <v/>
      </c>
      <c r="W466" s="2" t="str">
        <f t="shared" si="72"/>
        <v/>
      </c>
      <c r="X466" s="2"/>
      <c r="Y466" s="2"/>
      <c r="Z466" s="2"/>
      <c r="AA466" s="2"/>
      <c r="AB466" s="2"/>
      <c r="AC466" s="2"/>
      <c r="AD466" s="2"/>
      <c r="AE466" s="2"/>
      <c r="AF466" s="2" t="str">
        <f t="shared" si="73"/>
        <v/>
      </c>
      <c r="AG466" s="2" t="str">
        <f t="shared" si="74"/>
        <v/>
      </c>
      <c r="AH466" s="2" t="str">
        <f>IF($AG466="","",IFERROR(VLOOKUP($AG466,DB_Categories_Export!$A:$B,2,FALSE()),"INVALID CATEGORY"))</f>
        <v/>
      </c>
      <c r="AI466" s="2" t="str">
        <f t="shared" si="75"/>
        <v/>
      </c>
      <c r="AJ466" s="2" t="str">
        <f t="shared" si="76"/>
        <v/>
      </c>
      <c r="AK466" s="2" t="str">
        <f t="shared" si="77"/>
        <v/>
      </c>
      <c r="AL466" s="2" t="str">
        <f t="shared" si="78"/>
        <v/>
      </c>
      <c r="AM466" s="2" t="str">
        <f t="shared" si="79"/>
        <v/>
      </c>
      <c r="AN466" s="2"/>
      <c r="AO466" s="2"/>
    </row>
    <row r="467" spans="1:41" ht="12" customHeight="1" x14ac:dyDescent="0.3">
      <c r="A467" s="2"/>
      <c r="B467" s="2" t="str">
        <f t="shared" si="70"/>
        <v/>
      </c>
      <c r="C467" s="2" t="str">
        <f t="shared" si="71"/>
        <v/>
      </c>
      <c r="D467" s="2" t="str">
        <f>IF(DB_Artworks_Export!A467="","",DB_Artworks_Export!A467)</f>
        <v/>
      </c>
      <c r="E467" s="2" t="str">
        <f>IF(DB_Artworks_Export!B467="","",DB_Artworks_Export!B467)</f>
        <v/>
      </c>
      <c r="F467" s="2" t="str">
        <f>IF(DB_Artworks_Export!C467="","",DB_Artworks_Export!C467)</f>
        <v/>
      </c>
      <c r="G467" s="2" t="str">
        <f>IF(DB_Artworks_Export!D467="","",DB_Artworks_Export!D467)</f>
        <v/>
      </c>
      <c r="H467" s="2" t="str">
        <f>IF(DB_Artworks_Export!E467="","",DB_Artworks_Export!E467)</f>
        <v/>
      </c>
      <c r="I467" s="2" t="str">
        <f>IF(DB_Artworks_Export!F467="","",DB_Artworks_Export!F467)</f>
        <v/>
      </c>
      <c r="J467" s="2" t="str">
        <f>IF(DB_Artworks_Export!G467="","",DB_Artworks_Export!G467)</f>
        <v/>
      </c>
      <c r="K467" s="2" t="str">
        <f>IF(DB_Artworks_Export!H467="","",DB_Artworks_Export!H467)</f>
        <v/>
      </c>
      <c r="L467" s="2" t="str">
        <f>IF(DB_Artworks_Export!I467="","",DB_Artworks_Export!I467)</f>
        <v/>
      </c>
      <c r="M467" s="2" t="str">
        <f>IF(DB_Artworks_Export!J467="","",DB_Artworks_Export!J467)</f>
        <v/>
      </c>
      <c r="N467" s="2" t="str">
        <f>IF(DB_Artworks_Export!K467="","",DB_Artworks_Export!K467)</f>
        <v/>
      </c>
      <c r="O467" s="2" t="str">
        <f>IF(DB_Artworks_Export!L467="","",DB_Artworks_Export!L467)</f>
        <v/>
      </c>
      <c r="P467" s="2" t="str">
        <f>IF(DB_Artworks_Export!M467="","",DB_Artworks_Export!M467)</f>
        <v/>
      </c>
      <c r="Q467" s="2" t="str">
        <f>IF(DB_Artworks_Export!N467="","",DB_Artworks_Export!N467)</f>
        <v/>
      </c>
      <c r="R467" s="2" t="str">
        <f>IF($D467="","",IF(COUNTIF(DB_Categories_Export!$A:$A,$F467)&gt;0,"OK","INVALID CATEGORY"))</f>
        <v/>
      </c>
      <c r="S467" s="2" t="str">
        <f>IF($D467="","",COUNTIF(DB_Artwork_Sizes_Export!$B:$B,$D467))</f>
        <v/>
      </c>
      <c r="T467" s="2" t="str">
        <f>IF($D467="","",IFERROR(INDEX(DB_Artwork_Sizes_Export!$D:$D,MATCH($D467,DB_Artwork_Sizes_Export!$B:$B,0)),""))</f>
        <v/>
      </c>
      <c r="U467" s="2" t="str">
        <f>IF($D467="","",IFERROR(INDEX(DB_Artwork_Sizes_Export!$E:$E,MATCH($D467,DB_Artwork_Sizes_Export!$B:$B,0)),""))</f>
        <v/>
      </c>
      <c r="V467" s="2" t="str">
        <f>IF($D467="","",IFERROR(INDEX(DB_Artwork_Sizes_Export!$F:$F,MATCH($D467,DB_Artwork_Sizes_Export!$B:$B,0)),""))</f>
        <v/>
      </c>
      <c r="W467" s="2" t="str">
        <f t="shared" si="72"/>
        <v/>
      </c>
      <c r="X467" s="2"/>
      <c r="Y467" s="2"/>
      <c r="Z467" s="2"/>
      <c r="AA467" s="2"/>
      <c r="AB467" s="2"/>
      <c r="AC467" s="2"/>
      <c r="AD467" s="2"/>
      <c r="AE467" s="2"/>
      <c r="AF467" s="2" t="str">
        <f t="shared" si="73"/>
        <v/>
      </c>
      <c r="AG467" s="2" t="str">
        <f t="shared" si="74"/>
        <v/>
      </c>
      <c r="AH467" s="2" t="str">
        <f>IF($AG467="","",IFERROR(VLOOKUP($AG467,DB_Categories_Export!$A:$B,2,FALSE()),"INVALID CATEGORY"))</f>
        <v/>
      </c>
      <c r="AI467" s="2" t="str">
        <f t="shared" si="75"/>
        <v/>
      </c>
      <c r="AJ467" s="2" t="str">
        <f t="shared" si="76"/>
        <v/>
      </c>
      <c r="AK467" s="2" t="str">
        <f t="shared" si="77"/>
        <v/>
      </c>
      <c r="AL467" s="2" t="str">
        <f t="shared" si="78"/>
        <v/>
      </c>
      <c r="AM467" s="2" t="str">
        <f t="shared" si="79"/>
        <v/>
      </c>
      <c r="AN467" s="2"/>
      <c r="AO467" s="2"/>
    </row>
    <row r="468" spans="1:41" ht="12" customHeight="1" x14ac:dyDescent="0.3">
      <c r="A468" s="2"/>
      <c r="B468" s="2" t="str">
        <f t="shared" si="70"/>
        <v/>
      </c>
      <c r="C468" s="2" t="str">
        <f t="shared" si="71"/>
        <v/>
      </c>
      <c r="D468" s="2" t="str">
        <f>IF(DB_Artworks_Export!A468="","",DB_Artworks_Export!A468)</f>
        <v/>
      </c>
      <c r="E468" s="2" t="str">
        <f>IF(DB_Artworks_Export!B468="","",DB_Artworks_Export!B468)</f>
        <v/>
      </c>
      <c r="F468" s="2" t="str">
        <f>IF(DB_Artworks_Export!C468="","",DB_Artworks_Export!C468)</f>
        <v/>
      </c>
      <c r="G468" s="2" t="str">
        <f>IF(DB_Artworks_Export!D468="","",DB_Artworks_Export!D468)</f>
        <v/>
      </c>
      <c r="H468" s="2" t="str">
        <f>IF(DB_Artworks_Export!E468="","",DB_Artworks_Export!E468)</f>
        <v/>
      </c>
      <c r="I468" s="2" t="str">
        <f>IF(DB_Artworks_Export!F468="","",DB_Artworks_Export!F468)</f>
        <v/>
      </c>
      <c r="J468" s="2" t="str">
        <f>IF(DB_Artworks_Export!G468="","",DB_Artworks_Export!G468)</f>
        <v/>
      </c>
      <c r="K468" s="2" t="str">
        <f>IF(DB_Artworks_Export!H468="","",DB_Artworks_Export!H468)</f>
        <v/>
      </c>
      <c r="L468" s="2" t="str">
        <f>IF(DB_Artworks_Export!I468="","",DB_Artworks_Export!I468)</f>
        <v/>
      </c>
      <c r="M468" s="2" t="str">
        <f>IF(DB_Artworks_Export!J468="","",DB_Artworks_Export!J468)</f>
        <v/>
      </c>
      <c r="N468" s="2" t="str">
        <f>IF(DB_Artworks_Export!K468="","",DB_Artworks_Export!K468)</f>
        <v/>
      </c>
      <c r="O468" s="2" t="str">
        <f>IF(DB_Artworks_Export!L468="","",DB_Artworks_Export!L468)</f>
        <v/>
      </c>
      <c r="P468" s="2" t="str">
        <f>IF(DB_Artworks_Export!M468="","",DB_Artworks_Export!M468)</f>
        <v/>
      </c>
      <c r="Q468" s="2" t="str">
        <f>IF(DB_Artworks_Export!N468="","",DB_Artworks_Export!N468)</f>
        <v/>
      </c>
      <c r="R468" s="2" t="str">
        <f>IF($D468="","",IF(COUNTIF(DB_Categories_Export!$A:$A,$F468)&gt;0,"OK","INVALID CATEGORY"))</f>
        <v/>
      </c>
      <c r="S468" s="2" t="str">
        <f>IF($D468="","",COUNTIF(DB_Artwork_Sizes_Export!$B:$B,$D468))</f>
        <v/>
      </c>
      <c r="T468" s="2" t="str">
        <f>IF($D468="","",IFERROR(INDEX(DB_Artwork_Sizes_Export!$D:$D,MATCH($D468,DB_Artwork_Sizes_Export!$B:$B,0)),""))</f>
        <v/>
      </c>
      <c r="U468" s="2" t="str">
        <f>IF($D468="","",IFERROR(INDEX(DB_Artwork_Sizes_Export!$E:$E,MATCH($D468,DB_Artwork_Sizes_Export!$B:$B,0)),""))</f>
        <v/>
      </c>
      <c r="V468" s="2" t="str">
        <f>IF($D468="","",IFERROR(INDEX(DB_Artwork_Sizes_Export!$F:$F,MATCH($D468,DB_Artwork_Sizes_Export!$B:$B,0)),""))</f>
        <v/>
      </c>
      <c r="W468" s="2" t="str">
        <f t="shared" si="72"/>
        <v/>
      </c>
      <c r="X468" s="2"/>
      <c r="Y468" s="2"/>
      <c r="Z468" s="2"/>
      <c r="AA468" s="2"/>
      <c r="AB468" s="2"/>
      <c r="AC468" s="2"/>
      <c r="AD468" s="2"/>
      <c r="AE468" s="2"/>
      <c r="AF468" s="2" t="str">
        <f t="shared" si="73"/>
        <v/>
      </c>
      <c r="AG468" s="2" t="str">
        <f t="shared" si="74"/>
        <v/>
      </c>
      <c r="AH468" s="2" t="str">
        <f>IF($AG468="","",IFERROR(VLOOKUP($AG468,DB_Categories_Export!$A:$B,2,FALSE()),"INVALID CATEGORY"))</f>
        <v/>
      </c>
      <c r="AI468" s="2" t="str">
        <f t="shared" si="75"/>
        <v/>
      </c>
      <c r="AJ468" s="2" t="str">
        <f t="shared" si="76"/>
        <v/>
      </c>
      <c r="AK468" s="2" t="str">
        <f t="shared" si="77"/>
        <v/>
      </c>
      <c r="AL468" s="2" t="str">
        <f t="shared" si="78"/>
        <v/>
      </c>
      <c r="AM468" s="2" t="str">
        <f t="shared" si="79"/>
        <v/>
      </c>
      <c r="AN468" s="2"/>
      <c r="AO468" s="2"/>
    </row>
    <row r="469" spans="1:41" ht="12" customHeight="1" x14ac:dyDescent="0.3">
      <c r="A469" s="2"/>
      <c r="B469" s="2" t="str">
        <f t="shared" si="70"/>
        <v/>
      </c>
      <c r="C469" s="2" t="str">
        <f t="shared" si="71"/>
        <v/>
      </c>
      <c r="D469" s="2" t="str">
        <f>IF(DB_Artworks_Export!A469="","",DB_Artworks_Export!A469)</f>
        <v/>
      </c>
      <c r="E469" s="2" t="str">
        <f>IF(DB_Artworks_Export!B469="","",DB_Artworks_Export!B469)</f>
        <v/>
      </c>
      <c r="F469" s="2" t="str">
        <f>IF(DB_Artworks_Export!C469="","",DB_Artworks_Export!C469)</f>
        <v/>
      </c>
      <c r="G469" s="2" t="str">
        <f>IF(DB_Artworks_Export!D469="","",DB_Artworks_Export!D469)</f>
        <v/>
      </c>
      <c r="H469" s="2" t="str">
        <f>IF(DB_Artworks_Export!E469="","",DB_Artworks_Export!E469)</f>
        <v/>
      </c>
      <c r="I469" s="2" t="str">
        <f>IF(DB_Artworks_Export!F469="","",DB_Artworks_Export!F469)</f>
        <v/>
      </c>
      <c r="J469" s="2" t="str">
        <f>IF(DB_Artworks_Export!G469="","",DB_Artworks_Export!G469)</f>
        <v/>
      </c>
      <c r="K469" s="2" t="str">
        <f>IF(DB_Artworks_Export!H469="","",DB_Artworks_Export!H469)</f>
        <v/>
      </c>
      <c r="L469" s="2" t="str">
        <f>IF(DB_Artworks_Export!I469="","",DB_Artworks_Export!I469)</f>
        <v/>
      </c>
      <c r="M469" s="2" t="str">
        <f>IF(DB_Artworks_Export!J469="","",DB_Artworks_Export!J469)</f>
        <v/>
      </c>
      <c r="N469" s="2" t="str">
        <f>IF(DB_Artworks_Export!K469="","",DB_Artworks_Export!K469)</f>
        <v/>
      </c>
      <c r="O469" s="2" t="str">
        <f>IF(DB_Artworks_Export!L469="","",DB_Artworks_Export!L469)</f>
        <v/>
      </c>
      <c r="P469" s="2" t="str">
        <f>IF(DB_Artworks_Export!M469="","",DB_Artworks_Export!M469)</f>
        <v/>
      </c>
      <c r="Q469" s="2" t="str">
        <f>IF(DB_Artworks_Export!N469="","",DB_Artworks_Export!N469)</f>
        <v/>
      </c>
      <c r="R469" s="2" t="str">
        <f>IF($D469="","",IF(COUNTIF(DB_Categories_Export!$A:$A,$F469)&gt;0,"OK","INVALID CATEGORY"))</f>
        <v/>
      </c>
      <c r="S469" s="2" t="str">
        <f>IF($D469="","",COUNTIF(DB_Artwork_Sizes_Export!$B:$B,$D469))</f>
        <v/>
      </c>
      <c r="T469" s="2" t="str">
        <f>IF($D469="","",IFERROR(INDEX(DB_Artwork_Sizes_Export!$D:$D,MATCH($D469,DB_Artwork_Sizes_Export!$B:$B,0)),""))</f>
        <v/>
      </c>
      <c r="U469" s="2" t="str">
        <f>IF($D469="","",IFERROR(INDEX(DB_Artwork_Sizes_Export!$E:$E,MATCH($D469,DB_Artwork_Sizes_Export!$B:$B,0)),""))</f>
        <v/>
      </c>
      <c r="V469" s="2" t="str">
        <f>IF($D469="","",IFERROR(INDEX(DB_Artwork_Sizes_Export!$F:$F,MATCH($D469,DB_Artwork_Sizes_Export!$B:$B,0)),""))</f>
        <v/>
      </c>
      <c r="W469" s="2" t="str">
        <f t="shared" si="72"/>
        <v/>
      </c>
      <c r="X469" s="2"/>
      <c r="Y469" s="2"/>
      <c r="Z469" s="2"/>
      <c r="AA469" s="2"/>
      <c r="AB469" s="2"/>
      <c r="AC469" s="2"/>
      <c r="AD469" s="2"/>
      <c r="AE469" s="2"/>
      <c r="AF469" s="2" t="str">
        <f t="shared" si="73"/>
        <v/>
      </c>
      <c r="AG469" s="2" t="str">
        <f t="shared" si="74"/>
        <v/>
      </c>
      <c r="AH469" s="2" t="str">
        <f>IF($AG469="","",IFERROR(VLOOKUP($AG469,DB_Categories_Export!$A:$B,2,FALSE()),"INVALID CATEGORY"))</f>
        <v/>
      </c>
      <c r="AI469" s="2" t="str">
        <f t="shared" si="75"/>
        <v/>
      </c>
      <c r="AJ469" s="2" t="str">
        <f t="shared" si="76"/>
        <v/>
      </c>
      <c r="AK469" s="2" t="str">
        <f t="shared" si="77"/>
        <v/>
      </c>
      <c r="AL469" s="2" t="str">
        <f t="shared" si="78"/>
        <v/>
      </c>
      <c r="AM469" s="2" t="str">
        <f t="shared" si="79"/>
        <v/>
      </c>
      <c r="AN469" s="2"/>
      <c r="AO469" s="2"/>
    </row>
    <row r="470" spans="1:41" ht="12" customHeight="1" x14ac:dyDescent="0.3">
      <c r="A470" s="2"/>
      <c r="B470" s="2" t="str">
        <f t="shared" si="70"/>
        <v/>
      </c>
      <c r="C470" s="2" t="str">
        <f t="shared" si="71"/>
        <v/>
      </c>
      <c r="D470" s="2" t="str">
        <f>IF(DB_Artworks_Export!A470="","",DB_Artworks_Export!A470)</f>
        <v/>
      </c>
      <c r="E470" s="2" t="str">
        <f>IF(DB_Artworks_Export!B470="","",DB_Artworks_Export!B470)</f>
        <v/>
      </c>
      <c r="F470" s="2" t="str">
        <f>IF(DB_Artworks_Export!C470="","",DB_Artworks_Export!C470)</f>
        <v/>
      </c>
      <c r="G470" s="2" t="str">
        <f>IF(DB_Artworks_Export!D470="","",DB_Artworks_Export!D470)</f>
        <v/>
      </c>
      <c r="H470" s="2" t="str">
        <f>IF(DB_Artworks_Export!E470="","",DB_Artworks_Export!E470)</f>
        <v/>
      </c>
      <c r="I470" s="2" t="str">
        <f>IF(DB_Artworks_Export!F470="","",DB_Artworks_Export!F470)</f>
        <v/>
      </c>
      <c r="J470" s="2" t="str">
        <f>IF(DB_Artworks_Export!G470="","",DB_Artworks_Export!G470)</f>
        <v/>
      </c>
      <c r="K470" s="2" t="str">
        <f>IF(DB_Artworks_Export!H470="","",DB_Artworks_Export!H470)</f>
        <v/>
      </c>
      <c r="L470" s="2" t="str">
        <f>IF(DB_Artworks_Export!I470="","",DB_Artworks_Export!I470)</f>
        <v/>
      </c>
      <c r="M470" s="2" t="str">
        <f>IF(DB_Artworks_Export!J470="","",DB_Artworks_Export!J470)</f>
        <v/>
      </c>
      <c r="N470" s="2" t="str">
        <f>IF(DB_Artworks_Export!K470="","",DB_Artworks_Export!K470)</f>
        <v/>
      </c>
      <c r="O470" s="2" t="str">
        <f>IF(DB_Artworks_Export!L470="","",DB_Artworks_Export!L470)</f>
        <v/>
      </c>
      <c r="P470" s="2" t="str">
        <f>IF(DB_Artworks_Export!M470="","",DB_Artworks_Export!M470)</f>
        <v/>
      </c>
      <c r="Q470" s="2" t="str">
        <f>IF(DB_Artworks_Export!N470="","",DB_Artworks_Export!N470)</f>
        <v/>
      </c>
      <c r="R470" s="2" t="str">
        <f>IF($D470="","",IF(COUNTIF(DB_Categories_Export!$A:$A,$F470)&gt;0,"OK","INVALID CATEGORY"))</f>
        <v/>
      </c>
      <c r="S470" s="2" t="str">
        <f>IF($D470="","",COUNTIF(DB_Artwork_Sizes_Export!$B:$B,$D470))</f>
        <v/>
      </c>
      <c r="T470" s="2" t="str">
        <f>IF($D470="","",IFERROR(INDEX(DB_Artwork_Sizes_Export!$D:$D,MATCH($D470,DB_Artwork_Sizes_Export!$B:$B,0)),""))</f>
        <v/>
      </c>
      <c r="U470" s="2" t="str">
        <f>IF($D470="","",IFERROR(INDEX(DB_Artwork_Sizes_Export!$E:$E,MATCH($D470,DB_Artwork_Sizes_Export!$B:$B,0)),""))</f>
        <v/>
      </c>
      <c r="V470" s="2" t="str">
        <f>IF($D470="","",IFERROR(INDEX(DB_Artwork_Sizes_Export!$F:$F,MATCH($D470,DB_Artwork_Sizes_Export!$B:$B,0)),""))</f>
        <v/>
      </c>
      <c r="W470" s="2" t="str">
        <f t="shared" si="72"/>
        <v/>
      </c>
      <c r="X470" s="2"/>
      <c r="Y470" s="2"/>
      <c r="Z470" s="2"/>
      <c r="AA470" s="2"/>
      <c r="AB470" s="2"/>
      <c r="AC470" s="2"/>
      <c r="AD470" s="2"/>
      <c r="AE470" s="2"/>
      <c r="AF470" s="2" t="str">
        <f t="shared" si="73"/>
        <v/>
      </c>
      <c r="AG470" s="2" t="str">
        <f t="shared" si="74"/>
        <v/>
      </c>
      <c r="AH470" s="2" t="str">
        <f>IF($AG470="","",IFERROR(VLOOKUP($AG470,DB_Categories_Export!$A:$B,2,FALSE()),"INVALID CATEGORY"))</f>
        <v/>
      </c>
      <c r="AI470" s="2" t="str">
        <f t="shared" si="75"/>
        <v/>
      </c>
      <c r="AJ470" s="2" t="str">
        <f t="shared" si="76"/>
        <v/>
      </c>
      <c r="AK470" s="2" t="str">
        <f t="shared" si="77"/>
        <v/>
      </c>
      <c r="AL470" s="2" t="str">
        <f t="shared" si="78"/>
        <v/>
      </c>
      <c r="AM470" s="2" t="str">
        <f t="shared" si="79"/>
        <v/>
      </c>
      <c r="AN470" s="2"/>
      <c r="AO470" s="2"/>
    </row>
    <row r="471" spans="1:41" ht="12" customHeight="1" x14ac:dyDescent="0.3">
      <c r="A471" s="2"/>
      <c r="B471" s="2" t="str">
        <f t="shared" si="70"/>
        <v/>
      </c>
      <c r="C471" s="2" t="str">
        <f t="shared" si="71"/>
        <v/>
      </c>
      <c r="D471" s="2" t="str">
        <f>IF(DB_Artworks_Export!A471="","",DB_Artworks_Export!A471)</f>
        <v/>
      </c>
      <c r="E471" s="2" t="str">
        <f>IF(DB_Artworks_Export!B471="","",DB_Artworks_Export!B471)</f>
        <v/>
      </c>
      <c r="F471" s="2" t="str">
        <f>IF(DB_Artworks_Export!C471="","",DB_Artworks_Export!C471)</f>
        <v/>
      </c>
      <c r="G471" s="2" t="str">
        <f>IF(DB_Artworks_Export!D471="","",DB_Artworks_Export!D471)</f>
        <v/>
      </c>
      <c r="H471" s="2" t="str">
        <f>IF(DB_Artworks_Export!E471="","",DB_Artworks_Export!E471)</f>
        <v/>
      </c>
      <c r="I471" s="2" t="str">
        <f>IF(DB_Artworks_Export!F471="","",DB_Artworks_Export!F471)</f>
        <v/>
      </c>
      <c r="J471" s="2" t="str">
        <f>IF(DB_Artworks_Export!G471="","",DB_Artworks_Export!G471)</f>
        <v/>
      </c>
      <c r="K471" s="2" t="str">
        <f>IF(DB_Artworks_Export!H471="","",DB_Artworks_Export!H471)</f>
        <v/>
      </c>
      <c r="L471" s="2" t="str">
        <f>IF(DB_Artworks_Export!I471="","",DB_Artworks_Export!I471)</f>
        <v/>
      </c>
      <c r="M471" s="2" t="str">
        <f>IF(DB_Artworks_Export!J471="","",DB_Artworks_Export!J471)</f>
        <v/>
      </c>
      <c r="N471" s="2" t="str">
        <f>IF(DB_Artworks_Export!K471="","",DB_Artworks_Export!K471)</f>
        <v/>
      </c>
      <c r="O471" s="2" t="str">
        <f>IF(DB_Artworks_Export!L471="","",DB_Artworks_Export!L471)</f>
        <v/>
      </c>
      <c r="P471" s="2" t="str">
        <f>IF(DB_Artworks_Export!M471="","",DB_Artworks_Export!M471)</f>
        <v/>
      </c>
      <c r="Q471" s="2" t="str">
        <f>IF(DB_Artworks_Export!N471="","",DB_Artworks_Export!N471)</f>
        <v/>
      </c>
      <c r="R471" s="2" t="str">
        <f>IF($D471="","",IF(COUNTIF(DB_Categories_Export!$A:$A,$F471)&gt;0,"OK","INVALID CATEGORY"))</f>
        <v/>
      </c>
      <c r="S471" s="2" t="str">
        <f>IF($D471="","",COUNTIF(DB_Artwork_Sizes_Export!$B:$B,$D471))</f>
        <v/>
      </c>
      <c r="T471" s="2" t="str">
        <f>IF($D471="","",IFERROR(INDEX(DB_Artwork_Sizes_Export!$D:$D,MATCH($D471,DB_Artwork_Sizes_Export!$B:$B,0)),""))</f>
        <v/>
      </c>
      <c r="U471" s="2" t="str">
        <f>IF($D471="","",IFERROR(INDEX(DB_Artwork_Sizes_Export!$E:$E,MATCH($D471,DB_Artwork_Sizes_Export!$B:$B,0)),""))</f>
        <v/>
      </c>
      <c r="V471" s="2" t="str">
        <f>IF($D471="","",IFERROR(INDEX(DB_Artwork_Sizes_Export!$F:$F,MATCH($D471,DB_Artwork_Sizes_Export!$B:$B,0)),""))</f>
        <v/>
      </c>
      <c r="W471" s="2" t="str">
        <f t="shared" si="72"/>
        <v/>
      </c>
      <c r="X471" s="2"/>
      <c r="Y471" s="2"/>
      <c r="Z471" s="2"/>
      <c r="AA471" s="2"/>
      <c r="AB471" s="2"/>
      <c r="AC471" s="2"/>
      <c r="AD471" s="2"/>
      <c r="AE471" s="2"/>
      <c r="AF471" s="2" t="str">
        <f t="shared" si="73"/>
        <v/>
      </c>
      <c r="AG471" s="2" t="str">
        <f t="shared" si="74"/>
        <v/>
      </c>
      <c r="AH471" s="2" t="str">
        <f>IF($AG471="","",IFERROR(VLOOKUP($AG471,DB_Categories_Export!$A:$B,2,FALSE()),"INVALID CATEGORY"))</f>
        <v/>
      </c>
      <c r="AI471" s="2" t="str">
        <f t="shared" si="75"/>
        <v/>
      </c>
      <c r="AJ471" s="2" t="str">
        <f t="shared" si="76"/>
        <v/>
      </c>
      <c r="AK471" s="2" t="str">
        <f t="shared" si="77"/>
        <v/>
      </c>
      <c r="AL471" s="2" t="str">
        <f t="shared" si="78"/>
        <v/>
      </c>
      <c r="AM471" s="2" t="str">
        <f t="shared" si="79"/>
        <v/>
      </c>
      <c r="AN471" s="2"/>
      <c r="AO471" s="2"/>
    </row>
    <row r="472" spans="1:41" ht="12" customHeight="1" x14ac:dyDescent="0.3">
      <c r="A472" s="2"/>
      <c r="B472" s="2" t="str">
        <f t="shared" si="70"/>
        <v/>
      </c>
      <c r="C472" s="2" t="str">
        <f t="shared" si="71"/>
        <v/>
      </c>
      <c r="D472" s="2" t="str">
        <f>IF(DB_Artworks_Export!A472="","",DB_Artworks_Export!A472)</f>
        <v/>
      </c>
      <c r="E472" s="2" t="str">
        <f>IF(DB_Artworks_Export!B472="","",DB_Artworks_Export!B472)</f>
        <v/>
      </c>
      <c r="F472" s="2" t="str">
        <f>IF(DB_Artworks_Export!C472="","",DB_Artworks_Export!C472)</f>
        <v/>
      </c>
      <c r="G472" s="2" t="str">
        <f>IF(DB_Artworks_Export!D472="","",DB_Artworks_Export!D472)</f>
        <v/>
      </c>
      <c r="H472" s="2" t="str">
        <f>IF(DB_Artworks_Export!E472="","",DB_Artworks_Export!E472)</f>
        <v/>
      </c>
      <c r="I472" s="2" t="str">
        <f>IF(DB_Artworks_Export!F472="","",DB_Artworks_Export!F472)</f>
        <v/>
      </c>
      <c r="J472" s="2" t="str">
        <f>IF(DB_Artworks_Export!G472="","",DB_Artworks_Export!G472)</f>
        <v/>
      </c>
      <c r="K472" s="2" t="str">
        <f>IF(DB_Artworks_Export!H472="","",DB_Artworks_Export!H472)</f>
        <v/>
      </c>
      <c r="L472" s="2" t="str">
        <f>IF(DB_Artworks_Export!I472="","",DB_Artworks_Export!I472)</f>
        <v/>
      </c>
      <c r="M472" s="2" t="str">
        <f>IF(DB_Artworks_Export!J472="","",DB_Artworks_Export!J472)</f>
        <v/>
      </c>
      <c r="N472" s="2" t="str">
        <f>IF(DB_Artworks_Export!K472="","",DB_Artworks_Export!K472)</f>
        <v/>
      </c>
      <c r="O472" s="2" t="str">
        <f>IF(DB_Artworks_Export!L472="","",DB_Artworks_Export!L472)</f>
        <v/>
      </c>
      <c r="P472" s="2" t="str">
        <f>IF(DB_Artworks_Export!M472="","",DB_Artworks_Export!M472)</f>
        <v/>
      </c>
      <c r="Q472" s="2" t="str">
        <f>IF(DB_Artworks_Export!N472="","",DB_Artworks_Export!N472)</f>
        <v/>
      </c>
      <c r="R472" s="2" t="str">
        <f>IF($D472="","",IF(COUNTIF(DB_Categories_Export!$A:$A,$F472)&gt;0,"OK","INVALID CATEGORY"))</f>
        <v/>
      </c>
      <c r="S472" s="2" t="str">
        <f>IF($D472="","",COUNTIF(DB_Artwork_Sizes_Export!$B:$B,$D472))</f>
        <v/>
      </c>
      <c r="T472" s="2" t="str">
        <f>IF($D472="","",IFERROR(INDEX(DB_Artwork_Sizes_Export!$D:$D,MATCH($D472,DB_Artwork_Sizes_Export!$B:$B,0)),""))</f>
        <v/>
      </c>
      <c r="U472" s="2" t="str">
        <f>IF($D472="","",IFERROR(INDEX(DB_Artwork_Sizes_Export!$E:$E,MATCH($D472,DB_Artwork_Sizes_Export!$B:$B,0)),""))</f>
        <v/>
      </c>
      <c r="V472" s="2" t="str">
        <f>IF($D472="","",IFERROR(INDEX(DB_Artwork_Sizes_Export!$F:$F,MATCH($D472,DB_Artwork_Sizes_Export!$B:$B,0)),""))</f>
        <v/>
      </c>
      <c r="W472" s="2" t="str">
        <f t="shared" si="72"/>
        <v/>
      </c>
      <c r="X472" s="2"/>
      <c r="Y472" s="2"/>
      <c r="Z472" s="2"/>
      <c r="AA472" s="2"/>
      <c r="AB472" s="2"/>
      <c r="AC472" s="2"/>
      <c r="AD472" s="2"/>
      <c r="AE472" s="2"/>
      <c r="AF472" s="2" t="str">
        <f t="shared" si="73"/>
        <v/>
      </c>
      <c r="AG472" s="2" t="str">
        <f t="shared" si="74"/>
        <v/>
      </c>
      <c r="AH472" s="2" t="str">
        <f>IF($AG472="","",IFERROR(VLOOKUP($AG472,DB_Categories_Export!$A:$B,2,FALSE()),"INVALID CATEGORY"))</f>
        <v/>
      </c>
      <c r="AI472" s="2" t="str">
        <f t="shared" si="75"/>
        <v/>
      </c>
      <c r="AJ472" s="2" t="str">
        <f t="shared" si="76"/>
        <v/>
      </c>
      <c r="AK472" s="2" t="str">
        <f t="shared" si="77"/>
        <v/>
      </c>
      <c r="AL472" s="2" t="str">
        <f t="shared" si="78"/>
        <v/>
      </c>
      <c r="AM472" s="2" t="str">
        <f t="shared" si="79"/>
        <v/>
      </c>
      <c r="AN472" s="2"/>
      <c r="AO472" s="2"/>
    </row>
    <row r="473" spans="1:41" ht="12" customHeight="1" x14ac:dyDescent="0.3">
      <c r="A473" s="2"/>
      <c r="B473" s="2" t="str">
        <f t="shared" si="70"/>
        <v/>
      </c>
      <c r="C473" s="2" t="str">
        <f t="shared" si="71"/>
        <v/>
      </c>
      <c r="D473" s="2" t="str">
        <f>IF(DB_Artworks_Export!A473="","",DB_Artworks_Export!A473)</f>
        <v/>
      </c>
      <c r="E473" s="2" t="str">
        <f>IF(DB_Artworks_Export!B473="","",DB_Artworks_Export!B473)</f>
        <v/>
      </c>
      <c r="F473" s="2" t="str">
        <f>IF(DB_Artworks_Export!C473="","",DB_Artworks_Export!C473)</f>
        <v/>
      </c>
      <c r="G473" s="2" t="str">
        <f>IF(DB_Artworks_Export!D473="","",DB_Artworks_Export!D473)</f>
        <v/>
      </c>
      <c r="H473" s="2" t="str">
        <f>IF(DB_Artworks_Export!E473="","",DB_Artworks_Export!E473)</f>
        <v/>
      </c>
      <c r="I473" s="2" t="str">
        <f>IF(DB_Artworks_Export!F473="","",DB_Artworks_Export!F473)</f>
        <v/>
      </c>
      <c r="J473" s="2" t="str">
        <f>IF(DB_Artworks_Export!G473="","",DB_Artworks_Export!G473)</f>
        <v/>
      </c>
      <c r="K473" s="2" t="str">
        <f>IF(DB_Artworks_Export!H473="","",DB_Artworks_Export!H473)</f>
        <v/>
      </c>
      <c r="L473" s="2" t="str">
        <f>IF(DB_Artworks_Export!I473="","",DB_Artworks_Export!I473)</f>
        <v/>
      </c>
      <c r="M473" s="2" t="str">
        <f>IF(DB_Artworks_Export!J473="","",DB_Artworks_Export!J473)</f>
        <v/>
      </c>
      <c r="N473" s="2" t="str">
        <f>IF(DB_Artworks_Export!K473="","",DB_Artworks_Export!K473)</f>
        <v/>
      </c>
      <c r="O473" s="2" t="str">
        <f>IF(DB_Artworks_Export!L473="","",DB_Artworks_Export!L473)</f>
        <v/>
      </c>
      <c r="P473" s="2" t="str">
        <f>IF(DB_Artworks_Export!M473="","",DB_Artworks_Export!M473)</f>
        <v/>
      </c>
      <c r="Q473" s="2" t="str">
        <f>IF(DB_Artworks_Export!N473="","",DB_Artworks_Export!N473)</f>
        <v/>
      </c>
      <c r="R473" s="2" t="str">
        <f>IF($D473="","",IF(COUNTIF(DB_Categories_Export!$A:$A,$F473)&gt;0,"OK","INVALID CATEGORY"))</f>
        <v/>
      </c>
      <c r="S473" s="2" t="str">
        <f>IF($D473="","",COUNTIF(DB_Artwork_Sizes_Export!$B:$B,$D473))</f>
        <v/>
      </c>
      <c r="T473" s="2" t="str">
        <f>IF($D473="","",IFERROR(INDEX(DB_Artwork_Sizes_Export!$D:$D,MATCH($D473,DB_Artwork_Sizes_Export!$B:$B,0)),""))</f>
        <v/>
      </c>
      <c r="U473" s="2" t="str">
        <f>IF($D473="","",IFERROR(INDEX(DB_Artwork_Sizes_Export!$E:$E,MATCH($D473,DB_Artwork_Sizes_Export!$B:$B,0)),""))</f>
        <v/>
      </c>
      <c r="V473" s="2" t="str">
        <f>IF($D473="","",IFERROR(INDEX(DB_Artwork_Sizes_Export!$F:$F,MATCH($D473,DB_Artwork_Sizes_Export!$B:$B,0)),""))</f>
        <v/>
      </c>
      <c r="W473" s="2" t="str">
        <f t="shared" si="72"/>
        <v/>
      </c>
      <c r="X473" s="2"/>
      <c r="Y473" s="2"/>
      <c r="Z473" s="2"/>
      <c r="AA473" s="2"/>
      <c r="AB473" s="2"/>
      <c r="AC473" s="2"/>
      <c r="AD473" s="2"/>
      <c r="AE473" s="2"/>
      <c r="AF473" s="2" t="str">
        <f t="shared" si="73"/>
        <v/>
      </c>
      <c r="AG473" s="2" t="str">
        <f t="shared" si="74"/>
        <v/>
      </c>
      <c r="AH473" s="2" t="str">
        <f>IF($AG473="","",IFERROR(VLOOKUP($AG473,DB_Categories_Export!$A:$B,2,FALSE()),"INVALID CATEGORY"))</f>
        <v/>
      </c>
      <c r="AI473" s="2" t="str">
        <f t="shared" si="75"/>
        <v/>
      </c>
      <c r="AJ473" s="2" t="str">
        <f t="shared" si="76"/>
        <v/>
      </c>
      <c r="AK473" s="2" t="str">
        <f t="shared" si="77"/>
        <v/>
      </c>
      <c r="AL473" s="2" t="str">
        <f t="shared" si="78"/>
        <v/>
      </c>
      <c r="AM473" s="2" t="str">
        <f t="shared" si="79"/>
        <v/>
      </c>
      <c r="AN473" s="2"/>
      <c r="AO473" s="2"/>
    </row>
    <row r="474" spans="1:41" ht="12" customHeight="1" x14ac:dyDescent="0.3">
      <c r="A474" s="2"/>
      <c r="B474" s="2" t="str">
        <f t="shared" si="70"/>
        <v/>
      </c>
      <c r="C474" s="2" t="str">
        <f t="shared" si="71"/>
        <v/>
      </c>
      <c r="D474" s="2" t="str">
        <f>IF(DB_Artworks_Export!A474="","",DB_Artworks_Export!A474)</f>
        <v/>
      </c>
      <c r="E474" s="2" t="str">
        <f>IF(DB_Artworks_Export!B474="","",DB_Artworks_Export!B474)</f>
        <v/>
      </c>
      <c r="F474" s="2" t="str">
        <f>IF(DB_Artworks_Export!C474="","",DB_Artworks_Export!C474)</f>
        <v/>
      </c>
      <c r="G474" s="2" t="str">
        <f>IF(DB_Artworks_Export!D474="","",DB_Artworks_Export!D474)</f>
        <v/>
      </c>
      <c r="H474" s="2" t="str">
        <f>IF(DB_Artworks_Export!E474="","",DB_Artworks_Export!E474)</f>
        <v/>
      </c>
      <c r="I474" s="2" t="str">
        <f>IF(DB_Artworks_Export!F474="","",DB_Artworks_Export!F474)</f>
        <v/>
      </c>
      <c r="J474" s="2" t="str">
        <f>IF(DB_Artworks_Export!G474="","",DB_Artworks_Export!G474)</f>
        <v/>
      </c>
      <c r="K474" s="2" t="str">
        <f>IF(DB_Artworks_Export!H474="","",DB_Artworks_Export!H474)</f>
        <v/>
      </c>
      <c r="L474" s="2" t="str">
        <f>IF(DB_Artworks_Export!I474="","",DB_Artworks_Export!I474)</f>
        <v/>
      </c>
      <c r="M474" s="2" t="str">
        <f>IF(DB_Artworks_Export!J474="","",DB_Artworks_Export!J474)</f>
        <v/>
      </c>
      <c r="N474" s="2" t="str">
        <f>IF(DB_Artworks_Export!K474="","",DB_Artworks_Export!K474)</f>
        <v/>
      </c>
      <c r="O474" s="2" t="str">
        <f>IF(DB_Artworks_Export!L474="","",DB_Artworks_Export!L474)</f>
        <v/>
      </c>
      <c r="P474" s="2" t="str">
        <f>IF(DB_Artworks_Export!M474="","",DB_Artworks_Export!M474)</f>
        <v/>
      </c>
      <c r="Q474" s="2" t="str">
        <f>IF(DB_Artworks_Export!N474="","",DB_Artworks_Export!N474)</f>
        <v/>
      </c>
      <c r="R474" s="2" t="str">
        <f>IF($D474="","",IF(COUNTIF(DB_Categories_Export!$A:$A,$F474)&gt;0,"OK","INVALID CATEGORY"))</f>
        <v/>
      </c>
      <c r="S474" s="2" t="str">
        <f>IF($D474="","",COUNTIF(DB_Artwork_Sizes_Export!$B:$B,$D474))</f>
        <v/>
      </c>
      <c r="T474" s="2" t="str">
        <f>IF($D474="","",IFERROR(INDEX(DB_Artwork_Sizes_Export!$D:$D,MATCH($D474,DB_Artwork_Sizes_Export!$B:$B,0)),""))</f>
        <v/>
      </c>
      <c r="U474" s="2" t="str">
        <f>IF($D474="","",IFERROR(INDEX(DB_Artwork_Sizes_Export!$E:$E,MATCH($D474,DB_Artwork_Sizes_Export!$B:$B,0)),""))</f>
        <v/>
      </c>
      <c r="V474" s="2" t="str">
        <f>IF($D474="","",IFERROR(INDEX(DB_Artwork_Sizes_Export!$F:$F,MATCH($D474,DB_Artwork_Sizes_Export!$B:$B,0)),""))</f>
        <v/>
      </c>
      <c r="W474" s="2" t="str">
        <f t="shared" si="72"/>
        <v/>
      </c>
      <c r="X474" s="2"/>
      <c r="Y474" s="2"/>
      <c r="Z474" s="2"/>
      <c r="AA474" s="2"/>
      <c r="AB474" s="2"/>
      <c r="AC474" s="2"/>
      <c r="AD474" s="2"/>
      <c r="AE474" s="2"/>
      <c r="AF474" s="2" t="str">
        <f t="shared" si="73"/>
        <v/>
      </c>
      <c r="AG474" s="2" t="str">
        <f t="shared" si="74"/>
        <v/>
      </c>
      <c r="AH474" s="2" t="str">
        <f>IF($AG474="","",IFERROR(VLOOKUP($AG474,DB_Categories_Export!$A:$B,2,FALSE()),"INVALID CATEGORY"))</f>
        <v/>
      </c>
      <c r="AI474" s="2" t="str">
        <f t="shared" si="75"/>
        <v/>
      </c>
      <c r="AJ474" s="2" t="str">
        <f t="shared" si="76"/>
        <v/>
      </c>
      <c r="AK474" s="2" t="str">
        <f t="shared" si="77"/>
        <v/>
      </c>
      <c r="AL474" s="2" t="str">
        <f t="shared" si="78"/>
        <v/>
      </c>
      <c r="AM474" s="2" t="str">
        <f t="shared" si="79"/>
        <v/>
      </c>
      <c r="AN474" s="2"/>
      <c r="AO474" s="2"/>
    </row>
    <row r="475" spans="1:41" ht="12" customHeight="1" x14ac:dyDescent="0.3">
      <c r="A475" s="2"/>
      <c r="B475" s="2" t="str">
        <f t="shared" si="70"/>
        <v/>
      </c>
      <c r="C475" s="2" t="str">
        <f t="shared" si="71"/>
        <v/>
      </c>
      <c r="D475" s="2" t="str">
        <f>IF(DB_Artworks_Export!A475="","",DB_Artworks_Export!A475)</f>
        <v/>
      </c>
      <c r="E475" s="2" t="str">
        <f>IF(DB_Artworks_Export!B475="","",DB_Artworks_Export!B475)</f>
        <v/>
      </c>
      <c r="F475" s="2" t="str">
        <f>IF(DB_Artworks_Export!C475="","",DB_Artworks_Export!C475)</f>
        <v/>
      </c>
      <c r="G475" s="2" t="str">
        <f>IF(DB_Artworks_Export!D475="","",DB_Artworks_Export!D475)</f>
        <v/>
      </c>
      <c r="H475" s="2" t="str">
        <f>IF(DB_Artworks_Export!E475="","",DB_Artworks_Export!E475)</f>
        <v/>
      </c>
      <c r="I475" s="2" t="str">
        <f>IF(DB_Artworks_Export!F475="","",DB_Artworks_Export!F475)</f>
        <v/>
      </c>
      <c r="J475" s="2" t="str">
        <f>IF(DB_Artworks_Export!G475="","",DB_Artworks_Export!G475)</f>
        <v/>
      </c>
      <c r="K475" s="2" t="str">
        <f>IF(DB_Artworks_Export!H475="","",DB_Artworks_Export!H475)</f>
        <v/>
      </c>
      <c r="L475" s="2" t="str">
        <f>IF(DB_Artworks_Export!I475="","",DB_Artworks_Export!I475)</f>
        <v/>
      </c>
      <c r="M475" s="2" t="str">
        <f>IF(DB_Artworks_Export!J475="","",DB_Artworks_Export!J475)</f>
        <v/>
      </c>
      <c r="N475" s="2" t="str">
        <f>IF(DB_Artworks_Export!K475="","",DB_Artworks_Export!K475)</f>
        <v/>
      </c>
      <c r="O475" s="2" t="str">
        <f>IF(DB_Artworks_Export!L475="","",DB_Artworks_Export!L475)</f>
        <v/>
      </c>
      <c r="P475" s="2" t="str">
        <f>IF(DB_Artworks_Export!M475="","",DB_Artworks_Export!M475)</f>
        <v/>
      </c>
      <c r="Q475" s="2" t="str">
        <f>IF(DB_Artworks_Export!N475="","",DB_Artworks_Export!N475)</f>
        <v/>
      </c>
      <c r="R475" s="2" t="str">
        <f>IF($D475="","",IF(COUNTIF(DB_Categories_Export!$A:$A,$F475)&gt;0,"OK","INVALID CATEGORY"))</f>
        <v/>
      </c>
      <c r="S475" s="2" t="str">
        <f>IF($D475="","",COUNTIF(DB_Artwork_Sizes_Export!$B:$B,$D475))</f>
        <v/>
      </c>
      <c r="T475" s="2" t="str">
        <f>IF($D475="","",IFERROR(INDEX(DB_Artwork_Sizes_Export!$D:$D,MATCH($D475,DB_Artwork_Sizes_Export!$B:$B,0)),""))</f>
        <v/>
      </c>
      <c r="U475" s="2" t="str">
        <f>IF($D475="","",IFERROR(INDEX(DB_Artwork_Sizes_Export!$E:$E,MATCH($D475,DB_Artwork_Sizes_Export!$B:$B,0)),""))</f>
        <v/>
      </c>
      <c r="V475" s="2" t="str">
        <f>IF($D475="","",IFERROR(INDEX(DB_Artwork_Sizes_Export!$F:$F,MATCH($D475,DB_Artwork_Sizes_Export!$B:$B,0)),""))</f>
        <v/>
      </c>
      <c r="W475" s="2" t="str">
        <f t="shared" si="72"/>
        <v/>
      </c>
      <c r="X475" s="2"/>
      <c r="Y475" s="2"/>
      <c r="Z475" s="2"/>
      <c r="AA475" s="2"/>
      <c r="AB475" s="2"/>
      <c r="AC475" s="2"/>
      <c r="AD475" s="2"/>
      <c r="AE475" s="2"/>
      <c r="AF475" s="2" t="str">
        <f t="shared" si="73"/>
        <v/>
      </c>
      <c r="AG475" s="2" t="str">
        <f t="shared" si="74"/>
        <v/>
      </c>
      <c r="AH475" s="2" t="str">
        <f>IF($AG475="","",IFERROR(VLOOKUP($AG475,DB_Categories_Export!$A:$B,2,FALSE()),"INVALID CATEGORY"))</f>
        <v/>
      </c>
      <c r="AI475" s="2" t="str">
        <f t="shared" si="75"/>
        <v/>
      </c>
      <c r="AJ475" s="2" t="str">
        <f t="shared" si="76"/>
        <v/>
      </c>
      <c r="AK475" s="2" t="str">
        <f t="shared" si="77"/>
        <v/>
      </c>
      <c r="AL475" s="2" t="str">
        <f t="shared" si="78"/>
        <v/>
      </c>
      <c r="AM475" s="2" t="str">
        <f t="shared" si="79"/>
        <v/>
      </c>
      <c r="AN475" s="2"/>
      <c r="AO475" s="2"/>
    </row>
    <row r="476" spans="1:41" ht="12" customHeight="1" x14ac:dyDescent="0.3">
      <c r="A476" s="2"/>
      <c r="B476" s="2" t="str">
        <f t="shared" si="70"/>
        <v/>
      </c>
      <c r="C476" s="2" t="str">
        <f t="shared" si="71"/>
        <v/>
      </c>
      <c r="D476" s="2" t="str">
        <f>IF(DB_Artworks_Export!A476="","",DB_Artworks_Export!A476)</f>
        <v/>
      </c>
      <c r="E476" s="2" t="str">
        <f>IF(DB_Artworks_Export!B476="","",DB_Artworks_Export!B476)</f>
        <v/>
      </c>
      <c r="F476" s="2" t="str">
        <f>IF(DB_Artworks_Export!C476="","",DB_Artworks_Export!C476)</f>
        <v/>
      </c>
      <c r="G476" s="2" t="str">
        <f>IF(DB_Artworks_Export!D476="","",DB_Artworks_Export!D476)</f>
        <v/>
      </c>
      <c r="H476" s="2" t="str">
        <f>IF(DB_Artworks_Export!E476="","",DB_Artworks_Export!E476)</f>
        <v/>
      </c>
      <c r="I476" s="2" t="str">
        <f>IF(DB_Artworks_Export!F476="","",DB_Artworks_Export!F476)</f>
        <v/>
      </c>
      <c r="J476" s="2" t="str">
        <f>IF(DB_Artworks_Export!G476="","",DB_Artworks_Export!G476)</f>
        <v/>
      </c>
      <c r="K476" s="2" t="str">
        <f>IF(DB_Artworks_Export!H476="","",DB_Artworks_Export!H476)</f>
        <v/>
      </c>
      <c r="L476" s="2" t="str">
        <f>IF(DB_Artworks_Export!I476="","",DB_Artworks_Export!I476)</f>
        <v/>
      </c>
      <c r="M476" s="2" t="str">
        <f>IF(DB_Artworks_Export!J476="","",DB_Artworks_Export!J476)</f>
        <v/>
      </c>
      <c r="N476" s="2" t="str">
        <f>IF(DB_Artworks_Export!K476="","",DB_Artworks_Export!K476)</f>
        <v/>
      </c>
      <c r="O476" s="2" t="str">
        <f>IF(DB_Artworks_Export!L476="","",DB_Artworks_Export!L476)</f>
        <v/>
      </c>
      <c r="P476" s="2" t="str">
        <f>IF(DB_Artworks_Export!M476="","",DB_Artworks_Export!M476)</f>
        <v/>
      </c>
      <c r="Q476" s="2" t="str">
        <f>IF(DB_Artworks_Export!N476="","",DB_Artworks_Export!N476)</f>
        <v/>
      </c>
      <c r="R476" s="2" t="str">
        <f>IF($D476="","",IF(COUNTIF(DB_Categories_Export!$A:$A,$F476)&gt;0,"OK","INVALID CATEGORY"))</f>
        <v/>
      </c>
      <c r="S476" s="2" t="str">
        <f>IF($D476="","",COUNTIF(DB_Artwork_Sizes_Export!$B:$B,$D476))</f>
        <v/>
      </c>
      <c r="T476" s="2" t="str">
        <f>IF($D476="","",IFERROR(INDEX(DB_Artwork_Sizes_Export!$D:$D,MATCH($D476,DB_Artwork_Sizes_Export!$B:$B,0)),""))</f>
        <v/>
      </c>
      <c r="U476" s="2" t="str">
        <f>IF($D476="","",IFERROR(INDEX(DB_Artwork_Sizes_Export!$E:$E,MATCH($D476,DB_Artwork_Sizes_Export!$B:$B,0)),""))</f>
        <v/>
      </c>
      <c r="V476" s="2" t="str">
        <f>IF($D476="","",IFERROR(INDEX(DB_Artwork_Sizes_Export!$F:$F,MATCH($D476,DB_Artwork_Sizes_Export!$B:$B,0)),""))</f>
        <v/>
      </c>
      <c r="W476" s="2" t="str">
        <f t="shared" si="72"/>
        <v/>
      </c>
      <c r="X476" s="2"/>
      <c r="Y476" s="2"/>
      <c r="Z476" s="2"/>
      <c r="AA476" s="2"/>
      <c r="AB476" s="2"/>
      <c r="AC476" s="2"/>
      <c r="AD476" s="2"/>
      <c r="AE476" s="2"/>
      <c r="AF476" s="2" t="str">
        <f t="shared" si="73"/>
        <v/>
      </c>
      <c r="AG476" s="2" t="str">
        <f t="shared" si="74"/>
        <v/>
      </c>
      <c r="AH476" s="2" t="str">
        <f>IF($AG476="","",IFERROR(VLOOKUP($AG476,DB_Categories_Export!$A:$B,2,FALSE()),"INVALID CATEGORY"))</f>
        <v/>
      </c>
      <c r="AI476" s="2" t="str">
        <f t="shared" si="75"/>
        <v/>
      </c>
      <c r="AJ476" s="2" t="str">
        <f t="shared" si="76"/>
        <v/>
      </c>
      <c r="AK476" s="2" t="str">
        <f t="shared" si="77"/>
        <v/>
      </c>
      <c r="AL476" s="2" t="str">
        <f t="shared" si="78"/>
        <v/>
      </c>
      <c r="AM476" s="2" t="str">
        <f t="shared" si="79"/>
        <v/>
      </c>
      <c r="AN476" s="2"/>
      <c r="AO476" s="2"/>
    </row>
    <row r="477" spans="1:41" ht="12" customHeight="1" x14ac:dyDescent="0.3">
      <c r="A477" s="2"/>
      <c r="B477" s="2" t="str">
        <f t="shared" si="70"/>
        <v/>
      </c>
      <c r="C477" s="2" t="str">
        <f t="shared" si="71"/>
        <v/>
      </c>
      <c r="D477" s="2" t="str">
        <f>IF(DB_Artworks_Export!A477="","",DB_Artworks_Export!A477)</f>
        <v/>
      </c>
      <c r="E477" s="2" t="str">
        <f>IF(DB_Artworks_Export!B477="","",DB_Artworks_Export!B477)</f>
        <v/>
      </c>
      <c r="F477" s="2" t="str">
        <f>IF(DB_Artworks_Export!C477="","",DB_Artworks_Export!C477)</f>
        <v/>
      </c>
      <c r="G477" s="2" t="str">
        <f>IF(DB_Artworks_Export!D477="","",DB_Artworks_Export!D477)</f>
        <v/>
      </c>
      <c r="H477" s="2" t="str">
        <f>IF(DB_Artworks_Export!E477="","",DB_Artworks_Export!E477)</f>
        <v/>
      </c>
      <c r="I477" s="2" t="str">
        <f>IF(DB_Artworks_Export!F477="","",DB_Artworks_Export!F477)</f>
        <v/>
      </c>
      <c r="J477" s="2" t="str">
        <f>IF(DB_Artworks_Export!G477="","",DB_Artworks_Export!G477)</f>
        <v/>
      </c>
      <c r="K477" s="2" t="str">
        <f>IF(DB_Artworks_Export!H477="","",DB_Artworks_Export!H477)</f>
        <v/>
      </c>
      <c r="L477" s="2" t="str">
        <f>IF(DB_Artworks_Export!I477="","",DB_Artworks_Export!I477)</f>
        <v/>
      </c>
      <c r="M477" s="2" t="str">
        <f>IF(DB_Artworks_Export!J477="","",DB_Artworks_Export!J477)</f>
        <v/>
      </c>
      <c r="N477" s="2" t="str">
        <f>IF(DB_Artworks_Export!K477="","",DB_Artworks_Export!K477)</f>
        <v/>
      </c>
      <c r="O477" s="2" t="str">
        <f>IF(DB_Artworks_Export!L477="","",DB_Artworks_Export!L477)</f>
        <v/>
      </c>
      <c r="P477" s="2" t="str">
        <f>IF(DB_Artworks_Export!M477="","",DB_Artworks_Export!M477)</f>
        <v/>
      </c>
      <c r="Q477" s="2" t="str">
        <f>IF(DB_Artworks_Export!N477="","",DB_Artworks_Export!N477)</f>
        <v/>
      </c>
      <c r="R477" s="2" t="str">
        <f>IF($D477="","",IF(COUNTIF(DB_Categories_Export!$A:$A,$F477)&gt;0,"OK","INVALID CATEGORY"))</f>
        <v/>
      </c>
      <c r="S477" s="2" t="str">
        <f>IF($D477="","",COUNTIF(DB_Artwork_Sizes_Export!$B:$B,$D477))</f>
        <v/>
      </c>
      <c r="T477" s="2" t="str">
        <f>IF($D477="","",IFERROR(INDEX(DB_Artwork_Sizes_Export!$D:$D,MATCH($D477,DB_Artwork_Sizes_Export!$B:$B,0)),""))</f>
        <v/>
      </c>
      <c r="U477" s="2" t="str">
        <f>IF($D477="","",IFERROR(INDEX(DB_Artwork_Sizes_Export!$E:$E,MATCH($D477,DB_Artwork_Sizes_Export!$B:$B,0)),""))</f>
        <v/>
      </c>
      <c r="V477" s="2" t="str">
        <f>IF($D477="","",IFERROR(INDEX(DB_Artwork_Sizes_Export!$F:$F,MATCH($D477,DB_Artwork_Sizes_Export!$B:$B,0)),""))</f>
        <v/>
      </c>
      <c r="W477" s="2" t="str">
        <f t="shared" si="72"/>
        <v/>
      </c>
      <c r="X477" s="2"/>
      <c r="Y477" s="2"/>
      <c r="Z477" s="2"/>
      <c r="AA477" s="2"/>
      <c r="AB477" s="2"/>
      <c r="AC477" s="2"/>
      <c r="AD477" s="2"/>
      <c r="AE477" s="2"/>
      <c r="AF477" s="2" t="str">
        <f t="shared" si="73"/>
        <v/>
      </c>
      <c r="AG477" s="2" t="str">
        <f t="shared" si="74"/>
        <v/>
      </c>
      <c r="AH477" s="2" t="str">
        <f>IF($AG477="","",IFERROR(VLOOKUP($AG477,DB_Categories_Export!$A:$B,2,FALSE()),"INVALID CATEGORY"))</f>
        <v/>
      </c>
      <c r="AI477" s="2" t="str">
        <f t="shared" si="75"/>
        <v/>
      </c>
      <c r="AJ477" s="2" t="str">
        <f t="shared" si="76"/>
        <v/>
      </c>
      <c r="AK477" s="2" t="str">
        <f t="shared" si="77"/>
        <v/>
      </c>
      <c r="AL477" s="2" t="str">
        <f t="shared" si="78"/>
        <v/>
      </c>
      <c r="AM477" s="2" t="str">
        <f t="shared" si="79"/>
        <v/>
      </c>
      <c r="AN477" s="2"/>
      <c r="AO477" s="2"/>
    </row>
    <row r="478" spans="1:41" ht="12" customHeight="1" x14ac:dyDescent="0.3">
      <c r="A478" s="2"/>
      <c r="B478" s="2" t="str">
        <f t="shared" si="70"/>
        <v/>
      </c>
      <c r="C478" s="2" t="str">
        <f t="shared" si="71"/>
        <v/>
      </c>
      <c r="D478" s="2" t="str">
        <f>IF(DB_Artworks_Export!A478="","",DB_Artworks_Export!A478)</f>
        <v/>
      </c>
      <c r="E478" s="2" t="str">
        <f>IF(DB_Artworks_Export!B478="","",DB_Artworks_Export!B478)</f>
        <v/>
      </c>
      <c r="F478" s="2" t="str">
        <f>IF(DB_Artworks_Export!C478="","",DB_Artworks_Export!C478)</f>
        <v/>
      </c>
      <c r="G478" s="2" t="str">
        <f>IF(DB_Artworks_Export!D478="","",DB_Artworks_Export!D478)</f>
        <v/>
      </c>
      <c r="H478" s="2" t="str">
        <f>IF(DB_Artworks_Export!E478="","",DB_Artworks_Export!E478)</f>
        <v/>
      </c>
      <c r="I478" s="2" t="str">
        <f>IF(DB_Artworks_Export!F478="","",DB_Artworks_Export!F478)</f>
        <v/>
      </c>
      <c r="J478" s="2" t="str">
        <f>IF(DB_Artworks_Export!G478="","",DB_Artworks_Export!G478)</f>
        <v/>
      </c>
      <c r="K478" s="2" t="str">
        <f>IF(DB_Artworks_Export!H478="","",DB_Artworks_Export!H478)</f>
        <v/>
      </c>
      <c r="L478" s="2" t="str">
        <f>IF(DB_Artworks_Export!I478="","",DB_Artworks_Export!I478)</f>
        <v/>
      </c>
      <c r="M478" s="2" t="str">
        <f>IF(DB_Artworks_Export!J478="","",DB_Artworks_Export!J478)</f>
        <v/>
      </c>
      <c r="N478" s="2" t="str">
        <f>IF(DB_Artworks_Export!K478="","",DB_Artworks_Export!K478)</f>
        <v/>
      </c>
      <c r="O478" s="2" t="str">
        <f>IF(DB_Artworks_Export!L478="","",DB_Artworks_Export!L478)</f>
        <v/>
      </c>
      <c r="P478" s="2" t="str">
        <f>IF(DB_Artworks_Export!M478="","",DB_Artworks_Export!M478)</f>
        <v/>
      </c>
      <c r="Q478" s="2" t="str">
        <f>IF(DB_Artworks_Export!N478="","",DB_Artworks_Export!N478)</f>
        <v/>
      </c>
      <c r="R478" s="2" t="str">
        <f>IF($D478="","",IF(COUNTIF(DB_Categories_Export!$A:$A,$F478)&gt;0,"OK","INVALID CATEGORY"))</f>
        <v/>
      </c>
      <c r="S478" s="2" t="str">
        <f>IF($D478="","",COUNTIF(DB_Artwork_Sizes_Export!$B:$B,$D478))</f>
        <v/>
      </c>
      <c r="T478" s="2" t="str">
        <f>IF($D478="","",IFERROR(INDEX(DB_Artwork_Sizes_Export!$D:$D,MATCH($D478,DB_Artwork_Sizes_Export!$B:$B,0)),""))</f>
        <v/>
      </c>
      <c r="U478" s="2" t="str">
        <f>IF($D478="","",IFERROR(INDEX(DB_Artwork_Sizes_Export!$E:$E,MATCH($D478,DB_Artwork_Sizes_Export!$B:$B,0)),""))</f>
        <v/>
      </c>
      <c r="V478" s="2" t="str">
        <f>IF($D478="","",IFERROR(INDEX(DB_Artwork_Sizes_Export!$F:$F,MATCH($D478,DB_Artwork_Sizes_Export!$B:$B,0)),""))</f>
        <v/>
      </c>
      <c r="W478" s="2" t="str">
        <f t="shared" si="72"/>
        <v/>
      </c>
      <c r="X478" s="2"/>
      <c r="Y478" s="2"/>
      <c r="Z478" s="2"/>
      <c r="AA478" s="2"/>
      <c r="AB478" s="2"/>
      <c r="AC478" s="2"/>
      <c r="AD478" s="2"/>
      <c r="AE478" s="2"/>
      <c r="AF478" s="2" t="str">
        <f t="shared" si="73"/>
        <v/>
      </c>
      <c r="AG478" s="2" t="str">
        <f t="shared" si="74"/>
        <v/>
      </c>
      <c r="AH478" s="2" t="str">
        <f>IF($AG478="","",IFERROR(VLOOKUP($AG478,DB_Categories_Export!$A:$B,2,FALSE()),"INVALID CATEGORY"))</f>
        <v/>
      </c>
      <c r="AI478" s="2" t="str">
        <f t="shared" si="75"/>
        <v/>
      </c>
      <c r="AJ478" s="2" t="str">
        <f t="shared" si="76"/>
        <v/>
      </c>
      <c r="AK478" s="2" t="str">
        <f t="shared" si="77"/>
        <v/>
      </c>
      <c r="AL478" s="2" t="str">
        <f t="shared" si="78"/>
        <v/>
      </c>
      <c r="AM478" s="2" t="str">
        <f t="shared" si="79"/>
        <v/>
      </c>
      <c r="AN478" s="2"/>
      <c r="AO478" s="2"/>
    </row>
    <row r="479" spans="1:41" ht="12" customHeight="1" x14ac:dyDescent="0.3">
      <c r="A479" s="2"/>
      <c r="B479" s="2" t="str">
        <f t="shared" si="70"/>
        <v/>
      </c>
      <c r="C479" s="2" t="str">
        <f t="shared" si="71"/>
        <v/>
      </c>
      <c r="D479" s="2" t="str">
        <f>IF(DB_Artworks_Export!A479="","",DB_Artworks_Export!A479)</f>
        <v/>
      </c>
      <c r="E479" s="2" t="str">
        <f>IF(DB_Artworks_Export!B479="","",DB_Artworks_Export!B479)</f>
        <v/>
      </c>
      <c r="F479" s="2" t="str">
        <f>IF(DB_Artworks_Export!C479="","",DB_Artworks_Export!C479)</f>
        <v/>
      </c>
      <c r="G479" s="2" t="str">
        <f>IF(DB_Artworks_Export!D479="","",DB_Artworks_Export!D479)</f>
        <v/>
      </c>
      <c r="H479" s="2" t="str">
        <f>IF(DB_Artworks_Export!E479="","",DB_Artworks_Export!E479)</f>
        <v/>
      </c>
      <c r="I479" s="2" t="str">
        <f>IF(DB_Artworks_Export!F479="","",DB_Artworks_Export!F479)</f>
        <v/>
      </c>
      <c r="J479" s="2" t="str">
        <f>IF(DB_Artworks_Export!G479="","",DB_Artworks_Export!G479)</f>
        <v/>
      </c>
      <c r="K479" s="2" t="str">
        <f>IF(DB_Artworks_Export!H479="","",DB_Artworks_Export!H479)</f>
        <v/>
      </c>
      <c r="L479" s="2" t="str">
        <f>IF(DB_Artworks_Export!I479="","",DB_Artworks_Export!I479)</f>
        <v/>
      </c>
      <c r="M479" s="2" t="str">
        <f>IF(DB_Artworks_Export!J479="","",DB_Artworks_Export!J479)</f>
        <v/>
      </c>
      <c r="N479" s="2" t="str">
        <f>IF(DB_Artworks_Export!K479="","",DB_Artworks_Export!K479)</f>
        <v/>
      </c>
      <c r="O479" s="2" t="str">
        <f>IF(DB_Artworks_Export!L479="","",DB_Artworks_Export!L479)</f>
        <v/>
      </c>
      <c r="P479" s="2" t="str">
        <f>IF(DB_Artworks_Export!M479="","",DB_Artworks_Export!M479)</f>
        <v/>
      </c>
      <c r="Q479" s="2" t="str">
        <f>IF(DB_Artworks_Export!N479="","",DB_Artworks_Export!N479)</f>
        <v/>
      </c>
      <c r="R479" s="2" t="str">
        <f>IF($D479="","",IF(COUNTIF(DB_Categories_Export!$A:$A,$F479)&gt;0,"OK","INVALID CATEGORY"))</f>
        <v/>
      </c>
      <c r="S479" s="2" t="str">
        <f>IF($D479="","",COUNTIF(DB_Artwork_Sizes_Export!$B:$B,$D479))</f>
        <v/>
      </c>
      <c r="T479" s="2" t="str">
        <f>IF($D479="","",IFERROR(INDEX(DB_Artwork_Sizes_Export!$D:$D,MATCH($D479,DB_Artwork_Sizes_Export!$B:$B,0)),""))</f>
        <v/>
      </c>
      <c r="U479" s="2" t="str">
        <f>IF($D479="","",IFERROR(INDEX(DB_Artwork_Sizes_Export!$E:$E,MATCH($D479,DB_Artwork_Sizes_Export!$B:$B,0)),""))</f>
        <v/>
      </c>
      <c r="V479" s="2" t="str">
        <f>IF($D479="","",IFERROR(INDEX(DB_Artwork_Sizes_Export!$F:$F,MATCH($D479,DB_Artwork_Sizes_Export!$B:$B,0)),""))</f>
        <v/>
      </c>
      <c r="W479" s="2" t="str">
        <f t="shared" si="72"/>
        <v/>
      </c>
      <c r="X479" s="2"/>
      <c r="Y479" s="2"/>
      <c r="Z479" s="2"/>
      <c r="AA479" s="2"/>
      <c r="AB479" s="2"/>
      <c r="AC479" s="2"/>
      <c r="AD479" s="2"/>
      <c r="AE479" s="2"/>
      <c r="AF479" s="2" t="str">
        <f t="shared" si="73"/>
        <v/>
      </c>
      <c r="AG479" s="2" t="str">
        <f t="shared" si="74"/>
        <v/>
      </c>
      <c r="AH479" s="2" t="str">
        <f>IF($AG479="","",IFERROR(VLOOKUP($AG479,DB_Categories_Export!$A:$B,2,FALSE()),"INVALID CATEGORY"))</f>
        <v/>
      </c>
      <c r="AI479" s="2" t="str">
        <f t="shared" si="75"/>
        <v/>
      </c>
      <c r="AJ479" s="2" t="str">
        <f t="shared" si="76"/>
        <v/>
      </c>
      <c r="AK479" s="2" t="str">
        <f t="shared" si="77"/>
        <v/>
      </c>
      <c r="AL479" s="2" t="str">
        <f t="shared" si="78"/>
        <v/>
      </c>
      <c r="AM479" s="2" t="str">
        <f t="shared" si="79"/>
        <v/>
      </c>
      <c r="AN479" s="2"/>
      <c r="AO479" s="2"/>
    </row>
    <row r="480" spans="1:41" ht="12" customHeight="1" x14ac:dyDescent="0.3">
      <c r="A480" s="2"/>
      <c r="B480" s="2" t="str">
        <f t="shared" si="70"/>
        <v/>
      </c>
      <c r="C480" s="2" t="str">
        <f t="shared" si="71"/>
        <v/>
      </c>
      <c r="D480" s="2" t="str">
        <f>IF(DB_Artworks_Export!A480="","",DB_Artworks_Export!A480)</f>
        <v/>
      </c>
      <c r="E480" s="2" t="str">
        <f>IF(DB_Artworks_Export!B480="","",DB_Artworks_Export!B480)</f>
        <v/>
      </c>
      <c r="F480" s="2" t="str">
        <f>IF(DB_Artworks_Export!C480="","",DB_Artworks_Export!C480)</f>
        <v/>
      </c>
      <c r="G480" s="2" t="str">
        <f>IF(DB_Artworks_Export!D480="","",DB_Artworks_Export!D480)</f>
        <v/>
      </c>
      <c r="H480" s="2" t="str">
        <f>IF(DB_Artworks_Export!E480="","",DB_Artworks_Export!E480)</f>
        <v/>
      </c>
      <c r="I480" s="2" t="str">
        <f>IF(DB_Artworks_Export!F480="","",DB_Artworks_Export!F480)</f>
        <v/>
      </c>
      <c r="J480" s="2" t="str">
        <f>IF(DB_Artworks_Export!G480="","",DB_Artworks_Export!G480)</f>
        <v/>
      </c>
      <c r="K480" s="2" t="str">
        <f>IF(DB_Artworks_Export!H480="","",DB_Artworks_Export!H480)</f>
        <v/>
      </c>
      <c r="L480" s="2" t="str">
        <f>IF(DB_Artworks_Export!I480="","",DB_Artworks_Export!I480)</f>
        <v/>
      </c>
      <c r="M480" s="2" t="str">
        <f>IF(DB_Artworks_Export!J480="","",DB_Artworks_Export!J480)</f>
        <v/>
      </c>
      <c r="N480" s="2" t="str">
        <f>IF(DB_Artworks_Export!K480="","",DB_Artworks_Export!K480)</f>
        <v/>
      </c>
      <c r="O480" s="2" t="str">
        <f>IF(DB_Artworks_Export!L480="","",DB_Artworks_Export!L480)</f>
        <v/>
      </c>
      <c r="P480" s="2" t="str">
        <f>IF(DB_Artworks_Export!M480="","",DB_Artworks_Export!M480)</f>
        <v/>
      </c>
      <c r="Q480" s="2" t="str">
        <f>IF(DB_Artworks_Export!N480="","",DB_Artworks_Export!N480)</f>
        <v/>
      </c>
      <c r="R480" s="2" t="str">
        <f>IF($D480="","",IF(COUNTIF(DB_Categories_Export!$A:$A,$F480)&gt;0,"OK","INVALID CATEGORY"))</f>
        <v/>
      </c>
      <c r="S480" s="2" t="str">
        <f>IF($D480="","",COUNTIF(DB_Artwork_Sizes_Export!$B:$B,$D480))</f>
        <v/>
      </c>
      <c r="T480" s="2" t="str">
        <f>IF($D480="","",IFERROR(INDEX(DB_Artwork_Sizes_Export!$D:$D,MATCH($D480,DB_Artwork_Sizes_Export!$B:$B,0)),""))</f>
        <v/>
      </c>
      <c r="U480" s="2" t="str">
        <f>IF($D480="","",IFERROR(INDEX(DB_Artwork_Sizes_Export!$E:$E,MATCH($D480,DB_Artwork_Sizes_Export!$B:$B,0)),""))</f>
        <v/>
      </c>
      <c r="V480" s="2" t="str">
        <f>IF($D480="","",IFERROR(INDEX(DB_Artwork_Sizes_Export!$F:$F,MATCH($D480,DB_Artwork_Sizes_Export!$B:$B,0)),""))</f>
        <v/>
      </c>
      <c r="W480" s="2" t="str">
        <f t="shared" si="72"/>
        <v/>
      </c>
      <c r="X480" s="2"/>
      <c r="Y480" s="2"/>
      <c r="Z480" s="2"/>
      <c r="AA480" s="2"/>
      <c r="AB480" s="2"/>
      <c r="AC480" s="2"/>
      <c r="AD480" s="2"/>
      <c r="AE480" s="2"/>
      <c r="AF480" s="2" t="str">
        <f t="shared" si="73"/>
        <v/>
      </c>
      <c r="AG480" s="2" t="str">
        <f t="shared" si="74"/>
        <v/>
      </c>
      <c r="AH480" s="2" t="str">
        <f>IF($AG480="","",IFERROR(VLOOKUP($AG480,DB_Categories_Export!$A:$B,2,FALSE()),"INVALID CATEGORY"))</f>
        <v/>
      </c>
      <c r="AI480" s="2" t="str">
        <f t="shared" si="75"/>
        <v/>
      </c>
      <c r="AJ480" s="2" t="str">
        <f t="shared" si="76"/>
        <v/>
      </c>
      <c r="AK480" s="2" t="str">
        <f t="shared" si="77"/>
        <v/>
      </c>
      <c r="AL480" s="2" t="str">
        <f t="shared" si="78"/>
        <v/>
      </c>
      <c r="AM480" s="2" t="str">
        <f t="shared" si="79"/>
        <v/>
      </c>
      <c r="AN480" s="2"/>
      <c r="AO480" s="2"/>
    </row>
    <row r="481" spans="1:41" ht="12" customHeight="1" x14ac:dyDescent="0.3">
      <c r="A481" s="2"/>
      <c r="B481" s="2" t="str">
        <f t="shared" si="70"/>
        <v/>
      </c>
      <c r="C481" s="2" t="str">
        <f t="shared" si="71"/>
        <v/>
      </c>
      <c r="D481" s="2" t="str">
        <f>IF(DB_Artworks_Export!A481="","",DB_Artworks_Export!A481)</f>
        <v/>
      </c>
      <c r="E481" s="2" t="str">
        <f>IF(DB_Artworks_Export!B481="","",DB_Artworks_Export!B481)</f>
        <v/>
      </c>
      <c r="F481" s="2" t="str">
        <f>IF(DB_Artworks_Export!C481="","",DB_Artworks_Export!C481)</f>
        <v/>
      </c>
      <c r="G481" s="2" t="str">
        <f>IF(DB_Artworks_Export!D481="","",DB_Artworks_Export!D481)</f>
        <v/>
      </c>
      <c r="H481" s="2" t="str">
        <f>IF(DB_Artworks_Export!E481="","",DB_Artworks_Export!E481)</f>
        <v/>
      </c>
      <c r="I481" s="2" t="str">
        <f>IF(DB_Artworks_Export!F481="","",DB_Artworks_Export!F481)</f>
        <v/>
      </c>
      <c r="J481" s="2" t="str">
        <f>IF(DB_Artworks_Export!G481="","",DB_Artworks_Export!G481)</f>
        <v/>
      </c>
      <c r="K481" s="2" t="str">
        <f>IF(DB_Artworks_Export!H481="","",DB_Artworks_Export!H481)</f>
        <v/>
      </c>
      <c r="L481" s="2" t="str">
        <f>IF(DB_Artworks_Export!I481="","",DB_Artworks_Export!I481)</f>
        <v/>
      </c>
      <c r="M481" s="2" t="str">
        <f>IF(DB_Artworks_Export!J481="","",DB_Artworks_Export!J481)</f>
        <v/>
      </c>
      <c r="N481" s="2" t="str">
        <f>IF(DB_Artworks_Export!K481="","",DB_Artworks_Export!K481)</f>
        <v/>
      </c>
      <c r="O481" s="2" t="str">
        <f>IF(DB_Artworks_Export!L481="","",DB_Artworks_Export!L481)</f>
        <v/>
      </c>
      <c r="P481" s="2" t="str">
        <f>IF(DB_Artworks_Export!M481="","",DB_Artworks_Export!M481)</f>
        <v/>
      </c>
      <c r="Q481" s="2" t="str">
        <f>IF(DB_Artworks_Export!N481="","",DB_Artworks_Export!N481)</f>
        <v/>
      </c>
      <c r="R481" s="2" t="str">
        <f>IF($D481="","",IF(COUNTIF(DB_Categories_Export!$A:$A,$F481)&gt;0,"OK","INVALID CATEGORY"))</f>
        <v/>
      </c>
      <c r="S481" s="2" t="str">
        <f>IF($D481="","",COUNTIF(DB_Artwork_Sizes_Export!$B:$B,$D481))</f>
        <v/>
      </c>
      <c r="T481" s="2" t="str">
        <f>IF($D481="","",IFERROR(INDEX(DB_Artwork_Sizes_Export!$D:$D,MATCH($D481,DB_Artwork_Sizes_Export!$B:$B,0)),""))</f>
        <v/>
      </c>
      <c r="U481" s="2" t="str">
        <f>IF($D481="","",IFERROR(INDEX(DB_Artwork_Sizes_Export!$E:$E,MATCH($D481,DB_Artwork_Sizes_Export!$B:$B,0)),""))</f>
        <v/>
      </c>
      <c r="V481" s="2" t="str">
        <f>IF($D481="","",IFERROR(INDEX(DB_Artwork_Sizes_Export!$F:$F,MATCH($D481,DB_Artwork_Sizes_Export!$B:$B,0)),""))</f>
        <v/>
      </c>
      <c r="W481" s="2" t="str">
        <f t="shared" si="72"/>
        <v/>
      </c>
      <c r="X481" s="2"/>
      <c r="Y481" s="2"/>
      <c r="Z481" s="2"/>
      <c r="AA481" s="2"/>
      <c r="AB481" s="2"/>
      <c r="AC481" s="2"/>
      <c r="AD481" s="2"/>
      <c r="AE481" s="2"/>
      <c r="AF481" s="2" t="str">
        <f t="shared" si="73"/>
        <v/>
      </c>
      <c r="AG481" s="2" t="str">
        <f t="shared" si="74"/>
        <v/>
      </c>
      <c r="AH481" s="2" t="str">
        <f>IF($AG481="","",IFERROR(VLOOKUP($AG481,DB_Categories_Export!$A:$B,2,FALSE()),"INVALID CATEGORY"))</f>
        <v/>
      </c>
      <c r="AI481" s="2" t="str">
        <f t="shared" si="75"/>
        <v/>
      </c>
      <c r="AJ481" s="2" t="str">
        <f t="shared" si="76"/>
        <v/>
      </c>
      <c r="AK481" s="2" t="str">
        <f t="shared" si="77"/>
        <v/>
      </c>
      <c r="AL481" s="2" t="str">
        <f t="shared" si="78"/>
        <v/>
      </c>
      <c r="AM481" s="2" t="str">
        <f t="shared" si="79"/>
        <v/>
      </c>
      <c r="AN481" s="2"/>
      <c r="AO481" s="2"/>
    </row>
    <row r="482" spans="1:41" ht="12" customHeight="1" x14ac:dyDescent="0.3">
      <c r="A482" s="2"/>
      <c r="B482" s="2" t="str">
        <f t="shared" si="70"/>
        <v/>
      </c>
      <c r="C482" s="2" t="str">
        <f t="shared" si="71"/>
        <v/>
      </c>
      <c r="D482" s="2" t="str">
        <f>IF(DB_Artworks_Export!A482="","",DB_Artworks_Export!A482)</f>
        <v/>
      </c>
      <c r="E482" s="2" t="str">
        <f>IF(DB_Artworks_Export!B482="","",DB_Artworks_Export!B482)</f>
        <v/>
      </c>
      <c r="F482" s="2" t="str">
        <f>IF(DB_Artworks_Export!C482="","",DB_Artworks_Export!C482)</f>
        <v/>
      </c>
      <c r="G482" s="2" t="str">
        <f>IF(DB_Artworks_Export!D482="","",DB_Artworks_Export!D482)</f>
        <v/>
      </c>
      <c r="H482" s="2" t="str">
        <f>IF(DB_Artworks_Export!E482="","",DB_Artworks_Export!E482)</f>
        <v/>
      </c>
      <c r="I482" s="2" t="str">
        <f>IF(DB_Artworks_Export!F482="","",DB_Artworks_Export!F482)</f>
        <v/>
      </c>
      <c r="J482" s="2" t="str">
        <f>IF(DB_Artworks_Export!G482="","",DB_Artworks_Export!G482)</f>
        <v/>
      </c>
      <c r="K482" s="2" t="str">
        <f>IF(DB_Artworks_Export!H482="","",DB_Artworks_Export!H482)</f>
        <v/>
      </c>
      <c r="L482" s="2" t="str">
        <f>IF(DB_Artworks_Export!I482="","",DB_Artworks_Export!I482)</f>
        <v/>
      </c>
      <c r="M482" s="2" t="str">
        <f>IF(DB_Artworks_Export!J482="","",DB_Artworks_Export!J482)</f>
        <v/>
      </c>
      <c r="N482" s="2" t="str">
        <f>IF(DB_Artworks_Export!K482="","",DB_Artworks_Export!K482)</f>
        <v/>
      </c>
      <c r="O482" s="2" t="str">
        <f>IF(DB_Artworks_Export!L482="","",DB_Artworks_Export!L482)</f>
        <v/>
      </c>
      <c r="P482" s="2" t="str">
        <f>IF(DB_Artworks_Export!M482="","",DB_Artworks_Export!M482)</f>
        <v/>
      </c>
      <c r="Q482" s="2" t="str">
        <f>IF(DB_Artworks_Export!N482="","",DB_Artworks_Export!N482)</f>
        <v/>
      </c>
      <c r="R482" s="2" t="str">
        <f>IF($D482="","",IF(COUNTIF(DB_Categories_Export!$A:$A,$F482)&gt;0,"OK","INVALID CATEGORY"))</f>
        <v/>
      </c>
      <c r="S482" s="2" t="str">
        <f>IF($D482="","",COUNTIF(DB_Artwork_Sizes_Export!$B:$B,$D482))</f>
        <v/>
      </c>
      <c r="T482" s="2" t="str">
        <f>IF($D482="","",IFERROR(INDEX(DB_Artwork_Sizes_Export!$D:$D,MATCH($D482,DB_Artwork_Sizes_Export!$B:$B,0)),""))</f>
        <v/>
      </c>
      <c r="U482" s="2" t="str">
        <f>IF($D482="","",IFERROR(INDEX(DB_Artwork_Sizes_Export!$E:$E,MATCH($D482,DB_Artwork_Sizes_Export!$B:$B,0)),""))</f>
        <v/>
      </c>
      <c r="V482" s="2" t="str">
        <f>IF($D482="","",IFERROR(INDEX(DB_Artwork_Sizes_Export!$F:$F,MATCH($D482,DB_Artwork_Sizes_Export!$B:$B,0)),""))</f>
        <v/>
      </c>
      <c r="W482" s="2" t="str">
        <f t="shared" si="72"/>
        <v/>
      </c>
      <c r="X482" s="2"/>
      <c r="Y482" s="2"/>
      <c r="Z482" s="2"/>
      <c r="AA482" s="2"/>
      <c r="AB482" s="2"/>
      <c r="AC482" s="2"/>
      <c r="AD482" s="2"/>
      <c r="AE482" s="2"/>
      <c r="AF482" s="2" t="str">
        <f t="shared" si="73"/>
        <v/>
      </c>
      <c r="AG482" s="2" t="str">
        <f t="shared" si="74"/>
        <v/>
      </c>
      <c r="AH482" s="2" t="str">
        <f>IF($AG482="","",IFERROR(VLOOKUP($AG482,DB_Categories_Export!$A:$B,2,FALSE()),"INVALID CATEGORY"))</f>
        <v/>
      </c>
      <c r="AI482" s="2" t="str">
        <f t="shared" si="75"/>
        <v/>
      </c>
      <c r="AJ482" s="2" t="str">
        <f t="shared" si="76"/>
        <v/>
      </c>
      <c r="AK482" s="2" t="str">
        <f t="shared" si="77"/>
        <v/>
      </c>
      <c r="AL482" s="2" t="str">
        <f t="shared" si="78"/>
        <v/>
      </c>
      <c r="AM482" s="2" t="str">
        <f t="shared" si="79"/>
        <v/>
      </c>
      <c r="AN482" s="2"/>
      <c r="AO482" s="2"/>
    </row>
    <row r="483" spans="1:41" ht="12" customHeight="1" x14ac:dyDescent="0.3">
      <c r="A483" s="2"/>
      <c r="B483" s="2" t="str">
        <f t="shared" si="70"/>
        <v/>
      </c>
      <c r="C483" s="2" t="str">
        <f t="shared" si="71"/>
        <v/>
      </c>
      <c r="D483" s="2" t="str">
        <f>IF(DB_Artworks_Export!A483="","",DB_Artworks_Export!A483)</f>
        <v/>
      </c>
      <c r="E483" s="2" t="str">
        <f>IF(DB_Artworks_Export!B483="","",DB_Artworks_Export!B483)</f>
        <v/>
      </c>
      <c r="F483" s="2" t="str">
        <f>IF(DB_Artworks_Export!C483="","",DB_Artworks_Export!C483)</f>
        <v/>
      </c>
      <c r="G483" s="2" t="str">
        <f>IF(DB_Artworks_Export!D483="","",DB_Artworks_Export!D483)</f>
        <v/>
      </c>
      <c r="H483" s="2" t="str">
        <f>IF(DB_Artworks_Export!E483="","",DB_Artworks_Export!E483)</f>
        <v/>
      </c>
      <c r="I483" s="2" t="str">
        <f>IF(DB_Artworks_Export!F483="","",DB_Artworks_Export!F483)</f>
        <v/>
      </c>
      <c r="J483" s="2" t="str">
        <f>IF(DB_Artworks_Export!G483="","",DB_Artworks_Export!G483)</f>
        <v/>
      </c>
      <c r="K483" s="2" t="str">
        <f>IF(DB_Artworks_Export!H483="","",DB_Artworks_Export!H483)</f>
        <v/>
      </c>
      <c r="L483" s="2" t="str">
        <f>IF(DB_Artworks_Export!I483="","",DB_Artworks_Export!I483)</f>
        <v/>
      </c>
      <c r="M483" s="2" t="str">
        <f>IF(DB_Artworks_Export!J483="","",DB_Artworks_Export!J483)</f>
        <v/>
      </c>
      <c r="N483" s="2" t="str">
        <f>IF(DB_Artworks_Export!K483="","",DB_Artworks_Export!K483)</f>
        <v/>
      </c>
      <c r="O483" s="2" t="str">
        <f>IF(DB_Artworks_Export!L483="","",DB_Artworks_Export!L483)</f>
        <v/>
      </c>
      <c r="P483" s="2" t="str">
        <f>IF(DB_Artworks_Export!M483="","",DB_Artworks_Export!M483)</f>
        <v/>
      </c>
      <c r="Q483" s="2" t="str">
        <f>IF(DB_Artworks_Export!N483="","",DB_Artworks_Export!N483)</f>
        <v/>
      </c>
      <c r="R483" s="2" t="str">
        <f>IF($D483="","",IF(COUNTIF(DB_Categories_Export!$A:$A,$F483)&gt;0,"OK","INVALID CATEGORY"))</f>
        <v/>
      </c>
      <c r="S483" s="2" t="str">
        <f>IF($D483="","",COUNTIF(DB_Artwork_Sizes_Export!$B:$B,$D483))</f>
        <v/>
      </c>
      <c r="T483" s="2" t="str">
        <f>IF($D483="","",IFERROR(INDEX(DB_Artwork_Sizes_Export!$D:$D,MATCH($D483,DB_Artwork_Sizes_Export!$B:$B,0)),""))</f>
        <v/>
      </c>
      <c r="U483" s="2" t="str">
        <f>IF($D483="","",IFERROR(INDEX(DB_Artwork_Sizes_Export!$E:$E,MATCH($D483,DB_Artwork_Sizes_Export!$B:$B,0)),""))</f>
        <v/>
      </c>
      <c r="V483" s="2" t="str">
        <f>IF($D483="","",IFERROR(INDEX(DB_Artwork_Sizes_Export!$F:$F,MATCH($D483,DB_Artwork_Sizes_Export!$B:$B,0)),""))</f>
        <v/>
      </c>
      <c r="W483" s="2" t="str">
        <f t="shared" si="72"/>
        <v/>
      </c>
      <c r="X483" s="2"/>
      <c r="Y483" s="2"/>
      <c r="Z483" s="2"/>
      <c r="AA483" s="2"/>
      <c r="AB483" s="2"/>
      <c r="AC483" s="2"/>
      <c r="AD483" s="2"/>
      <c r="AE483" s="2"/>
      <c r="AF483" s="2" t="str">
        <f t="shared" si="73"/>
        <v/>
      </c>
      <c r="AG483" s="2" t="str">
        <f t="shared" si="74"/>
        <v/>
      </c>
      <c r="AH483" s="2" t="str">
        <f>IF($AG483="","",IFERROR(VLOOKUP($AG483,DB_Categories_Export!$A:$B,2,FALSE()),"INVALID CATEGORY"))</f>
        <v/>
      </c>
      <c r="AI483" s="2" t="str">
        <f t="shared" si="75"/>
        <v/>
      </c>
      <c r="AJ483" s="2" t="str">
        <f t="shared" si="76"/>
        <v/>
      </c>
      <c r="AK483" s="2" t="str">
        <f t="shared" si="77"/>
        <v/>
      </c>
      <c r="AL483" s="2" t="str">
        <f t="shared" si="78"/>
        <v/>
      </c>
      <c r="AM483" s="2" t="str">
        <f t="shared" si="79"/>
        <v/>
      </c>
      <c r="AN483" s="2"/>
      <c r="AO483" s="2"/>
    </row>
    <row r="484" spans="1:41" ht="12" customHeight="1" x14ac:dyDescent="0.3">
      <c r="A484" s="2"/>
      <c r="B484" s="2" t="str">
        <f t="shared" si="70"/>
        <v/>
      </c>
      <c r="C484" s="2" t="str">
        <f t="shared" si="71"/>
        <v/>
      </c>
      <c r="D484" s="2" t="str">
        <f>IF(DB_Artworks_Export!A484="","",DB_Artworks_Export!A484)</f>
        <v/>
      </c>
      <c r="E484" s="2" t="str">
        <f>IF(DB_Artworks_Export!B484="","",DB_Artworks_Export!B484)</f>
        <v/>
      </c>
      <c r="F484" s="2" t="str">
        <f>IF(DB_Artworks_Export!C484="","",DB_Artworks_Export!C484)</f>
        <v/>
      </c>
      <c r="G484" s="2" t="str">
        <f>IF(DB_Artworks_Export!D484="","",DB_Artworks_Export!D484)</f>
        <v/>
      </c>
      <c r="H484" s="2" t="str">
        <f>IF(DB_Artworks_Export!E484="","",DB_Artworks_Export!E484)</f>
        <v/>
      </c>
      <c r="I484" s="2" t="str">
        <f>IF(DB_Artworks_Export!F484="","",DB_Artworks_Export!F484)</f>
        <v/>
      </c>
      <c r="J484" s="2" t="str">
        <f>IF(DB_Artworks_Export!G484="","",DB_Artworks_Export!G484)</f>
        <v/>
      </c>
      <c r="K484" s="2" t="str">
        <f>IF(DB_Artworks_Export!H484="","",DB_Artworks_Export!H484)</f>
        <v/>
      </c>
      <c r="L484" s="2" t="str">
        <f>IF(DB_Artworks_Export!I484="","",DB_Artworks_Export!I484)</f>
        <v/>
      </c>
      <c r="M484" s="2" t="str">
        <f>IF(DB_Artworks_Export!J484="","",DB_Artworks_Export!J484)</f>
        <v/>
      </c>
      <c r="N484" s="2" t="str">
        <f>IF(DB_Artworks_Export!K484="","",DB_Artworks_Export!K484)</f>
        <v/>
      </c>
      <c r="O484" s="2" t="str">
        <f>IF(DB_Artworks_Export!L484="","",DB_Artworks_Export!L484)</f>
        <v/>
      </c>
      <c r="P484" s="2" t="str">
        <f>IF(DB_Artworks_Export!M484="","",DB_Artworks_Export!M484)</f>
        <v/>
      </c>
      <c r="Q484" s="2" t="str">
        <f>IF(DB_Artworks_Export!N484="","",DB_Artworks_Export!N484)</f>
        <v/>
      </c>
      <c r="R484" s="2" t="str">
        <f>IF($D484="","",IF(COUNTIF(DB_Categories_Export!$A:$A,$F484)&gt;0,"OK","INVALID CATEGORY"))</f>
        <v/>
      </c>
      <c r="S484" s="2" t="str">
        <f>IF($D484="","",COUNTIF(DB_Artwork_Sizes_Export!$B:$B,$D484))</f>
        <v/>
      </c>
      <c r="T484" s="2" t="str">
        <f>IF($D484="","",IFERROR(INDEX(DB_Artwork_Sizes_Export!$D:$D,MATCH($D484,DB_Artwork_Sizes_Export!$B:$B,0)),""))</f>
        <v/>
      </c>
      <c r="U484" s="2" t="str">
        <f>IF($D484="","",IFERROR(INDEX(DB_Artwork_Sizes_Export!$E:$E,MATCH($D484,DB_Artwork_Sizes_Export!$B:$B,0)),""))</f>
        <v/>
      </c>
      <c r="V484" s="2" t="str">
        <f>IF($D484="","",IFERROR(INDEX(DB_Artwork_Sizes_Export!$F:$F,MATCH($D484,DB_Artwork_Sizes_Export!$B:$B,0)),""))</f>
        <v/>
      </c>
      <c r="W484" s="2" t="str">
        <f t="shared" si="72"/>
        <v/>
      </c>
      <c r="X484" s="2"/>
      <c r="Y484" s="2"/>
      <c r="Z484" s="2"/>
      <c r="AA484" s="2"/>
      <c r="AB484" s="2"/>
      <c r="AC484" s="2"/>
      <c r="AD484" s="2"/>
      <c r="AE484" s="2"/>
      <c r="AF484" s="2" t="str">
        <f t="shared" si="73"/>
        <v/>
      </c>
      <c r="AG484" s="2" t="str">
        <f t="shared" si="74"/>
        <v/>
      </c>
      <c r="AH484" s="2" t="str">
        <f>IF($AG484="","",IFERROR(VLOOKUP($AG484,DB_Categories_Export!$A:$B,2,FALSE()),"INVALID CATEGORY"))</f>
        <v/>
      </c>
      <c r="AI484" s="2" t="str">
        <f t="shared" si="75"/>
        <v/>
      </c>
      <c r="AJ484" s="2" t="str">
        <f t="shared" si="76"/>
        <v/>
      </c>
      <c r="AK484" s="2" t="str">
        <f t="shared" si="77"/>
        <v/>
      </c>
      <c r="AL484" s="2" t="str">
        <f t="shared" si="78"/>
        <v/>
      </c>
      <c r="AM484" s="2" t="str">
        <f t="shared" si="79"/>
        <v/>
      </c>
      <c r="AN484" s="2"/>
      <c r="AO484" s="2"/>
    </row>
    <row r="485" spans="1:41" ht="12" customHeight="1" x14ac:dyDescent="0.3">
      <c r="A485" s="2"/>
      <c r="B485" s="2" t="str">
        <f t="shared" si="70"/>
        <v/>
      </c>
      <c r="C485" s="2" t="str">
        <f t="shared" si="71"/>
        <v/>
      </c>
      <c r="D485" s="2" t="str">
        <f>IF(DB_Artworks_Export!A485="","",DB_Artworks_Export!A485)</f>
        <v/>
      </c>
      <c r="E485" s="2" t="str">
        <f>IF(DB_Artworks_Export!B485="","",DB_Artworks_Export!B485)</f>
        <v/>
      </c>
      <c r="F485" s="2" t="str">
        <f>IF(DB_Artworks_Export!C485="","",DB_Artworks_Export!C485)</f>
        <v/>
      </c>
      <c r="G485" s="2" t="str">
        <f>IF(DB_Artworks_Export!D485="","",DB_Artworks_Export!D485)</f>
        <v/>
      </c>
      <c r="H485" s="2" t="str">
        <f>IF(DB_Artworks_Export!E485="","",DB_Artworks_Export!E485)</f>
        <v/>
      </c>
      <c r="I485" s="2" t="str">
        <f>IF(DB_Artworks_Export!F485="","",DB_Artworks_Export!F485)</f>
        <v/>
      </c>
      <c r="J485" s="2" t="str">
        <f>IF(DB_Artworks_Export!G485="","",DB_Artworks_Export!G485)</f>
        <v/>
      </c>
      <c r="K485" s="2" t="str">
        <f>IF(DB_Artworks_Export!H485="","",DB_Artworks_Export!H485)</f>
        <v/>
      </c>
      <c r="L485" s="2" t="str">
        <f>IF(DB_Artworks_Export!I485="","",DB_Artworks_Export!I485)</f>
        <v/>
      </c>
      <c r="M485" s="2" t="str">
        <f>IF(DB_Artworks_Export!J485="","",DB_Artworks_Export!J485)</f>
        <v/>
      </c>
      <c r="N485" s="2" t="str">
        <f>IF(DB_Artworks_Export!K485="","",DB_Artworks_Export!K485)</f>
        <v/>
      </c>
      <c r="O485" s="2" t="str">
        <f>IF(DB_Artworks_Export!L485="","",DB_Artworks_Export!L485)</f>
        <v/>
      </c>
      <c r="P485" s="2" t="str">
        <f>IF(DB_Artworks_Export!M485="","",DB_Artworks_Export!M485)</f>
        <v/>
      </c>
      <c r="Q485" s="2" t="str">
        <f>IF(DB_Artworks_Export!N485="","",DB_Artworks_Export!N485)</f>
        <v/>
      </c>
      <c r="R485" s="2" t="str">
        <f>IF($D485="","",IF(COUNTIF(DB_Categories_Export!$A:$A,$F485)&gt;0,"OK","INVALID CATEGORY"))</f>
        <v/>
      </c>
      <c r="S485" s="2" t="str">
        <f>IF($D485="","",COUNTIF(DB_Artwork_Sizes_Export!$B:$B,$D485))</f>
        <v/>
      </c>
      <c r="T485" s="2" t="str">
        <f>IF($D485="","",IFERROR(INDEX(DB_Artwork_Sizes_Export!$D:$D,MATCH($D485,DB_Artwork_Sizes_Export!$B:$B,0)),""))</f>
        <v/>
      </c>
      <c r="U485" s="2" t="str">
        <f>IF($D485="","",IFERROR(INDEX(DB_Artwork_Sizes_Export!$E:$E,MATCH($D485,DB_Artwork_Sizes_Export!$B:$B,0)),""))</f>
        <v/>
      </c>
      <c r="V485" s="2" t="str">
        <f>IF($D485="","",IFERROR(INDEX(DB_Artwork_Sizes_Export!$F:$F,MATCH($D485,DB_Artwork_Sizes_Export!$B:$B,0)),""))</f>
        <v/>
      </c>
      <c r="W485" s="2" t="str">
        <f t="shared" si="72"/>
        <v/>
      </c>
      <c r="X485" s="2"/>
      <c r="Y485" s="2"/>
      <c r="Z485" s="2"/>
      <c r="AA485" s="2"/>
      <c r="AB485" s="2"/>
      <c r="AC485" s="2"/>
      <c r="AD485" s="2"/>
      <c r="AE485" s="2"/>
      <c r="AF485" s="2" t="str">
        <f t="shared" si="73"/>
        <v/>
      </c>
      <c r="AG485" s="2" t="str">
        <f t="shared" si="74"/>
        <v/>
      </c>
      <c r="AH485" s="2" t="str">
        <f>IF($AG485="","",IFERROR(VLOOKUP($AG485,DB_Categories_Export!$A:$B,2,FALSE()),"INVALID CATEGORY"))</f>
        <v/>
      </c>
      <c r="AI485" s="2" t="str">
        <f t="shared" si="75"/>
        <v/>
      </c>
      <c r="AJ485" s="2" t="str">
        <f t="shared" si="76"/>
        <v/>
      </c>
      <c r="AK485" s="2" t="str">
        <f t="shared" si="77"/>
        <v/>
      </c>
      <c r="AL485" s="2" t="str">
        <f t="shared" si="78"/>
        <v/>
      </c>
      <c r="AM485" s="2" t="str">
        <f t="shared" si="79"/>
        <v/>
      </c>
      <c r="AN485" s="2"/>
      <c r="AO485" s="2"/>
    </row>
    <row r="486" spans="1:41" ht="12" customHeight="1" x14ac:dyDescent="0.3">
      <c r="A486" s="2"/>
      <c r="B486" s="2" t="str">
        <f t="shared" si="70"/>
        <v/>
      </c>
      <c r="C486" s="2" t="str">
        <f t="shared" si="71"/>
        <v/>
      </c>
      <c r="D486" s="2" t="str">
        <f>IF(DB_Artworks_Export!A486="","",DB_Artworks_Export!A486)</f>
        <v/>
      </c>
      <c r="E486" s="2" t="str">
        <f>IF(DB_Artworks_Export!B486="","",DB_Artworks_Export!B486)</f>
        <v/>
      </c>
      <c r="F486" s="2" t="str">
        <f>IF(DB_Artworks_Export!C486="","",DB_Artworks_Export!C486)</f>
        <v/>
      </c>
      <c r="G486" s="2" t="str">
        <f>IF(DB_Artworks_Export!D486="","",DB_Artworks_Export!D486)</f>
        <v/>
      </c>
      <c r="H486" s="2" t="str">
        <f>IF(DB_Artworks_Export!E486="","",DB_Artworks_Export!E486)</f>
        <v/>
      </c>
      <c r="I486" s="2" t="str">
        <f>IF(DB_Artworks_Export!F486="","",DB_Artworks_Export!F486)</f>
        <v/>
      </c>
      <c r="J486" s="2" t="str">
        <f>IF(DB_Artworks_Export!G486="","",DB_Artworks_Export!G486)</f>
        <v/>
      </c>
      <c r="K486" s="2" t="str">
        <f>IF(DB_Artworks_Export!H486="","",DB_Artworks_Export!H486)</f>
        <v/>
      </c>
      <c r="L486" s="2" t="str">
        <f>IF(DB_Artworks_Export!I486="","",DB_Artworks_Export!I486)</f>
        <v/>
      </c>
      <c r="M486" s="2" t="str">
        <f>IF(DB_Artworks_Export!J486="","",DB_Artworks_Export!J486)</f>
        <v/>
      </c>
      <c r="N486" s="2" t="str">
        <f>IF(DB_Artworks_Export!K486="","",DB_Artworks_Export!K486)</f>
        <v/>
      </c>
      <c r="O486" s="2" t="str">
        <f>IF(DB_Artworks_Export!L486="","",DB_Artworks_Export!L486)</f>
        <v/>
      </c>
      <c r="P486" s="2" t="str">
        <f>IF(DB_Artworks_Export!M486="","",DB_Artworks_Export!M486)</f>
        <v/>
      </c>
      <c r="Q486" s="2" t="str">
        <f>IF(DB_Artworks_Export!N486="","",DB_Artworks_Export!N486)</f>
        <v/>
      </c>
      <c r="R486" s="2" t="str">
        <f>IF($D486="","",IF(COUNTIF(DB_Categories_Export!$A:$A,$F486)&gt;0,"OK","INVALID CATEGORY"))</f>
        <v/>
      </c>
      <c r="S486" s="2" t="str">
        <f>IF($D486="","",COUNTIF(DB_Artwork_Sizes_Export!$B:$B,$D486))</f>
        <v/>
      </c>
      <c r="T486" s="2" t="str">
        <f>IF($D486="","",IFERROR(INDEX(DB_Artwork_Sizes_Export!$D:$D,MATCH($D486,DB_Artwork_Sizes_Export!$B:$B,0)),""))</f>
        <v/>
      </c>
      <c r="U486" s="2" t="str">
        <f>IF($D486="","",IFERROR(INDEX(DB_Artwork_Sizes_Export!$E:$E,MATCH($D486,DB_Artwork_Sizes_Export!$B:$B,0)),""))</f>
        <v/>
      </c>
      <c r="V486" s="2" t="str">
        <f>IF($D486="","",IFERROR(INDEX(DB_Artwork_Sizes_Export!$F:$F,MATCH($D486,DB_Artwork_Sizes_Export!$B:$B,0)),""))</f>
        <v/>
      </c>
      <c r="W486" s="2" t="str">
        <f t="shared" si="72"/>
        <v/>
      </c>
      <c r="X486" s="2"/>
      <c r="Y486" s="2"/>
      <c r="Z486" s="2"/>
      <c r="AA486" s="2"/>
      <c r="AB486" s="2"/>
      <c r="AC486" s="2"/>
      <c r="AD486" s="2"/>
      <c r="AE486" s="2"/>
      <c r="AF486" s="2" t="str">
        <f t="shared" si="73"/>
        <v/>
      </c>
      <c r="AG486" s="2" t="str">
        <f t="shared" si="74"/>
        <v/>
      </c>
      <c r="AH486" s="2" t="str">
        <f>IF($AG486="","",IFERROR(VLOOKUP($AG486,DB_Categories_Export!$A:$B,2,FALSE()),"INVALID CATEGORY"))</f>
        <v/>
      </c>
      <c r="AI486" s="2" t="str">
        <f t="shared" si="75"/>
        <v/>
      </c>
      <c r="AJ486" s="2" t="str">
        <f t="shared" si="76"/>
        <v/>
      </c>
      <c r="AK486" s="2" t="str">
        <f t="shared" si="77"/>
        <v/>
      </c>
      <c r="AL486" s="2" t="str">
        <f t="shared" si="78"/>
        <v/>
      </c>
      <c r="AM486" s="2" t="str">
        <f t="shared" si="79"/>
        <v/>
      </c>
      <c r="AN486" s="2"/>
      <c r="AO486" s="2"/>
    </row>
    <row r="487" spans="1:41" ht="12" customHeight="1" x14ac:dyDescent="0.3">
      <c r="A487" s="2"/>
      <c r="B487" s="2" t="str">
        <f t="shared" si="70"/>
        <v/>
      </c>
      <c r="C487" s="2" t="str">
        <f t="shared" si="71"/>
        <v/>
      </c>
      <c r="D487" s="2" t="str">
        <f>IF(DB_Artworks_Export!A487="","",DB_Artworks_Export!A487)</f>
        <v/>
      </c>
      <c r="E487" s="2" t="str">
        <f>IF(DB_Artworks_Export!B487="","",DB_Artworks_Export!B487)</f>
        <v/>
      </c>
      <c r="F487" s="2" t="str">
        <f>IF(DB_Artworks_Export!C487="","",DB_Artworks_Export!C487)</f>
        <v/>
      </c>
      <c r="G487" s="2" t="str">
        <f>IF(DB_Artworks_Export!D487="","",DB_Artworks_Export!D487)</f>
        <v/>
      </c>
      <c r="H487" s="2" t="str">
        <f>IF(DB_Artworks_Export!E487="","",DB_Artworks_Export!E487)</f>
        <v/>
      </c>
      <c r="I487" s="2" t="str">
        <f>IF(DB_Artworks_Export!F487="","",DB_Artworks_Export!F487)</f>
        <v/>
      </c>
      <c r="J487" s="2" t="str">
        <f>IF(DB_Artworks_Export!G487="","",DB_Artworks_Export!G487)</f>
        <v/>
      </c>
      <c r="K487" s="2" t="str">
        <f>IF(DB_Artworks_Export!H487="","",DB_Artworks_Export!H487)</f>
        <v/>
      </c>
      <c r="L487" s="2" t="str">
        <f>IF(DB_Artworks_Export!I487="","",DB_Artworks_Export!I487)</f>
        <v/>
      </c>
      <c r="M487" s="2" t="str">
        <f>IF(DB_Artworks_Export!J487="","",DB_Artworks_Export!J487)</f>
        <v/>
      </c>
      <c r="N487" s="2" t="str">
        <f>IF(DB_Artworks_Export!K487="","",DB_Artworks_Export!K487)</f>
        <v/>
      </c>
      <c r="O487" s="2" t="str">
        <f>IF(DB_Artworks_Export!L487="","",DB_Artworks_Export!L487)</f>
        <v/>
      </c>
      <c r="P487" s="2" t="str">
        <f>IF(DB_Artworks_Export!M487="","",DB_Artworks_Export!M487)</f>
        <v/>
      </c>
      <c r="Q487" s="2" t="str">
        <f>IF(DB_Artworks_Export!N487="","",DB_Artworks_Export!N487)</f>
        <v/>
      </c>
      <c r="R487" s="2" t="str">
        <f>IF($D487="","",IF(COUNTIF(DB_Categories_Export!$A:$A,$F487)&gt;0,"OK","INVALID CATEGORY"))</f>
        <v/>
      </c>
      <c r="S487" s="2" t="str">
        <f>IF($D487="","",COUNTIF(DB_Artwork_Sizes_Export!$B:$B,$D487))</f>
        <v/>
      </c>
      <c r="T487" s="2" t="str">
        <f>IF($D487="","",IFERROR(INDEX(DB_Artwork_Sizes_Export!$D:$D,MATCH($D487,DB_Artwork_Sizes_Export!$B:$B,0)),""))</f>
        <v/>
      </c>
      <c r="U487" s="2" t="str">
        <f>IF($D487="","",IFERROR(INDEX(DB_Artwork_Sizes_Export!$E:$E,MATCH($D487,DB_Artwork_Sizes_Export!$B:$B,0)),""))</f>
        <v/>
      </c>
      <c r="V487" s="2" t="str">
        <f>IF($D487="","",IFERROR(INDEX(DB_Artwork_Sizes_Export!$F:$F,MATCH($D487,DB_Artwork_Sizes_Export!$B:$B,0)),""))</f>
        <v/>
      </c>
      <c r="W487" s="2" t="str">
        <f t="shared" si="72"/>
        <v/>
      </c>
      <c r="X487" s="2"/>
      <c r="Y487" s="2"/>
      <c r="Z487" s="2"/>
      <c r="AA487" s="2"/>
      <c r="AB487" s="2"/>
      <c r="AC487" s="2"/>
      <c r="AD487" s="2"/>
      <c r="AE487" s="2"/>
      <c r="AF487" s="2" t="str">
        <f t="shared" si="73"/>
        <v/>
      </c>
      <c r="AG487" s="2" t="str">
        <f t="shared" si="74"/>
        <v/>
      </c>
      <c r="AH487" s="2" t="str">
        <f>IF($AG487="","",IFERROR(VLOOKUP($AG487,DB_Categories_Export!$A:$B,2,FALSE()),"INVALID CATEGORY"))</f>
        <v/>
      </c>
      <c r="AI487" s="2" t="str">
        <f t="shared" si="75"/>
        <v/>
      </c>
      <c r="AJ487" s="2" t="str">
        <f t="shared" si="76"/>
        <v/>
      </c>
      <c r="AK487" s="2" t="str">
        <f t="shared" si="77"/>
        <v/>
      </c>
      <c r="AL487" s="2" t="str">
        <f t="shared" si="78"/>
        <v/>
      </c>
      <c r="AM487" s="2" t="str">
        <f t="shared" si="79"/>
        <v/>
      </c>
      <c r="AN487" s="2"/>
      <c r="AO487" s="2"/>
    </row>
    <row r="488" spans="1:41" ht="12" customHeight="1" x14ac:dyDescent="0.3">
      <c r="A488" s="2"/>
      <c r="B488" s="2" t="str">
        <f t="shared" si="70"/>
        <v/>
      </c>
      <c r="C488" s="2" t="str">
        <f t="shared" si="71"/>
        <v/>
      </c>
      <c r="D488" s="2" t="str">
        <f>IF(DB_Artworks_Export!A488="","",DB_Artworks_Export!A488)</f>
        <v/>
      </c>
      <c r="E488" s="2" t="str">
        <f>IF(DB_Artworks_Export!B488="","",DB_Artworks_Export!B488)</f>
        <v/>
      </c>
      <c r="F488" s="2" t="str">
        <f>IF(DB_Artworks_Export!C488="","",DB_Artworks_Export!C488)</f>
        <v/>
      </c>
      <c r="G488" s="2" t="str">
        <f>IF(DB_Artworks_Export!D488="","",DB_Artworks_Export!D488)</f>
        <v/>
      </c>
      <c r="H488" s="2" t="str">
        <f>IF(DB_Artworks_Export!E488="","",DB_Artworks_Export!E488)</f>
        <v/>
      </c>
      <c r="I488" s="2" t="str">
        <f>IF(DB_Artworks_Export!F488="","",DB_Artworks_Export!F488)</f>
        <v/>
      </c>
      <c r="J488" s="2" t="str">
        <f>IF(DB_Artworks_Export!G488="","",DB_Artworks_Export!G488)</f>
        <v/>
      </c>
      <c r="K488" s="2" t="str">
        <f>IF(DB_Artworks_Export!H488="","",DB_Artworks_Export!H488)</f>
        <v/>
      </c>
      <c r="L488" s="2" t="str">
        <f>IF(DB_Artworks_Export!I488="","",DB_Artworks_Export!I488)</f>
        <v/>
      </c>
      <c r="M488" s="2" t="str">
        <f>IF(DB_Artworks_Export!J488="","",DB_Artworks_Export!J488)</f>
        <v/>
      </c>
      <c r="N488" s="2" t="str">
        <f>IF(DB_Artworks_Export!K488="","",DB_Artworks_Export!K488)</f>
        <v/>
      </c>
      <c r="O488" s="2" t="str">
        <f>IF(DB_Artworks_Export!L488="","",DB_Artworks_Export!L488)</f>
        <v/>
      </c>
      <c r="P488" s="2" t="str">
        <f>IF(DB_Artworks_Export!M488="","",DB_Artworks_Export!M488)</f>
        <v/>
      </c>
      <c r="Q488" s="2" t="str">
        <f>IF(DB_Artworks_Export!N488="","",DB_Artworks_Export!N488)</f>
        <v/>
      </c>
      <c r="R488" s="2" t="str">
        <f>IF($D488="","",IF(COUNTIF(DB_Categories_Export!$A:$A,$F488)&gt;0,"OK","INVALID CATEGORY"))</f>
        <v/>
      </c>
      <c r="S488" s="2" t="str">
        <f>IF($D488="","",COUNTIF(DB_Artwork_Sizes_Export!$B:$B,$D488))</f>
        <v/>
      </c>
      <c r="T488" s="2" t="str">
        <f>IF($D488="","",IFERROR(INDEX(DB_Artwork_Sizes_Export!$D:$D,MATCH($D488,DB_Artwork_Sizes_Export!$B:$B,0)),""))</f>
        <v/>
      </c>
      <c r="U488" s="2" t="str">
        <f>IF($D488="","",IFERROR(INDEX(DB_Artwork_Sizes_Export!$E:$E,MATCH($D488,DB_Artwork_Sizes_Export!$B:$B,0)),""))</f>
        <v/>
      </c>
      <c r="V488" s="2" t="str">
        <f>IF($D488="","",IFERROR(INDEX(DB_Artwork_Sizes_Export!$F:$F,MATCH($D488,DB_Artwork_Sizes_Export!$B:$B,0)),""))</f>
        <v/>
      </c>
      <c r="W488" s="2" t="str">
        <f t="shared" si="72"/>
        <v/>
      </c>
      <c r="X488" s="2"/>
      <c r="Y488" s="2"/>
      <c r="Z488" s="2"/>
      <c r="AA488" s="2"/>
      <c r="AB488" s="2"/>
      <c r="AC488" s="2"/>
      <c r="AD488" s="2"/>
      <c r="AE488" s="2"/>
      <c r="AF488" s="2" t="str">
        <f t="shared" si="73"/>
        <v/>
      </c>
      <c r="AG488" s="2" t="str">
        <f t="shared" si="74"/>
        <v/>
      </c>
      <c r="AH488" s="2" t="str">
        <f>IF($AG488="","",IFERROR(VLOOKUP($AG488,DB_Categories_Export!$A:$B,2,FALSE()),"INVALID CATEGORY"))</f>
        <v/>
      </c>
      <c r="AI488" s="2" t="str">
        <f t="shared" si="75"/>
        <v/>
      </c>
      <c r="AJ488" s="2" t="str">
        <f t="shared" si="76"/>
        <v/>
      </c>
      <c r="AK488" s="2" t="str">
        <f t="shared" si="77"/>
        <v/>
      </c>
      <c r="AL488" s="2" t="str">
        <f t="shared" si="78"/>
        <v/>
      </c>
      <c r="AM488" s="2" t="str">
        <f t="shared" si="79"/>
        <v/>
      </c>
      <c r="AN488" s="2"/>
      <c r="AO488" s="2"/>
    </row>
    <row r="489" spans="1:41" ht="12" customHeight="1" x14ac:dyDescent="0.3">
      <c r="A489" s="2"/>
      <c r="B489" s="2" t="str">
        <f t="shared" si="70"/>
        <v/>
      </c>
      <c r="C489" s="2" t="str">
        <f t="shared" si="71"/>
        <v/>
      </c>
      <c r="D489" s="2" t="str">
        <f>IF(DB_Artworks_Export!A489="","",DB_Artworks_Export!A489)</f>
        <v/>
      </c>
      <c r="E489" s="2" t="str">
        <f>IF(DB_Artworks_Export!B489="","",DB_Artworks_Export!B489)</f>
        <v/>
      </c>
      <c r="F489" s="2" t="str">
        <f>IF(DB_Artworks_Export!C489="","",DB_Artworks_Export!C489)</f>
        <v/>
      </c>
      <c r="G489" s="2" t="str">
        <f>IF(DB_Artworks_Export!D489="","",DB_Artworks_Export!D489)</f>
        <v/>
      </c>
      <c r="H489" s="2" t="str">
        <f>IF(DB_Artworks_Export!E489="","",DB_Artworks_Export!E489)</f>
        <v/>
      </c>
      <c r="I489" s="2" t="str">
        <f>IF(DB_Artworks_Export!F489="","",DB_Artworks_Export!F489)</f>
        <v/>
      </c>
      <c r="J489" s="2" t="str">
        <f>IF(DB_Artworks_Export!G489="","",DB_Artworks_Export!G489)</f>
        <v/>
      </c>
      <c r="K489" s="2" t="str">
        <f>IF(DB_Artworks_Export!H489="","",DB_Artworks_Export!H489)</f>
        <v/>
      </c>
      <c r="L489" s="2" t="str">
        <f>IF(DB_Artworks_Export!I489="","",DB_Artworks_Export!I489)</f>
        <v/>
      </c>
      <c r="M489" s="2" t="str">
        <f>IF(DB_Artworks_Export!J489="","",DB_Artworks_Export!J489)</f>
        <v/>
      </c>
      <c r="N489" s="2" t="str">
        <f>IF(DB_Artworks_Export!K489="","",DB_Artworks_Export!K489)</f>
        <v/>
      </c>
      <c r="O489" s="2" t="str">
        <f>IF(DB_Artworks_Export!L489="","",DB_Artworks_Export!L489)</f>
        <v/>
      </c>
      <c r="P489" s="2" t="str">
        <f>IF(DB_Artworks_Export!M489="","",DB_Artworks_Export!M489)</f>
        <v/>
      </c>
      <c r="Q489" s="2" t="str">
        <f>IF(DB_Artworks_Export!N489="","",DB_Artworks_Export!N489)</f>
        <v/>
      </c>
      <c r="R489" s="2" t="str">
        <f>IF($D489="","",IF(COUNTIF(DB_Categories_Export!$A:$A,$F489)&gt;0,"OK","INVALID CATEGORY"))</f>
        <v/>
      </c>
      <c r="S489" s="2" t="str">
        <f>IF($D489="","",COUNTIF(DB_Artwork_Sizes_Export!$B:$B,$D489))</f>
        <v/>
      </c>
      <c r="T489" s="2" t="str">
        <f>IF($D489="","",IFERROR(INDEX(DB_Artwork_Sizes_Export!$D:$D,MATCH($D489,DB_Artwork_Sizes_Export!$B:$B,0)),""))</f>
        <v/>
      </c>
      <c r="U489" s="2" t="str">
        <f>IF($D489="","",IFERROR(INDEX(DB_Artwork_Sizes_Export!$E:$E,MATCH($D489,DB_Artwork_Sizes_Export!$B:$B,0)),""))</f>
        <v/>
      </c>
      <c r="V489" s="2" t="str">
        <f>IF($D489="","",IFERROR(INDEX(DB_Artwork_Sizes_Export!$F:$F,MATCH($D489,DB_Artwork_Sizes_Export!$B:$B,0)),""))</f>
        <v/>
      </c>
      <c r="W489" s="2" t="str">
        <f t="shared" si="72"/>
        <v/>
      </c>
      <c r="X489" s="2"/>
      <c r="Y489" s="2"/>
      <c r="Z489" s="2"/>
      <c r="AA489" s="2"/>
      <c r="AB489" s="2"/>
      <c r="AC489" s="2"/>
      <c r="AD489" s="2"/>
      <c r="AE489" s="2"/>
      <c r="AF489" s="2" t="str">
        <f t="shared" si="73"/>
        <v/>
      </c>
      <c r="AG489" s="2" t="str">
        <f t="shared" si="74"/>
        <v/>
      </c>
      <c r="AH489" s="2" t="str">
        <f>IF($AG489="","",IFERROR(VLOOKUP($AG489,DB_Categories_Export!$A:$B,2,FALSE()),"INVALID CATEGORY"))</f>
        <v/>
      </c>
      <c r="AI489" s="2" t="str">
        <f t="shared" si="75"/>
        <v/>
      </c>
      <c r="AJ489" s="2" t="str">
        <f t="shared" si="76"/>
        <v/>
      </c>
      <c r="AK489" s="2" t="str">
        <f t="shared" si="77"/>
        <v/>
      </c>
      <c r="AL489" s="2" t="str">
        <f t="shared" si="78"/>
        <v/>
      </c>
      <c r="AM489" s="2" t="str">
        <f t="shared" si="79"/>
        <v/>
      </c>
      <c r="AN489" s="2"/>
      <c r="AO489" s="2"/>
    </row>
    <row r="490" spans="1:41" ht="12" customHeight="1" x14ac:dyDescent="0.3">
      <c r="A490" s="2"/>
      <c r="B490" s="2" t="str">
        <f t="shared" si="70"/>
        <v/>
      </c>
      <c r="C490" s="2" t="str">
        <f t="shared" si="71"/>
        <v/>
      </c>
      <c r="D490" s="2" t="str">
        <f>IF(DB_Artworks_Export!A490="","",DB_Artworks_Export!A490)</f>
        <v/>
      </c>
      <c r="E490" s="2" t="str">
        <f>IF(DB_Artworks_Export!B490="","",DB_Artworks_Export!B490)</f>
        <v/>
      </c>
      <c r="F490" s="2" t="str">
        <f>IF(DB_Artworks_Export!C490="","",DB_Artworks_Export!C490)</f>
        <v/>
      </c>
      <c r="G490" s="2" t="str">
        <f>IF(DB_Artworks_Export!D490="","",DB_Artworks_Export!D490)</f>
        <v/>
      </c>
      <c r="H490" s="2" t="str">
        <f>IF(DB_Artworks_Export!E490="","",DB_Artworks_Export!E490)</f>
        <v/>
      </c>
      <c r="I490" s="2" t="str">
        <f>IF(DB_Artworks_Export!F490="","",DB_Artworks_Export!F490)</f>
        <v/>
      </c>
      <c r="J490" s="2" t="str">
        <f>IF(DB_Artworks_Export!G490="","",DB_Artworks_Export!G490)</f>
        <v/>
      </c>
      <c r="K490" s="2" t="str">
        <f>IF(DB_Artworks_Export!H490="","",DB_Artworks_Export!H490)</f>
        <v/>
      </c>
      <c r="L490" s="2" t="str">
        <f>IF(DB_Artworks_Export!I490="","",DB_Artworks_Export!I490)</f>
        <v/>
      </c>
      <c r="M490" s="2" t="str">
        <f>IF(DB_Artworks_Export!J490="","",DB_Artworks_Export!J490)</f>
        <v/>
      </c>
      <c r="N490" s="2" t="str">
        <f>IF(DB_Artworks_Export!K490="","",DB_Artworks_Export!K490)</f>
        <v/>
      </c>
      <c r="O490" s="2" t="str">
        <f>IF(DB_Artworks_Export!L490="","",DB_Artworks_Export!L490)</f>
        <v/>
      </c>
      <c r="P490" s="2" t="str">
        <f>IF(DB_Artworks_Export!M490="","",DB_Artworks_Export!M490)</f>
        <v/>
      </c>
      <c r="Q490" s="2" t="str">
        <f>IF(DB_Artworks_Export!N490="","",DB_Artworks_Export!N490)</f>
        <v/>
      </c>
      <c r="R490" s="2" t="str">
        <f>IF($D490="","",IF(COUNTIF(DB_Categories_Export!$A:$A,$F490)&gt;0,"OK","INVALID CATEGORY"))</f>
        <v/>
      </c>
      <c r="S490" s="2" t="str">
        <f>IF($D490="","",COUNTIF(DB_Artwork_Sizes_Export!$B:$B,$D490))</f>
        <v/>
      </c>
      <c r="T490" s="2" t="str">
        <f>IF($D490="","",IFERROR(INDEX(DB_Artwork_Sizes_Export!$D:$D,MATCH($D490,DB_Artwork_Sizes_Export!$B:$B,0)),""))</f>
        <v/>
      </c>
      <c r="U490" s="2" t="str">
        <f>IF($D490="","",IFERROR(INDEX(DB_Artwork_Sizes_Export!$E:$E,MATCH($D490,DB_Artwork_Sizes_Export!$B:$B,0)),""))</f>
        <v/>
      </c>
      <c r="V490" s="2" t="str">
        <f>IF($D490="","",IFERROR(INDEX(DB_Artwork_Sizes_Export!$F:$F,MATCH($D490,DB_Artwork_Sizes_Export!$B:$B,0)),""))</f>
        <v/>
      </c>
      <c r="W490" s="2" t="str">
        <f t="shared" si="72"/>
        <v/>
      </c>
      <c r="X490" s="2"/>
      <c r="Y490" s="2"/>
      <c r="Z490" s="2"/>
      <c r="AA490" s="2"/>
      <c r="AB490" s="2"/>
      <c r="AC490" s="2"/>
      <c r="AD490" s="2"/>
      <c r="AE490" s="2"/>
      <c r="AF490" s="2" t="str">
        <f t="shared" si="73"/>
        <v/>
      </c>
      <c r="AG490" s="2" t="str">
        <f t="shared" si="74"/>
        <v/>
      </c>
      <c r="AH490" s="2" t="str">
        <f>IF($AG490="","",IFERROR(VLOOKUP($AG490,DB_Categories_Export!$A:$B,2,FALSE()),"INVALID CATEGORY"))</f>
        <v/>
      </c>
      <c r="AI490" s="2" t="str">
        <f t="shared" si="75"/>
        <v/>
      </c>
      <c r="AJ490" s="2" t="str">
        <f t="shared" si="76"/>
        <v/>
      </c>
      <c r="AK490" s="2" t="str">
        <f t="shared" si="77"/>
        <v/>
      </c>
      <c r="AL490" s="2" t="str">
        <f t="shared" si="78"/>
        <v/>
      </c>
      <c r="AM490" s="2" t="str">
        <f t="shared" si="79"/>
        <v/>
      </c>
      <c r="AN490" s="2"/>
      <c r="AO490" s="2"/>
    </row>
    <row r="491" spans="1:41" ht="12" customHeight="1" x14ac:dyDescent="0.3">
      <c r="A491" s="2"/>
      <c r="B491" s="2" t="str">
        <f t="shared" si="70"/>
        <v/>
      </c>
      <c r="C491" s="2" t="str">
        <f t="shared" si="71"/>
        <v/>
      </c>
      <c r="D491" s="2" t="str">
        <f>IF(DB_Artworks_Export!A491="","",DB_Artworks_Export!A491)</f>
        <v/>
      </c>
      <c r="E491" s="2" t="str">
        <f>IF(DB_Artworks_Export!B491="","",DB_Artworks_Export!B491)</f>
        <v/>
      </c>
      <c r="F491" s="2" t="str">
        <f>IF(DB_Artworks_Export!C491="","",DB_Artworks_Export!C491)</f>
        <v/>
      </c>
      <c r="G491" s="2" t="str">
        <f>IF(DB_Artworks_Export!D491="","",DB_Artworks_Export!D491)</f>
        <v/>
      </c>
      <c r="H491" s="2" t="str">
        <f>IF(DB_Artworks_Export!E491="","",DB_Artworks_Export!E491)</f>
        <v/>
      </c>
      <c r="I491" s="2" t="str">
        <f>IF(DB_Artworks_Export!F491="","",DB_Artworks_Export!F491)</f>
        <v/>
      </c>
      <c r="J491" s="2" t="str">
        <f>IF(DB_Artworks_Export!G491="","",DB_Artworks_Export!G491)</f>
        <v/>
      </c>
      <c r="K491" s="2" t="str">
        <f>IF(DB_Artworks_Export!H491="","",DB_Artworks_Export!H491)</f>
        <v/>
      </c>
      <c r="L491" s="2" t="str">
        <f>IF(DB_Artworks_Export!I491="","",DB_Artworks_Export!I491)</f>
        <v/>
      </c>
      <c r="M491" s="2" t="str">
        <f>IF(DB_Artworks_Export!J491="","",DB_Artworks_Export!J491)</f>
        <v/>
      </c>
      <c r="N491" s="2" t="str">
        <f>IF(DB_Artworks_Export!K491="","",DB_Artworks_Export!K491)</f>
        <v/>
      </c>
      <c r="O491" s="2" t="str">
        <f>IF(DB_Artworks_Export!L491="","",DB_Artworks_Export!L491)</f>
        <v/>
      </c>
      <c r="P491" s="2" t="str">
        <f>IF(DB_Artworks_Export!M491="","",DB_Artworks_Export!M491)</f>
        <v/>
      </c>
      <c r="Q491" s="2" t="str">
        <f>IF(DB_Artworks_Export!N491="","",DB_Artworks_Export!N491)</f>
        <v/>
      </c>
      <c r="R491" s="2" t="str">
        <f>IF($D491="","",IF(COUNTIF(DB_Categories_Export!$A:$A,$F491)&gt;0,"OK","INVALID CATEGORY"))</f>
        <v/>
      </c>
      <c r="S491" s="2" t="str">
        <f>IF($D491="","",COUNTIF(DB_Artwork_Sizes_Export!$B:$B,$D491))</f>
        <v/>
      </c>
      <c r="T491" s="2" t="str">
        <f>IF($D491="","",IFERROR(INDEX(DB_Artwork_Sizes_Export!$D:$D,MATCH($D491,DB_Artwork_Sizes_Export!$B:$B,0)),""))</f>
        <v/>
      </c>
      <c r="U491" s="2" t="str">
        <f>IF($D491="","",IFERROR(INDEX(DB_Artwork_Sizes_Export!$E:$E,MATCH($D491,DB_Artwork_Sizes_Export!$B:$B,0)),""))</f>
        <v/>
      </c>
      <c r="V491" s="2" t="str">
        <f>IF($D491="","",IFERROR(INDEX(DB_Artwork_Sizes_Export!$F:$F,MATCH($D491,DB_Artwork_Sizes_Export!$B:$B,0)),""))</f>
        <v/>
      </c>
      <c r="W491" s="2" t="str">
        <f t="shared" si="72"/>
        <v/>
      </c>
      <c r="X491" s="2"/>
      <c r="Y491" s="2"/>
      <c r="Z491" s="2"/>
      <c r="AA491" s="2"/>
      <c r="AB491" s="2"/>
      <c r="AC491" s="2"/>
      <c r="AD491" s="2"/>
      <c r="AE491" s="2"/>
      <c r="AF491" s="2" t="str">
        <f t="shared" si="73"/>
        <v/>
      </c>
      <c r="AG491" s="2" t="str">
        <f t="shared" si="74"/>
        <v/>
      </c>
      <c r="AH491" s="2" t="str">
        <f>IF($AG491="","",IFERROR(VLOOKUP($AG491,DB_Categories_Export!$A:$B,2,FALSE()),"INVALID CATEGORY"))</f>
        <v/>
      </c>
      <c r="AI491" s="2" t="str">
        <f t="shared" si="75"/>
        <v/>
      </c>
      <c r="AJ491" s="2" t="str">
        <f t="shared" si="76"/>
        <v/>
      </c>
      <c r="AK491" s="2" t="str">
        <f t="shared" si="77"/>
        <v/>
      </c>
      <c r="AL491" s="2" t="str">
        <f t="shared" si="78"/>
        <v/>
      </c>
      <c r="AM491" s="2" t="str">
        <f t="shared" si="79"/>
        <v/>
      </c>
      <c r="AN491" s="2"/>
      <c r="AO491" s="2"/>
    </row>
    <row r="492" spans="1:41" ht="12" customHeight="1" x14ac:dyDescent="0.3">
      <c r="A492" s="2"/>
      <c r="B492" s="2" t="str">
        <f t="shared" si="70"/>
        <v/>
      </c>
      <c r="C492" s="2" t="str">
        <f t="shared" si="71"/>
        <v/>
      </c>
      <c r="D492" s="2" t="str">
        <f>IF(DB_Artworks_Export!A492="","",DB_Artworks_Export!A492)</f>
        <v/>
      </c>
      <c r="E492" s="2" t="str">
        <f>IF(DB_Artworks_Export!B492="","",DB_Artworks_Export!B492)</f>
        <v/>
      </c>
      <c r="F492" s="2" t="str">
        <f>IF(DB_Artworks_Export!C492="","",DB_Artworks_Export!C492)</f>
        <v/>
      </c>
      <c r="G492" s="2" t="str">
        <f>IF(DB_Artworks_Export!D492="","",DB_Artworks_Export!D492)</f>
        <v/>
      </c>
      <c r="H492" s="2" t="str">
        <f>IF(DB_Artworks_Export!E492="","",DB_Artworks_Export!E492)</f>
        <v/>
      </c>
      <c r="I492" s="2" t="str">
        <f>IF(DB_Artworks_Export!F492="","",DB_Artworks_Export!F492)</f>
        <v/>
      </c>
      <c r="J492" s="2" t="str">
        <f>IF(DB_Artworks_Export!G492="","",DB_Artworks_Export!G492)</f>
        <v/>
      </c>
      <c r="K492" s="2" t="str">
        <f>IF(DB_Artworks_Export!H492="","",DB_Artworks_Export!H492)</f>
        <v/>
      </c>
      <c r="L492" s="2" t="str">
        <f>IF(DB_Artworks_Export!I492="","",DB_Artworks_Export!I492)</f>
        <v/>
      </c>
      <c r="M492" s="2" t="str">
        <f>IF(DB_Artworks_Export!J492="","",DB_Artworks_Export!J492)</f>
        <v/>
      </c>
      <c r="N492" s="2" t="str">
        <f>IF(DB_Artworks_Export!K492="","",DB_Artworks_Export!K492)</f>
        <v/>
      </c>
      <c r="O492" s="2" t="str">
        <f>IF(DB_Artworks_Export!L492="","",DB_Artworks_Export!L492)</f>
        <v/>
      </c>
      <c r="P492" s="2" t="str">
        <f>IF(DB_Artworks_Export!M492="","",DB_Artworks_Export!M492)</f>
        <v/>
      </c>
      <c r="Q492" s="2" t="str">
        <f>IF(DB_Artworks_Export!N492="","",DB_Artworks_Export!N492)</f>
        <v/>
      </c>
      <c r="R492" s="2" t="str">
        <f>IF($D492="","",IF(COUNTIF(DB_Categories_Export!$A:$A,$F492)&gt;0,"OK","INVALID CATEGORY"))</f>
        <v/>
      </c>
      <c r="S492" s="2" t="str">
        <f>IF($D492="","",COUNTIF(DB_Artwork_Sizes_Export!$B:$B,$D492))</f>
        <v/>
      </c>
      <c r="T492" s="2" t="str">
        <f>IF($D492="","",IFERROR(INDEX(DB_Artwork_Sizes_Export!$D:$D,MATCH($D492,DB_Artwork_Sizes_Export!$B:$B,0)),""))</f>
        <v/>
      </c>
      <c r="U492" s="2" t="str">
        <f>IF($D492="","",IFERROR(INDEX(DB_Artwork_Sizes_Export!$E:$E,MATCH($D492,DB_Artwork_Sizes_Export!$B:$B,0)),""))</f>
        <v/>
      </c>
      <c r="V492" s="2" t="str">
        <f>IF($D492="","",IFERROR(INDEX(DB_Artwork_Sizes_Export!$F:$F,MATCH($D492,DB_Artwork_Sizes_Export!$B:$B,0)),""))</f>
        <v/>
      </c>
      <c r="W492" s="2" t="str">
        <f t="shared" si="72"/>
        <v/>
      </c>
      <c r="X492" s="2"/>
      <c r="Y492" s="2"/>
      <c r="Z492" s="2"/>
      <c r="AA492" s="2"/>
      <c r="AB492" s="2"/>
      <c r="AC492" s="2"/>
      <c r="AD492" s="2"/>
      <c r="AE492" s="2"/>
      <c r="AF492" s="2" t="str">
        <f t="shared" si="73"/>
        <v/>
      </c>
      <c r="AG492" s="2" t="str">
        <f t="shared" si="74"/>
        <v/>
      </c>
      <c r="AH492" s="2" t="str">
        <f>IF($AG492="","",IFERROR(VLOOKUP($AG492,DB_Categories_Export!$A:$B,2,FALSE()),"INVALID CATEGORY"))</f>
        <v/>
      </c>
      <c r="AI492" s="2" t="str">
        <f t="shared" si="75"/>
        <v/>
      </c>
      <c r="AJ492" s="2" t="str">
        <f t="shared" si="76"/>
        <v/>
      </c>
      <c r="AK492" s="2" t="str">
        <f t="shared" si="77"/>
        <v/>
      </c>
      <c r="AL492" s="2" t="str">
        <f t="shared" si="78"/>
        <v/>
      </c>
      <c r="AM492" s="2" t="str">
        <f t="shared" si="79"/>
        <v/>
      </c>
      <c r="AN492" s="2"/>
      <c r="AO492" s="2"/>
    </row>
    <row r="493" spans="1:41" ht="12" customHeight="1" x14ac:dyDescent="0.3">
      <c r="A493" s="2"/>
      <c r="B493" s="2" t="str">
        <f t="shared" si="70"/>
        <v/>
      </c>
      <c r="C493" s="2" t="str">
        <f t="shared" si="71"/>
        <v/>
      </c>
      <c r="D493" s="2" t="str">
        <f>IF(DB_Artworks_Export!A493="","",DB_Artworks_Export!A493)</f>
        <v/>
      </c>
      <c r="E493" s="2" t="str">
        <f>IF(DB_Artworks_Export!B493="","",DB_Artworks_Export!B493)</f>
        <v/>
      </c>
      <c r="F493" s="2" t="str">
        <f>IF(DB_Artworks_Export!C493="","",DB_Artworks_Export!C493)</f>
        <v/>
      </c>
      <c r="G493" s="2" t="str">
        <f>IF(DB_Artworks_Export!D493="","",DB_Artworks_Export!D493)</f>
        <v/>
      </c>
      <c r="H493" s="2" t="str">
        <f>IF(DB_Artworks_Export!E493="","",DB_Artworks_Export!E493)</f>
        <v/>
      </c>
      <c r="I493" s="2" t="str">
        <f>IF(DB_Artworks_Export!F493="","",DB_Artworks_Export!F493)</f>
        <v/>
      </c>
      <c r="J493" s="2" t="str">
        <f>IF(DB_Artworks_Export!G493="","",DB_Artworks_Export!G493)</f>
        <v/>
      </c>
      <c r="K493" s="2" t="str">
        <f>IF(DB_Artworks_Export!H493="","",DB_Artworks_Export!H493)</f>
        <v/>
      </c>
      <c r="L493" s="2" t="str">
        <f>IF(DB_Artworks_Export!I493="","",DB_Artworks_Export!I493)</f>
        <v/>
      </c>
      <c r="M493" s="2" t="str">
        <f>IF(DB_Artworks_Export!J493="","",DB_Artworks_Export!J493)</f>
        <v/>
      </c>
      <c r="N493" s="2" t="str">
        <f>IF(DB_Artworks_Export!K493="","",DB_Artworks_Export!K493)</f>
        <v/>
      </c>
      <c r="O493" s="2" t="str">
        <f>IF(DB_Artworks_Export!L493="","",DB_Artworks_Export!L493)</f>
        <v/>
      </c>
      <c r="P493" s="2" t="str">
        <f>IF(DB_Artworks_Export!M493="","",DB_Artworks_Export!M493)</f>
        <v/>
      </c>
      <c r="Q493" s="2" t="str">
        <f>IF(DB_Artworks_Export!N493="","",DB_Artworks_Export!N493)</f>
        <v/>
      </c>
      <c r="R493" s="2" t="str">
        <f>IF($D493="","",IF(COUNTIF(DB_Categories_Export!$A:$A,$F493)&gt;0,"OK","INVALID CATEGORY"))</f>
        <v/>
      </c>
      <c r="S493" s="2" t="str">
        <f>IF($D493="","",COUNTIF(DB_Artwork_Sizes_Export!$B:$B,$D493))</f>
        <v/>
      </c>
      <c r="T493" s="2" t="str">
        <f>IF($D493="","",IFERROR(INDEX(DB_Artwork_Sizes_Export!$D:$D,MATCH($D493,DB_Artwork_Sizes_Export!$B:$B,0)),""))</f>
        <v/>
      </c>
      <c r="U493" s="2" t="str">
        <f>IF($D493="","",IFERROR(INDEX(DB_Artwork_Sizes_Export!$E:$E,MATCH($D493,DB_Artwork_Sizes_Export!$B:$B,0)),""))</f>
        <v/>
      </c>
      <c r="V493" s="2" t="str">
        <f>IF($D493="","",IFERROR(INDEX(DB_Artwork_Sizes_Export!$F:$F,MATCH($D493,DB_Artwork_Sizes_Export!$B:$B,0)),""))</f>
        <v/>
      </c>
      <c r="W493" s="2" t="str">
        <f t="shared" si="72"/>
        <v/>
      </c>
      <c r="X493" s="2"/>
      <c r="Y493" s="2"/>
      <c r="Z493" s="2"/>
      <c r="AA493" s="2"/>
      <c r="AB493" s="2"/>
      <c r="AC493" s="2"/>
      <c r="AD493" s="2"/>
      <c r="AE493" s="2"/>
      <c r="AF493" s="2" t="str">
        <f t="shared" si="73"/>
        <v/>
      </c>
      <c r="AG493" s="2" t="str">
        <f t="shared" si="74"/>
        <v/>
      </c>
      <c r="AH493" s="2" t="str">
        <f>IF($AG493="","",IFERROR(VLOOKUP($AG493,DB_Categories_Export!$A:$B,2,FALSE()),"INVALID CATEGORY"))</f>
        <v/>
      </c>
      <c r="AI493" s="2" t="str">
        <f t="shared" si="75"/>
        <v/>
      </c>
      <c r="AJ493" s="2" t="str">
        <f t="shared" si="76"/>
        <v/>
      </c>
      <c r="AK493" s="2" t="str">
        <f t="shared" si="77"/>
        <v/>
      </c>
      <c r="AL493" s="2" t="str">
        <f t="shared" si="78"/>
        <v/>
      </c>
      <c r="AM493" s="2" t="str">
        <f t="shared" si="79"/>
        <v/>
      </c>
      <c r="AN493" s="2"/>
      <c r="AO493" s="2"/>
    </row>
    <row r="494" spans="1:41" ht="12" customHeight="1" x14ac:dyDescent="0.3">
      <c r="A494" s="2"/>
      <c r="B494" s="2" t="str">
        <f t="shared" si="70"/>
        <v/>
      </c>
      <c r="C494" s="2" t="str">
        <f t="shared" si="71"/>
        <v/>
      </c>
      <c r="D494" s="2" t="str">
        <f>IF(DB_Artworks_Export!A494="","",DB_Artworks_Export!A494)</f>
        <v/>
      </c>
      <c r="E494" s="2" t="str">
        <f>IF(DB_Artworks_Export!B494="","",DB_Artworks_Export!B494)</f>
        <v/>
      </c>
      <c r="F494" s="2" t="str">
        <f>IF(DB_Artworks_Export!C494="","",DB_Artworks_Export!C494)</f>
        <v/>
      </c>
      <c r="G494" s="2" t="str">
        <f>IF(DB_Artworks_Export!D494="","",DB_Artworks_Export!D494)</f>
        <v/>
      </c>
      <c r="H494" s="2" t="str">
        <f>IF(DB_Artworks_Export!E494="","",DB_Artworks_Export!E494)</f>
        <v/>
      </c>
      <c r="I494" s="2" t="str">
        <f>IF(DB_Artworks_Export!F494="","",DB_Artworks_Export!F494)</f>
        <v/>
      </c>
      <c r="J494" s="2" t="str">
        <f>IF(DB_Artworks_Export!G494="","",DB_Artworks_Export!G494)</f>
        <v/>
      </c>
      <c r="K494" s="2" t="str">
        <f>IF(DB_Artworks_Export!H494="","",DB_Artworks_Export!H494)</f>
        <v/>
      </c>
      <c r="L494" s="2" t="str">
        <f>IF(DB_Artworks_Export!I494="","",DB_Artworks_Export!I494)</f>
        <v/>
      </c>
      <c r="M494" s="2" t="str">
        <f>IF(DB_Artworks_Export!J494="","",DB_Artworks_Export!J494)</f>
        <v/>
      </c>
      <c r="N494" s="2" t="str">
        <f>IF(DB_Artworks_Export!K494="","",DB_Artworks_Export!K494)</f>
        <v/>
      </c>
      <c r="O494" s="2" t="str">
        <f>IF(DB_Artworks_Export!L494="","",DB_Artworks_Export!L494)</f>
        <v/>
      </c>
      <c r="P494" s="2" t="str">
        <f>IF(DB_Artworks_Export!M494="","",DB_Artworks_Export!M494)</f>
        <v/>
      </c>
      <c r="Q494" s="2" t="str">
        <f>IF(DB_Artworks_Export!N494="","",DB_Artworks_Export!N494)</f>
        <v/>
      </c>
      <c r="R494" s="2" t="str">
        <f>IF($D494="","",IF(COUNTIF(DB_Categories_Export!$A:$A,$F494)&gt;0,"OK","INVALID CATEGORY"))</f>
        <v/>
      </c>
      <c r="S494" s="2" t="str">
        <f>IF($D494="","",COUNTIF(DB_Artwork_Sizes_Export!$B:$B,$D494))</f>
        <v/>
      </c>
      <c r="T494" s="2" t="str">
        <f>IF($D494="","",IFERROR(INDEX(DB_Artwork_Sizes_Export!$D:$D,MATCH($D494,DB_Artwork_Sizes_Export!$B:$B,0)),""))</f>
        <v/>
      </c>
      <c r="U494" s="2" t="str">
        <f>IF($D494="","",IFERROR(INDEX(DB_Artwork_Sizes_Export!$E:$E,MATCH($D494,DB_Artwork_Sizes_Export!$B:$B,0)),""))</f>
        <v/>
      </c>
      <c r="V494" s="2" t="str">
        <f>IF($D494="","",IFERROR(INDEX(DB_Artwork_Sizes_Export!$F:$F,MATCH($D494,DB_Artwork_Sizes_Export!$B:$B,0)),""))</f>
        <v/>
      </c>
      <c r="W494" s="2" t="str">
        <f t="shared" si="72"/>
        <v/>
      </c>
      <c r="X494" s="2"/>
      <c r="Y494" s="2"/>
      <c r="Z494" s="2"/>
      <c r="AA494" s="2"/>
      <c r="AB494" s="2"/>
      <c r="AC494" s="2"/>
      <c r="AD494" s="2"/>
      <c r="AE494" s="2"/>
      <c r="AF494" s="2" t="str">
        <f t="shared" si="73"/>
        <v/>
      </c>
      <c r="AG494" s="2" t="str">
        <f t="shared" si="74"/>
        <v/>
      </c>
      <c r="AH494" s="2" t="str">
        <f>IF($AG494="","",IFERROR(VLOOKUP($AG494,DB_Categories_Export!$A:$B,2,FALSE()),"INVALID CATEGORY"))</f>
        <v/>
      </c>
      <c r="AI494" s="2" t="str">
        <f t="shared" si="75"/>
        <v/>
      </c>
      <c r="AJ494" s="2" t="str">
        <f t="shared" si="76"/>
        <v/>
      </c>
      <c r="AK494" s="2" t="str">
        <f t="shared" si="77"/>
        <v/>
      </c>
      <c r="AL494" s="2" t="str">
        <f t="shared" si="78"/>
        <v/>
      </c>
      <c r="AM494" s="2" t="str">
        <f t="shared" si="79"/>
        <v/>
      </c>
      <c r="AN494" s="2"/>
      <c r="AO494" s="2"/>
    </row>
    <row r="495" spans="1:41" ht="12" customHeight="1" x14ac:dyDescent="0.3">
      <c r="A495" s="2"/>
      <c r="B495" s="2" t="str">
        <f t="shared" si="70"/>
        <v/>
      </c>
      <c r="C495" s="2" t="str">
        <f t="shared" si="71"/>
        <v/>
      </c>
      <c r="D495" s="2" t="str">
        <f>IF(DB_Artworks_Export!A495="","",DB_Artworks_Export!A495)</f>
        <v/>
      </c>
      <c r="E495" s="2" t="str">
        <f>IF(DB_Artworks_Export!B495="","",DB_Artworks_Export!B495)</f>
        <v/>
      </c>
      <c r="F495" s="2" t="str">
        <f>IF(DB_Artworks_Export!C495="","",DB_Artworks_Export!C495)</f>
        <v/>
      </c>
      <c r="G495" s="2" t="str">
        <f>IF(DB_Artworks_Export!D495="","",DB_Artworks_Export!D495)</f>
        <v/>
      </c>
      <c r="H495" s="2" t="str">
        <f>IF(DB_Artworks_Export!E495="","",DB_Artworks_Export!E495)</f>
        <v/>
      </c>
      <c r="I495" s="2" t="str">
        <f>IF(DB_Artworks_Export!F495="","",DB_Artworks_Export!F495)</f>
        <v/>
      </c>
      <c r="J495" s="2" t="str">
        <f>IF(DB_Artworks_Export!G495="","",DB_Artworks_Export!G495)</f>
        <v/>
      </c>
      <c r="K495" s="2" t="str">
        <f>IF(DB_Artworks_Export!H495="","",DB_Artworks_Export!H495)</f>
        <v/>
      </c>
      <c r="L495" s="2" t="str">
        <f>IF(DB_Artworks_Export!I495="","",DB_Artworks_Export!I495)</f>
        <v/>
      </c>
      <c r="M495" s="2" t="str">
        <f>IF(DB_Artworks_Export!J495="","",DB_Artworks_Export!J495)</f>
        <v/>
      </c>
      <c r="N495" s="2" t="str">
        <f>IF(DB_Artworks_Export!K495="","",DB_Artworks_Export!K495)</f>
        <v/>
      </c>
      <c r="O495" s="2" t="str">
        <f>IF(DB_Artworks_Export!L495="","",DB_Artworks_Export!L495)</f>
        <v/>
      </c>
      <c r="P495" s="2" t="str">
        <f>IF(DB_Artworks_Export!M495="","",DB_Artworks_Export!M495)</f>
        <v/>
      </c>
      <c r="Q495" s="2" t="str">
        <f>IF(DB_Artworks_Export!N495="","",DB_Artworks_Export!N495)</f>
        <v/>
      </c>
      <c r="R495" s="2" t="str">
        <f>IF($D495="","",IF(COUNTIF(DB_Categories_Export!$A:$A,$F495)&gt;0,"OK","INVALID CATEGORY"))</f>
        <v/>
      </c>
      <c r="S495" s="2" t="str">
        <f>IF($D495="","",COUNTIF(DB_Artwork_Sizes_Export!$B:$B,$D495))</f>
        <v/>
      </c>
      <c r="T495" s="2" t="str">
        <f>IF($D495="","",IFERROR(INDEX(DB_Artwork_Sizes_Export!$D:$D,MATCH($D495,DB_Artwork_Sizes_Export!$B:$B,0)),""))</f>
        <v/>
      </c>
      <c r="U495" s="2" t="str">
        <f>IF($D495="","",IFERROR(INDEX(DB_Artwork_Sizes_Export!$E:$E,MATCH($D495,DB_Artwork_Sizes_Export!$B:$B,0)),""))</f>
        <v/>
      </c>
      <c r="V495" s="2" t="str">
        <f>IF($D495="","",IFERROR(INDEX(DB_Artwork_Sizes_Export!$F:$F,MATCH($D495,DB_Artwork_Sizes_Export!$B:$B,0)),""))</f>
        <v/>
      </c>
      <c r="W495" s="2" t="str">
        <f t="shared" si="72"/>
        <v/>
      </c>
      <c r="X495" s="2"/>
      <c r="Y495" s="2"/>
      <c r="Z495" s="2"/>
      <c r="AA495" s="2"/>
      <c r="AB495" s="2"/>
      <c r="AC495" s="2"/>
      <c r="AD495" s="2"/>
      <c r="AE495" s="2"/>
      <c r="AF495" s="2" t="str">
        <f t="shared" si="73"/>
        <v/>
      </c>
      <c r="AG495" s="2" t="str">
        <f t="shared" si="74"/>
        <v/>
      </c>
      <c r="AH495" s="2" t="str">
        <f>IF($AG495="","",IFERROR(VLOOKUP($AG495,DB_Categories_Export!$A:$B,2,FALSE()),"INVALID CATEGORY"))</f>
        <v/>
      </c>
      <c r="AI495" s="2" t="str">
        <f t="shared" si="75"/>
        <v/>
      </c>
      <c r="AJ495" s="2" t="str">
        <f t="shared" si="76"/>
        <v/>
      </c>
      <c r="AK495" s="2" t="str">
        <f t="shared" si="77"/>
        <v/>
      </c>
      <c r="AL495" s="2" t="str">
        <f t="shared" si="78"/>
        <v/>
      </c>
      <c r="AM495" s="2" t="str">
        <f t="shared" si="79"/>
        <v/>
      </c>
      <c r="AN495" s="2"/>
      <c r="AO495" s="2"/>
    </row>
    <row r="496" spans="1:41" ht="12" customHeight="1" x14ac:dyDescent="0.3">
      <c r="A496" s="2"/>
      <c r="B496" s="2" t="str">
        <f t="shared" si="70"/>
        <v/>
      </c>
      <c r="C496" s="2" t="str">
        <f t="shared" si="71"/>
        <v/>
      </c>
      <c r="D496" s="2" t="str">
        <f>IF(DB_Artworks_Export!A496="","",DB_Artworks_Export!A496)</f>
        <v/>
      </c>
      <c r="E496" s="2" t="str">
        <f>IF(DB_Artworks_Export!B496="","",DB_Artworks_Export!B496)</f>
        <v/>
      </c>
      <c r="F496" s="2" t="str">
        <f>IF(DB_Artworks_Export!C496="","",DB_Artworks_Export!C496)</f>
        <v/>
      </c>
      <c r="G496" s="2" t="str">
        <f>IF(DB_Artworks_Export!D496="","",DB_Artworks_Export!D496)</f>
        <v/>
      </c>
      <c r="H496" s="2" t="str">
        <f>IF(DB_Artworks_Export!E496="","",DB_Artworks_Export!E496)</f>
        <v/>
      </c>
      <c r="I496" s="2" t="str">
        <f>IF(DB_Artworks_Export!F496="","",DB_Artworks_Export!F496)</f>
        <v/>
      </c>
      <c r="J496" s="2" t="str">
        <f>IF(DB_Artworks_Export!G496="","",DB_Artworks_Export!G496)</f>
        <v/>
      </c>
      <c r="K496" s="2" t="str">
        <f>IF(DB_Artworks_Export!H496="","",DB_Artworks_Export!H496)</f>
        <v/>
      </c>
      <c r="L496" s="2" t="str">
        <f>IF(DB_Artworks_Export!I496="","",DB_Artworks_Export!I496)</f>
        <v/>
      </c>
      <c r="M496" s="2" t="str">
        <f>IF(DB_Artworks_Export!J496="","",DB_Artworks_Export!J496)</f>
        <v/>
      </c>
      <c r="N496" s="2" t="str">
        <f>IF(DB_Artworks_Export!K496="","",DB_Artworks_Export!K496)</f>
        <v/>
      </c>
      <c r="O496" s="2" t="str">
        <f>IF(DB_Artworks_Export!L496="","",DB_Artworks_Export!L496)</f>
        <v/>
      </c>
      <c r="P496" s="2" t="str">
        <f>IF(DB_Artworks_Export!M496="","",DB_Artworks_Export!M496)</f>
        <v/>
      </c>
      <c r="Q496" s="2" t="str">
        <f>IF(DB_Artworks_Export!N496="","",DB_Artworks_Export!N496)</f>
        <v/>
      </c>
      <c r="R496" s="2" t="str">
        <f>IF($D496="","",IF(COUNTIF(DB_Categories_Export!$A:$A,$F496)&gt;0,"OK","INVALID CATEGORY"))</f>
        <v/>
      </c>
      <c r="S496" s="2" t="str">
        <f>IF($D496="","",COUNTIF(DB_Artwork_Sizes_Export!$B:$B,$D496))</f>
        <v/>
      </c>
      <c r="T496" s="2" t="str">
        <f>IF($D496="","",IFERROR(INDEX(DB_Artwork_Sizes_Export!$D:$D,MATCH($D496,DB_Artwork_Sizes_Export!$B:$B,0)),""))</f>
        <v/>
      </c>
      <c r="U496" s="2" t="str">
        <f>IF($D496="","",IFERROR(INDEX(DB_Artwork_Sizes_Export!$E:$E,MATCH($D496,DB_Artwork_Sizes_Export!$B:$B,0)),""))</f>
        <v/>
      </c>
      <c r="V496" s="2" t="str">
        <f>IF($D496="","",IFERROR(INDEX(DB_Artwork_Sizes_Export!$F:$F,MATCH($D496,DB_Artwork_Sizes_Export!$B:$B,0)),""))</f>
        <v/>
      </c>
      <c r="W496" s="2" t="str">
        <f t="shared" si="72"/>
        <v/>
      </c>
      <c r="X496" s="2"/>
      <c r="Y496" s="2"/>
      <c r="Z496" s="2"/>
      <c r="AA496" s="2"/>
      <c r="AB496" s="2"/>
      <c r="AC496" s="2"/>
      <c r="AD496" s="2"/>
      <c r="AE496" s="2"/>
      <c r="AF496" s="2" t="str">
        <f t="shared" si="73"/>
        <v/>
      </c>
      <c r="AG496" s="2" t="str">
        <f t="shared" si="74"/>
        <v/>
      </c>
      <c r="AH496" s="2" t="str">
        <f>IF($AG496="","",IFERROR(VLOOKUP($AG496,DB_Categories_Export!$A:$B,2,FALSE()),"INVALID CATEGORY"))</f>
        <v/>
      </c>
      <c r="AI496" s="2" t="str">
        <f t="shared" si="75"/>
        <v/>
      </c>
      <c r="AJ496" s="2" t="str">
        <f t="shared" si="76"/>
        <v/>
      </c>
      <c r="AK496" s="2" t="str">
        <f t="shared" si="77"/>
        <v/>
      </c>
      <c r="AL496" s="2" t="str">
        <f t="shared" si="78"/>
        <v/>
      </c>
      <c r="AM496" s="2" t="str">
        <f t="shared" si="79"/>
        <v/>
      </c>
      <c r="AN496" s="2"/>
      <c r="AO496" s="2"/>
    </row>
    <row r="497" spans="1:41" ht="12" customHeight="1" x14ac:dyDescent="0.3">
      <c r="A497" s="2"/>
      <c r="B497" s="2" t="str">
        <f t="shared" si="70"/>
        <v/>
      </c>
      <c r="C497" s="2" t="str">
        <f t="shared" si="71"/>
        <v/>
      </c>
      <c r="D497" s="2" t="str">
        <f>IF(DB_Artworks_Export!A497="","",DB_Artworks_Export!A497)</f>
        <v/>
      </c>
      <c r="E497" s="2" t="str">
        <f>IF(DB_Artworks_Export!B497="","",DB_Artworks_Export!B497)</f>
        <v/>
      </c>
      <c r="F497" s="2" t="str">
        <f>IF(DB_Artworks_Export!C497="","",DB_Artworks_Export!C497)</f>
        <v/>
      </c>
      <c r="G497" s="2" t="str">
        <f>IF(DB_Artworks_Export!D497="","",DB_Artworks_Export!D497)</f>
        <v/>
      </c>
      <c r="H497" s="2" t="str">
        <f>IF(DB_Artworks_Export!E497="","",DB_Artworks_Export!E497)</f>
        <v/>
      </c>
      <c r="I497" s="2" t="str">
        <f>IF(DB_Artworks_Export!F497="","",DB_Artworks_Export!F497)</f>
        <v/>
      </c>
      <c r="J497" s="2" t="str">
        <f>IF(DB_Artworks_Export!G497="","",DB_Artworks_Export!G497)</f>
        <v/>
      </c>
      <c r="K497" s="2" t="str">
        <f>IF(DB_Artworks_Export!H497="","",DB_Artworks_Export!H497)</f>
        <v/>
      </c>
      <c r="L497" s="2" t="str">
        <f>IF(DB_Artworks_Export!I497="","",DB_Artworks_Export!I497)</f>
        <v/>
      </c>
      <c r="M497" s="2" t="str">
        <f>IF(DB_Artworks_Export!J497="","",DB_Artworks_Export!J497)</f>
        <v/>
      </c>
      <c r="N497" s="2" t="str">
        <f>IF(DB_Artworks_Export!K497="","",DB_Artworks_Export!K497)</f>
        <v/>
      </c>
      <c r="O497" s="2" t="str">
        <f>IF(DB_Artworks_Export!L497="","",DB_Artworks_Export!L497)</f>
        <v/>
      </c>
      <c r="P497" s="2" t="str">
        <f>IF(DB_Artworks_Export!M497="","",DB_Artworks_Export!M497)</f>
        <v/>
      </c>
      <c r="Q497" s="2" t="str">
        <f>IF(DB_Artworks_Export!N497="","",DB_Artworks_Export!N497)</f>
        <v/>
      </c>
      <c r="R497" s="2" t="str">
        <f>IF($D497="","",IF(COUNTIF(DB_Categories_Export!$A:$A,$F497)&gt;0,"OK","INVALID CATEGORY"))</f>
        <v/>
      </c>
      <c r="S497" s="2" t="str">
        <f>IF($D497="","",COUNTIF(DB_Artwork_Sizes_Export!$B:$B,$D497))</f>
        <v/>
      </c>
      <c r="T497" s="2" t="str">
        <f>IF($D497="","",IFERROR(INDEX(DB_Artwork_Sizes_Export!$D:$D,MATCH($D497,DB_Artwork_Sizes_Export!$B:$B,0)),""))</f>
        <v/>
      </c>
      <c r="U497" s="2" t="str">
        <f>IF($D497="","",IFERROR(INDEX(DB_Artwork_Sizes_Export!$E:$E,MATCH($D497,DB_Artwork_Sizes_Export!$B:$B,0)),""))</f>
        <v/>
      </c>
      <c r="V497" s="2" t="str">
        <f>IF($D497="","",IFERROR(INDEX(DB_Artwork_Sizes_Export!$F:$F,MATCH($D497,DB_Artwork_Sizes_Export!$B:$B,0)),""))</f>
        <v/>
      </c>
      <c r="W497" s="2" t="str">
        <f t="shared" si="72"/>
        <v/>
      </c>
      <c r="X497" s="2"/>
      <c r="Y497" s="2"/>
      <c r="Z497" s="2"/>
      <c r="AA497" s="2"/>
      <c r="AB497" s="2"/>
      <c r="AC497" s="2"/>
      <c r="AD497" s="2"/>
      <c r="AE497" s="2"/>
      <c r="AF497" s="2" t="str">
        <f t="shared" si="73"/>
        <v/>
      </c>
      <c r="AG497" s="2" t="str">
        <f t="shared" si="74"/>
        <v/>
      </c>
      <c r="AH497" s="2" t="str">
        <f>IF($AG497="","",IFERROR(VLOOKUP($AG497,DB_Categories_Export!$A:$B,2,FALSE()),"INVALID CATEGORY"))</f>
        <v/>
      </c>
      <c r="AI497" s="2" t="str">
        <f t="shared" si="75"/>
        <v/>
      </c>
      <c r="AJ497" s="2" t="str">
        <f t="shared" si="76"/>
        <v/>
      </c>
      <c r="AK497" s="2" t="str">
        <f t="shared" si="77"/>
        <v/>
      </c>
      <c r="AL497" s="2" t="str">
        <f t="shared" si="78"/>
        <v/>
      </c>
      <c r="AM497" s="2" t="str">
        <f t="shared" si="79"/>
        <v/>
      </c>
      <c r="AN497" s="2"/>
      <c r="AO497" s="2"/>
    </row>
    <row r="498" spans="1:41" ht="12" customHeight="1" x14ac:dyDescent="0.3">
      <c r="A498" s="2"/>
      <c r="B498" s="2" t="str">
        <f t="shared" si="70"/>
        <v/>
      </c>
      <c r="C498" s="2" t="str">
        <f t="shared" si="71"/>
        <v/>
      </c>
      <c r="D498" s="2" t="str">
        <f>IF(DB_Artworks_Export!A498="","",DB_Artworks_Export!A498)</f>
        <v/>
      </c>
      <c r="E498" s="2" t="str">
        <f>IF(DB_Artworks_Export!B498="","",DB_Artworks_Export!B498)</f>
        <v/>
      </c>
      <c r="F498" s="2" t="str">
        <f>IF(DB_Artworks_Export!C498="","",DB_Artworks_Export!C498)</f>
        <v/>
      </c>
      <c r="G498" s="2" t="str">
        <f>IF(DB_Artworks_Export!D498="","",DB_Artworks_Export!D498)</f>
        <v/>
      </c>
      <c r="H498" s="2" t="str">
        <f>IF(DB_Artworks_Export!E498="","",DB_Artworks_Export!E498)</f>
        <v/>
      </c>
      <c r="I498" s="2" t="str">
        <f>IF(DB_Artworks_Export!F498="","",DB_Artworks_Export!F498)</f>
        <v/>
      </c>
      <c r="J498" s="2" t="str">
        <f>IF(DB_Artworks_Export!G498="","",DB_Artworks_Export!G498)</f>
        <v/>
      </c>
      <c r="K498" s="2" t="str">
        <f>IF(DB_Artworks_Export!H498="","",DB_Artworks_Export!H498)</f>
        <v/>
      </c>
      <c r="L498" s="2" t="str">
        <f>IF(DB_Artworks_Export!I498="","",DB_Artworks_Export!I498)</f>
        <v/>
      </c>
      <c r="M498" s="2" t="str">
        <f>IF(DB_Artworks_Export!J498="","",DB_Artworks_Export!J498)</f>
        <v/>
      </c>
      <c r="N498" s="2" t="str">
        <f>IF(DB_Artworks_Export!K498="","",DB_Artworks_Export!K498)</f>
        <v/>
      </c>
      <c r="O498" s="2" t="str">
        <f>IF(DB_Artworks_Export!L498="","",DB_Artworks_Export!L498)</f>
        <v/>
      </c>
      <c r="P498" s="2" t="str">
        <f>IF(DB_Artworks_Export!M498="","",DB_Artworks_Export!M498)</f>
        <v/>
      </c>
      <c r="Q498" s="2" t="str">
        <f>IF(DB_Artworks_Export!N498="","",DB_Artworks_Export!N498)</f>
        <v/>
      </c>
      <c r="R498" s="2" t="str">
        <f>IF($D498="","",IF(COUNTIF(DB_Categories_Export!$A:$A,$F498)&gt;0,"OK","INVALID CATEGORY"))</f>
        <v/>
      </c>
      <c r="S498" s="2" t="str">
        <f>IF($D498="","",COUNTIF(DB_Artwork_Sizes_Export!$B:$B,$D498))</f>
        <v/>
      </c>
      <c r="T498" s="2" t="str">
        <f>IF($D498="","",IFERROR(INDEX(DB_Artwork_Sizes_Export!$D:$D,MATCH($D498,DB_Artwork_Sizes_Export!$B:$B,0)),""))</f>
        <v/>
      </c>
      <c r="U498" s="2" t="str">
        <f>IF($D498="","",IFERROR(INDEX(DB_Artwork_Sizes_Export!$E:$E,MATCH($D498,DB_Artwork_Sizes_Export!$B:$B,0)),""))</f>
        <v/>
      </c>
      <c r="V498" s="2" t="str">
        <f>IF($D498="","",IFERROR(INDEX(DB_Artwork_Sizes_Export!$F:$F,MATCH($D498,DB_Artwork_Sizes_Export!$B:$B,0)),""))</f>
        <v/>
      </c>
      <c r="W498" s="2" t="str">
        <f t="shared" si="72"/>
        <v/>
      </c>
      <c r="X498" s="2"/>
      <c r="Y498" s="2"/>
      <c r="Z498" s="2"/>
      <c r="AA498" s="2"/>
      <c r="AB498" s="2"/>
      <c r="AC498" s="2"/>
      <c r="AD498" s="2"/>
      <c r="AE498" s="2"/>
      <c r="AF498" s="2" t="str">
        <f t="shared" si="73"/>
        <v/>
      </c>
      <c r="AG498" s="2" t="str">
        <f t="shared" si="74"/>
        <v/>
      </c>
      <c r="AH498" s="2" t="str">
        <f>IF($AG498="","",IFERROR(VLOOKUP($AG498,DB_Categories_Export!$A:$B,2,FALSE()),"INVALID CATEGORY"))</f>
        <v/>
      </c>
      <c r="AI498" s="2" t="str">
        <f t="shared" si="75"/>
        <v/>
      </c>
      <c r="AJ498" s="2" t="str">
        <f t="shared" si="76"/>
        <v/>
      </c>
      <c r="AK498" s="2" t="str">
        <f t="shared" si="77"/>
        <v/>
      </c>
      <c r="AL498" s="2" t="str">
        <f t="shared" si="78"/>
        <v/>
      </c>
      <c r="AM498" s="2" t="str">
        <f t="shared" si="79"/>
        <v/>
      </c>
      <c r="AN498" s="2"/>
      <c r="AO498" s="2"/>
    </row>
    <row r="499" spans="1:41" ht="12" customHeight="1" x14ac:dyDescent="0.3">
      <c r="A499" s="2"/>
      <c r="B499" s="2" t="str">
        <f t="shared" si="70"/>
        <v/>
      </c>
      <c r="C499" s="2" t="str">
        <f t="shared" si="71"/>
        <v/>
      </c>
      <c r="D499" s="2" t="str">
        <f>IF(DB_Artworks_Export!A499="","",DB_Artworks_Export!A499)</f>
        <v/>
      </c>
      <c r="E499" s="2" t="str">
        <f>IF(DB_Artworks_Export!B499="","",DB_Artworks_Export!B499)</f>
        <v/>
      </c>
      <c r="F499" s="2" t="str">
        <f>IF(DB_Artworks_Export!C499="","",DB_Artworks_Export!C499)</f>
        <v/>
      </c>
      <c r="G499" s="2" t="str">
        <f>IF(DB_Artworks_Export!D499="","",DB_Artworks_Export!D499)</f>
        <v/>
      </c>
      <c r="H499" s="2" t="str">
        <f>IF(DB_Artworks_Export!E499="","",DB_Artworks_Export!E499)</f>
        <v/>
      </c>
      <c r="I499" s="2" t="str">
        <f>IF(DB_Artworks_Export!F499="","",DB_Artworks_Export!F499)</f>
        <v/>
      </c>
      <c r="J499" s="2" t="str">
        <f>IF(DB_Artworks_Export!G499="","",DB_Artworks_Export!G499)</f>
        <v/>
      </c>
      <c r="K499" s="2" t="str">
        <f>IF(DB_Artworks_Export!H499="","",DB_Artworks_Export!H499)</f>
        <v/>
      </c>
      <c r="L499" s="2" t="str">
        <f>IF(DB_Artworks_Export!I499="","",DB_Artworks_Export!I499)</f>
        <v/>
      </c>
      <c r="M499" s="2" t="str">
        <f>IF(DB_Artworks_Export!J499="","",DB_Artworks_Export!J499)</f>
        <v/>
      </c>
      <c r="N499" s="2" t="str">
        <f>IF(DB_Artworks_Export!K499="","",DB_Artworks_Export!K499)</f>
        <v/>
      </c>
      <c r="O499" s="2" t="str">
        <f>IF(DB_Artworks_Export!L499="","",DB_Artworks_Export!L499)</f>
        <v/>
      </c>
      <c r="P499" s="2" t="str">
        <f>IF(DB_Artworks_Export!M499="","",DB_Artworks_Export!M499)</f>
        <v/>
      </c>
      <c r="Q499" s="2" t="str">
        <f>IF(DB_Artworks_Export!N499="","",DB_Artworks_Export!N499)</f>
        <v/>
      </c>
      <c r="R499" s="2" t="str">
        <f>IF($D499="","",IF(COUNTIF(DB_Categories_Export!$A:$A,$F499)&gt;0,"OK","INVALID CATEGORY"))</f>
        <v/>
      </c>
      <c r="S499" s="2" t="str">
        <f>IF($D499="","",COUNTIF(DB_Artwork_Sizes_Export!$B:$B,$D499))</f>
        <v/>
      </c>
      <c r="T499" s="2" t="str">
        <f>IF($D499="","",IFERROR(INDEX(DB_Artwork_Sizes_Export!$D:$D,MATCH($D499,DB_Artwork_Sizes_Export!$B:$B,0)),""))</f>
        <v/>
      </c>
      <c r="U499" s="2" t="str">
        <f>IF($D499="","",IFERROR(INDEX(DB_Artwork_Sizes_Export!$E:$E,MATCH($D499,DB_Artwork_Sizes_Export!$B:$B,0)),""))</f>
        <v/>
      </c>
      <c r="V499" s="2" t="str">
        <f>IF($D499="","",IFERROR(INDEX(DB_Artwork_Sizes_Export!$F:$F,MATCH($D499,DB_Artwork_Sizes_Export!$B:$B,0)),""))</f>
        <v/>
      </c>
      <c r="W499" s="2" t="str">
        <f t="shared" si="72"/>
        <v/>
      </c>
      <c r="X499" s="2"/>
      <c r="Y499" s="2"/>
      <c r="Z499" s="2"/>
      <c r="AA499" s="2"/>
      <c r="AB499" s="2"/>
      <c r="AC499" s="2"/>
      <c r="AD499" s="2"/>
      <c r="AE499" s="2"/>
      <c r="AF499" s="2" t="str">
        <f t="shared" si="73"/>
        <v/>
      </c>
      <c r="AG499" s="2" t="str">
        <f t="shared" si="74"/>
        <v/>
      </c>
      <c r="AH499" s="2" t="str">
        <f>IF($AG499="","",IFERROR(VLOOKUP($AG499,DB_Categories_Export!$A:$B,2,FALSE()),"INVALID CATEGORY"))</f>
        <v/>
      </c>
      <c r="AI499" s="2" t="str">
        <f t="shared" si="75"/>
        <v/>
      </c>
      <c r="AJ499" s="2" t="str">
        <f t="shared" si="76"/>
        <v/>
      </c>
      <c r="AK499" s="2" t="str">
        <f t="shared" si="77"/>
        <v/>
      </c>
      <c r="AL499" s="2" t="str">
        <f t="shared" si="78"/>
        <v/>
      </c>
      <c r="AM499" s="2" t="str">
        <f t="shared" si="79"/>
        <v/>
      </c>
      <c r="AN499" s="2"/>
      <c r="AO499" s="2"/>
    </row>
    <row r="500" spans="1:41" ht="12" customHeight="1" x14ac:dyDescent="0.3">
      <c r="A500" s="2"/>
      <c r="B500" s="2" t="str">
        <f t="shared" si="70"/>
        <v/>
      </c>
      <c r="C500" s="2" t="str">
        <f t="shared" si="71"/>
        <v/>
      </c>
      <c r="D500" s="2" t="str">
        <f>IF(DB_Artworks_Export!A500="","",DB_Artworks_Export!A500)</f>
        <v/>
      </c>
      <c r="E500" s="2" t="str">
        <f>IF(DB_Artworks_Export!B500="","",DB_Artworks_Export!B500)</f>
        <v/>
      </c>
      <c r="F500" s="2" t="str">
        <f>IF(DB_Artworks_Export!C500="","",DB_Artworks_Export!C500)</f>
        <v/>
      </c>
      <c r="G500" s="2" t="str">
        <f>IF(DB_Artworks_Export!D500="","",DB_Artworks_Export!D500)</f>
        <v/>
      </c>
      <c r="H500" s="2" t="str">
        <f>IF(DB_Artworks_Export!E500="","",DB_Artworks_Export!E500)</f>
        <v/>
      </c>
      <c r="I500" s="2" t="str">
        <f>IF(DB_Artworks_Export!F500="","",DB_Artworks_Export!F500)</f>
        <v/>
      </c>
      <c r="J500" s="2" t="str">
        <f>IF(DB_Artworks_Export!G500="","",DB_Artworks_Export!G500)</f>
        <v/>
      </c>
      <c r="K500" s="2" t="str">
        <f>IF(DB_Artworks_Export!H500="","",DB_Artworks_Export!H500)</f>
        <v/>
      </c>
      <c r="L500" s="2" t="str">
        <f>IF(DB_Artworks_Export!I500="","",DB_Artworks_Export!I500)</f>
        <v/>
      </c>
      <c r="M500" s="2" t="str">
        <f>IF(DB_Artworks_Export!J500="","",DB_Artworks_Export!J500)</f>
        <v/>
      </c>
      <c r="N500" s="2" t="str">
        <f>IF(DB_Artworks_Export!K500="","",DB_Artworks_Export!K500)</f>
        <v/>
      </c>
      <c r="O500" s="2" t="str">
        <f>IF(DB_Artworks_Export!L500="","",DB_Artworks_Export!L500)</f>
        <v/>
      </c>
      <c r="P500" s="2" t="str">
        <f>IF(DB_Artworks_Export!M500="","",DB_Artworks_Export!M500)</f>
        <v/>
      </c>
      <c r="Q500" s="2" t="str">
        <f>IF(DB_Artworks_Export!N500="","",DB_Artworks_Export!N500)</f>
        <v/>
      </c>
      <c r="R500" s="2" t="str">
        <f>IF($D500="","",IF(COUNTIF(DB_Categories_Export!$A:$A,$F500)&gt;0,"OK","INVALID CATEGORY"))</f>
        <v/>
      </c>
      <c r="S500" s="2" t="str">
        <f>IF($D500="","",COUNTIF(DB_Artwork_Sizes_Export!$B:$B,$D500))</f>
        <v/>
      </c>
      <c r="T500" s="2" t="str">
        <f>IF($D500="","",IFERROR(INDEX(DB_Artwork_Sizes_Export!$D:$D,MATCH($D500,DB_Artwork_Sizes_Export!$B:$B,0)),""))</f>
        <v/>
      </c>
      <c r="U500" s="2" t="str">
        <f>IF($D500="","",IFERROR(INDEX(DB_Artwork_Sizes_Export!$E:$E,MATCH($D500,DB_Artwork_Sizes_Export!$B:$B,0)),""))</f>
        <v/>
      </c>
      <c r="V500" s="2" t="str">
        <f>IF($D500="","",IFERROR(INDEX(DB_Artwork_Sizes_Export!$F:$F,MATCH($D500,DB_Artwork_Sizes_Export!$B:$B,0)),""))</f>
        <v/>
      </c>
      <c r="W500" s="2" t="str">
        <f t="shared" si="72"/>
        <v/>
      </c>
      <c r="X500" s="2"/>
      <c r="Y500" s="2"/>
      <c r="Z500" s="2"/>
      <c r="AA500" s="2"/>
      <c r="AB500" s="2"/>
      <c r="AC500" s="2"/>
      <c r="AD500" s="2"/>
      <c r="AE500" s="2"/>
      <c r="AF500" s="2" t="str">
        <f t="shared" si="73"/>
        <v/>
      </c>
      <c r="AG500" s="2" t="str">
        <f t="shared" si="74"/>
        <v/>
      </c>
      <c r="AH500" s="2" t="str">
        <f>IF($AG500="","",IFERROR(VLOOKUP($AG500,DB_Categories_Export!$A:$B,2,FALSE()),"INVALID CATEGORY"))</f>
        <v/>
      </c>
      <c r="AI500" s="2" t="str">
        <f t="shared" si="75"/>
        <v/>
      </c>
      <c r="AJ500" s="2" t="str">
        <f t="shared" si="76"/>
        <v/>
      </c>
      <c r="AK500" s="2" t="str">
        <f t="shared" si="77"/>
        <v/>
      </c>
      <c r="AL500" s="2" t="str">
        <f t="shared" si="78"/>
        <v/>
      </c>
      <c r="AM500" s="2" t="str">
        <f t="shared" si="79"/>
        <v/>
      </c>
      <c r="AN500" s="2"/>
      <c r="AO500" s="2"/>
    </row>
  </sheetData>
  <conditionalFormatting sqref="C2:C500">
    <cfRule type="expression" dxfId="5" priority="2">
      <formula>$C2="ERROR"</formula>
    </cfRule>
    <cfRule type="expression" dxfId="4" priority="3">
      <formula>$C2="WARNING"</formula>
    </cfRule>
    <cfRule type="expression" dxfId="3" priority="4">
      <formula>$C2="PASS"</formula>
    </cfRule>
  </conditionalFormatting>
  <conditionalFormatting sqref="R2:R500">
    <cfRule type="expression" dxfId="2" priority="5">
      <formula>$R2&lt;&gt;"OK"</formula>
    </cfRule>
  </conditionalFormatting>
  <conditionalFormatting sqref="W2:W500">
    <cfRule type="expression" dxfId="1" priority="6">
      <formula>$W2&lt;&gt;"OK"</formula>
    </cfRule>
  </conditionalFormatting>
  <dataValidations count="2">
    <dataValidation type="list" sqref="A2:A500" xr:uid="{00000000-0002-0000-0500-000000000000}">
      <formula1>"CREATE,UPDATE,NO_CHANGE,ARCHIVE,REVIEW"</formula1>
      <formula2>0</formula2>
    </dataValidation>
    <dataValidation type="list" sqref="AD2:AD500" xr:uid="{00000000-0002-0000-0500-000001000000}">
      <formula1>"TRUE,FALSE"</formula1>
      <formula2>0</formula2>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00"/>
  <sheetViews>
    <sheetView workbookViewId="0"/>
  </sheetViews>
  <sheetFormatPr defaultColWidth="8.6640625" defaultRowHeight="13.2" x14ac:dyDescent="0.25"/>
  <cols>
    <col min="1" max="1" width="24" customWidth="1"/>
    <col min="2" max="2" width="38" customWidth="1"/>
    <col min="3" max="4" width="18" customWidth="1"/>
    <col min="5" max="5" width="22" customWidth="1"/>
    <col min="6" max="6" width="50" customWidth="1"/>
    <col min="7" max="7" width="24" customWidth="1"/>
    <col min="8" max="8" width="22" customWidth="1"/>
    <col min="9" max="9" width="16" customWidth="1"/>
    <col min="10" max="10" width="20" customWidth="1"/>
  </cols>
  <sheetData>
    <row r="1" spans="1:10" ht="28.8" customHeight="1" x14ac:dyDescent="0.25">
      <c r="A1" s="3" t="s">
        <v>573</v>
      </c>
      <c r="B1" s="3" t="s">
        <v>574</v>
      </c>
      <c r="C1" s="3" t="s">
        <v>528</v>
      </c>
      <c r="D1" s="3" t="s">
        <v>543</v>
      </c>
      <c r="E1" s="3" t="s">
        <v>548</v>
      </c>
      <c r="F1" s="3" t="s">
        <v>575</v>
      </c>
      <c r="G1" s="3" t="s">
        <v>576</v>
      </c>
      <c r="H1" s="3" t="s">
        <v>577</v>
      </c>
      <c r="I1" s="3" t="s">
        <v>578</v>
      </c>
      <c r="J1" s="3" t="s">
        <v>527</v>
      </c>
    </row>
    <row r="2" spans="1:10" ht="22.2" customHeight="1" x14ac:dyDescent="0.3">
      <c r="A2" s="2" t="s">
        <v>62</v>
      </c>
      <c r="B2" s="2" t="s">
        <v>63</v>
      </c>
      <c r="C2" s="2" t="s">
        <v>579</v>
      </c>
      <c r="D2" s="2" t="s">
        <v>580</v>
      </c>
      <c r="E2" s="2" t="s">
        <v>581</v>
      </c>
      <c r="F2" s="2" t="s">
        <v>582</v>
      </c>
      <c r="G2" s="2" t="s">
        <v>583</v>
      </c>
      <c r="H2" s="2" t="s">
        <v>584</v>
      </c>
      <c r="I2" s="2" t="s">
        <v>585</v>
      </c>
      <c r="J2" s="2" t="s">
        <v>586</v>
      </c>
    </row>
    <row r="3" spans="1:10" ht="22.2" customHeight="1" x14ac:dyDescent="0.3">
      <c r="A3" s="2" t="s">
        <v>76</v>
      </c>
      <c r="B3" s="2" t="s">
        <v>77</v>
      </c>
      <c r="C3" s="2" t="s">
        <v>587</v>
      </c>
      <c r="D3" s="2" t="s">
        <v>580</v>
      </c>
      <c r="E3" s="2" t="s">
        <v>580</v>
      </c>
      <c r="F3" s="2"/>
      <c r="G3" s="2" t="s">
        <v>588</v>
      </c>
      <c r="H3" s="2"/>
      <c r="I3" s="2"/>
      <c r="J3" s="2"/>
    </row>
    <row r="4" spans="1:10" ht="12" customHeight="1" x14ac:dyDescent="0.3">
      <c r="A4" s="2" t="s">
        <v>81</v>
      </c>
      <c r="B4" s="2" t="s">
        <v>82</v>
      </c>
      <c r="C4" s="2" t="s">
        <v>579</v>
      </c>
      <c r="D4" s="2" t="s">
        <v>580</v>
      </c>
      <c r="E4" s="2" t="s">
        <v>581</v>
      </c>
      <c r="F4" s="2" t="s">
        <v>582</v>
      </c>
      <c r="G4" s="2" t="s">
        <v>583</v>
      </c>
      <c r="H4" s="2" t="s">
        <v>584</v>
      </c>
      <c r="I4" s="2" t="s">
        <v>585</v>
      </c>
      <c r="J4" s="2" t="s">
        <v>586</v>
      </c>
    </row>
    <row r="5" spans="1:10" ht="12" customHeight="1" x14ac:dyDescent="0.3">
      <c r="A5" s="2" t="s">
        <v>86</v>
      </c>
      <c r="B5" s="2" t="s">
        <v>87</v>
      </c>
      <c r="C5" s="2" t="s">
        <v>579</v>
      </c>
      <c r="D5" s="2" t="s">
        <v>580</v>
      </c>
      <c r="E5" s="2" t="s">
        <v>581</v>
      </c>
      <c r="F5" s="2" t="s">
        <v>582</v>
      </c>
      <c r="G5" s="2" t="s">
        <v>583</v>
      </c>
      <c r="H5" s="2" t="s">
        <v>584</v>
      </c>
      <c r="I5" s="2" t="s">
        <v>585</v>
      </c>
      <c r="J5" s="2" t="s">
        <v>586</v>
      </c>
    </row>
    <row r="6" spans="1:10" ht="12" customHeight="1" x14ac:dyDescent="0.3">
      <c r="A6" s="2" t="s">
        <v>94</v>
      </c>
      <c r="B6" s="2" t="s">
        <v>95</v>
      </c>
      <c r="C6" s="2" t="s">
        <v>579</v>
      </c>
      <c r="D6" s="2" t="s">
        <v>580</v>
      </c>
      <c r="E6" s="2" t="s">
        <v>581</v>
      </c>
      <c r="F6" s="2" t="s">
        <v>582</v>
      </c>
      <c r="G6" s="2" t="s">
        <v>583</v>
      </c>
      <c r="H6" s="2" t="s">
        <v>584</v>
      </c>
      <c r="I6" s="2" t="s">
        <v>585</v>
      </c>
      <c r="J6" s="2" t="s">
        <v>586</v>
      </c>
    </row>
    <row r="7" spans="1:10" ht="12" customHeight="1" x14ac:dyDescent="0.3">
      <c r="A7" s="2" t="s">
        <v>100</v>
      </c>
      <c r="B7" s="2" t="s">
        <v>101</v>
      </c>
      <c r="C7" s="2" t="s">
        <v>579</v>
      </c>
      <c r="D7" s="2" t="s">
        <v>580</v>
      </c>
      <c r="E7" s="2" t="s">
        <v>581</v>
      </c>
      <c r="F7" s="2" t="s">
        <v>582</v>
      </c>
      <c r="G7" s="2" t="s">
        <v>583</v>
      </c>
      <c r="H7" s="2" t="s">
        <v>584</v>
      </c>
      <c r="I7" s="2" t="s">
        <v>585</v>
      </c>
      <c r="J7" s="2" t="s">
        <v>586</v>
      </c>
    </row>
    <row r="8" spans="1:10" ht="12" customHeight="1" x14ac:dyDescent="0.3">
      <c r="A8" s="2" t="s">
        <v>108</v>
      </c>
      <c r="B8" s="2" t="s">
        <v>109</v>
      </c>
      <c r="C8" s="2" t="s">
        <v>579</v>
      </c>
      <c r="D8" s="2" t="s">
        <v>580</v>
      </c>
      <c r="E8" s="2" t="s">
        <v>581</v>
      </c>
      <c r="F8" s="2" t="s">
        <v>582</v>
      </c>
      <c r="G8" s="2" t="s">
        <v>583</v>
      </c>
      <c r="H8" s="2" t="s">
        <v>584</v>
      </c>
      <c r="I8" s="2" t="s">
        <v>585</v>
      </c>
      <c r="J8" s="2" t="s">
        <v>586</v>
      </c>
    </row>
    <row r="9" spans="1:10" ht="12" customHeight="1" x14ac:dyDescent="0.3">
      <c r="A9" s="2" t="s">
        <v>118</v>
      </c>
      <c r="B9" s="2" t="s">
        <v>119</v>
      </c>
      <c r="C9" s="2" t="s">
        <v>587</v>
      </c>
      <c r="D9" s="2" t="s">
        <v>580</v>
      </c>
      <c r="E9" s="2" t="s">
        <v>580</v>
      </c>
      <c r="F9" s="2"/>
      <c r="G9" s="2" t="s">
        <v>588</v>
      </c>
      <c r="H9" s="2"/>
      <c r="I9" s="2"/>
      <c r="J9" s="2"/>
    </row>
    <row r="10" spans="1:10" ht="12" customHeight="1" x14ac:dyDescent="0.3">
      <c r="A10" s="2" t="s">
        <v>126</v>
      </c>
      <c r="B10" s="2" t="s">
        <v>127</v>
      </c>
      <c r="C10" s="2" t="s">
        <v>579</v>
      </c>
      <c r="D10" s="2" t="s">
        <v>580</v>
      </c>
      <c r="E10" s="2" t="s">
        <v>581</v>
      </c>
      <c r="F10" s="2" t="s">
        <v>582</v>
      </c>
      <c r="G10" s="2" t="s">
        <v>583</v>
      </c>
      <c r="H10" s="2" t="s">
        <v>584</v>
      </c>
      <c r="I10" s="2" t="s">
        <v>585</v>
      </c>
      <c r="J10" s="2" t="s">
        <v>586</v>
      </c>
    </row>
    <row r="11" spans="1:10" ht="12" customHeight="1" x14ac:dyDescent="0.3">
      <c r="A11" s="2" t="s">
        <v>134</v>
      </c>
      <c r="B11" s="2" t="s">
        <v>135</v>
      </c>
      <c r="C11" s="2" t="s">
        <v>579</v>
      </c>
      <c r="D11" s="2" t="s">
        <v>580</v>
      </c>
      <c r="E11" s="2" t="s">
        <v>581</v>
      </c>
      <c r="F11" s="2" t="s">
        <v>582</v>
      </c>
      <c r="G11" s="2" t="s">
        <v>583</v>
      </c>
      <c r="H11" s="2" t="s">
        <v>584</v>
      </c>
      <c r="I11" s="2" t="s">
        <v>585</v>
      </c>
      <c r="J11" s="2" t="s">
        <v>586</v>
      </c>
    </row>
    <row r="12" spans="1:10" ht="12" customHeight="1" x14ac:dyDescent="0.3">
      <c r="A12" s="2" t="s">
        <v>142</v>
      </c>
      <c r="B12" s="2" t="s">
        <v>143</v>
      </c>
      <c r="C12" s="2" t="s">
        <v>587</v>
      </c>
      <c r="D12" s="2" t="s">
        <v>580</v>
      </c>
      <c r="E12" s="2" t="s">
        <v>580</v>
      </c>
      <c r="F12" s="2"/>
      <c r="G12" s="2" t="s">
        <v>588</v>
      </c>
      <c r="H12" s="2"/>
      <c r="I12" s="2"/>
      <c r="J12" s="2"/>
    </row>
    <row r="13" spans="1:10" ht="12" customHeight="1" x14ac:dyDescent="0.3">
      <c r="A13" s="2" t="s">
        <v>148</v>
      </c>
      <c r="B13" s="2" t="s">
        <v>149</v>
      </c>
      <c r="C13" s="2" t="s">
        <v>579</v>
      </c>
      <c r="D13" s="2" t="s">
        <v>580</v>
      </c>
      <c r="E13" s="2" t="s">
        <v>581</v>
      </c>
      <c r="F13" s="2" t="s">
        <v>582</v>
      </c>
      <c r="G13" s="2" t="s">
        <v>583</v>
      </c>
      <c r="H13" s="2" t="s">
        <v>584</v>
      </c>
      <c r="I13" s="2" t="s">
        <v>585</v>
      </c>
      <c r="J13" s="2" t="s">
        <v>586</v>
      </c>
    </row>
    <row r="14" spans="1:10" ht="12" customHeight="1" x14ac:dyDescent="0.3">
      <c r="A14" s="2" t="s">
        <v>154</v>
      </c>
      <c r="B14" s="2" t="s">
        <v>155</v>
      </c>
      <c r="C14" s="2" t="s">
        <v>579</v>
      </c>
      <c r="D14" s="2" t="s">
        <v>580</v>
      </c>
      <c r="E14" s="2" t="s">
        <v>581</v>
      </c>
      <c r="F14" s="2" t="s">
        <v>582</v>
      </c>
      <c r="G14" s="2" t="s">
        <v>583</v>
      </c>
      <c r="H14" s="2" t="s">
        <v>584</v>
      </c>
      <c r="I14" s="2" t="s">
        <v>585</v>
      </c>
      <c r="J14" s="2" t="s">
        <v>586</v>
      </c>
    </row>
    <row r="15" spans="1:10" ht="12" customHeight="1" x14ac:dyDescent="0.3">
      <c r="A15" s="2" t="s">
        <v>162</v>
      </c>
      <c r="B15" s="2" t="s">
        <v>163</v>
      </c>
      <c r="C15" s="2" t="s">
        <v>579</v>
      </c>
      <c r="D15" s="2" t="s">
        <v>580</v>
      </c>
      <c r="E15" s="2" t="s">
        <v>581</v>
      </c>
      <c r="F15" s="2" t="s">
        <v>582</v>
      </c>
      <c r="G15" s="2" t="s">
        <v>583</v>
      </c>
      <c r="H15" s="2" t="s">
        <v>584</v>
      </c>
      <c r="I15" s="2" t="s">
        <v>585</v>
      </c>
      <c r="J15" s="2" t="s">
        <v>586</v>
      </c>
    </row>
    <row r="16" spans="1:10" ht="12" customHeight="1" x14ac:dyDescent="0.3">
      <c r="A16" s="2" t="s">
        <v>173</v>
      </c>
      <c r="B16" s="2" t="s">
        <v>174</v>
      </c>
      <c r="C16" s="2" t="s">
        <v>579</v>
      </c>
      <c r="D16" s="2" t="s">
        <v>580</v>
      </c>
      <c r="E16" s="2" t="s">
        <v>581</v>
      </c>
      <c r="F16" s="2" t="s">
        <v>582</v>
      </c>
      <c r="G16" s="2" t="s">
        <v>583</v>
      </c>
      <c r="H16" s="2" t="s">
        <v>584</v>
      </c>
      <c r="I16" s="2" t="s">
        <v>585</v>
      </c>
      <c r="J16" s="2" t="s">
        <v>586</v>
      </c>
    </row>
    <row r="17" spans="1:10" ht="12" customHeight="1" x14ac:dyDescent="0.3">
      <c r="A17" s="2" t="s">
        <v>182</v>
      </c>
      <c r="B17" s="2" t="s">
        <v>183</v>
      </c>
      <c r="C17" s="2" t="s">
        <v>579</v>
      </c>
      <c r="D17" s="2" t="s">
        <v>580</v>
      </c>
      <c r="E17" s="2" t="s">
        <v>581</v>
      </c>
      <c r="F17" s="2" t="s">
        <v>582</v>
      </c>
      <c r="G17" s="2" t="s">
        <v>583</v>
      </c>
      <c r="H17" s="2" t="s">
        <v>584</v>
      </c>
      <c r="I17" s="2" t="s">
        <v>585</v>
      </c>
      <c r="J17" s="2" t="s">
        <v>586</v>
      </c>
    </row>
    <row r="18" spans="1:10" ht="22.2" customHeight="1" x14ac:dyDescent="0.3">
      <c r="A18" s="2" t="s">
        <v>191</v>
      </c>
      <c r="B18" s="2" t="s">
        <v>192</v>
      </c>
      <c r="C18" s="2" t="s">
        <v>579</v>
      </c>
      <c r="D18" s="2" t="s">
        <v>580</v>
      </c>
      <c r="E18" s="2" t="s">
        <v>581</v>
      </c>
      <c r="F18" s="2" t="s">
        <v>582</v>
      </c>
      <c r="G18" s="2" t="s">
        <v>583</v>
      </c>
      <c r="H18" s="2" t="s">
        <v>584</v>
      </c>
      <c r="I18" s="2" t="s">
        <v>585</v>
      </c>
      <c r="J18" s="2" t="s">
        <v>586</v>
      </c>
    </row>
    <row r="19" spans="1:10" ht="12" customHeight="1" x14ac:dyDescent="0.3">
      <c r="A19" s="2" t="s">
        <v>200</v>
      </c>
      <c r="B19" s="2" t="s">
        <v>201</v>
      </c>
      <c r="C19" s="2" t="s">
        <v>579</v>
      </c>
      <c r="D19" s="2" t="s">
        <v>580</v>
      </c>
      <c r="E19" s="2" t="s">
        <v>581</v>
      </c>
      <c r="F19" s="2" t="s">
        <v>582</v>
      </c>
      <c r="G19" s="2" t="s">
        <v>583</v>
      </c>
      <c r="H19" s="2" t="s">
        <v>584</v>
      </c>
      <c r="I19" s="2" t="s">
        <v>585</v>
      </c>
      <c r="J19" s="2" t="s">
        <v>586</v>
      </c>
    </row>
    <row r="20" spans="1:10" ht="12" customHeight="1" x14ac:dyDescent="0.3">
      <c r="A20" s="2" t="s">
        <v>206</v>
      </c>
      <c r="B20" s="2" t="s">
        <v>207</v>
      </c>
      <c r="C20" s="2" t="s">
        <v>579</v>
      </c>
      <c r="D20" s="2" t="s">
        <v>580</v>
      </c>
      <c r="E20" s="2" t="s">
        <v>581</v>
      </c>
      <c r="F20" s="2" t="s">
        <v>582</v>
      </c>
      <c r="G20" s="2" t="s">
        <v>583</v>
      </c>
      <c r="H20" s="2" t="s">
        <v>584</v>
      </c>
      <c r="I20" s="2" t="s">
        <v>585</v>
      </c>
      <c r="J20" s="2" t="s">
        <v>586</v>
      </c>
    </row>
    <row r="21" spans="1:10" ht="12" customHeight="1" x14ac:dyDescent="0.3">
      <c r="A21" s="2" t="s">
        <v>212</v>
      </c>
      <c r="B21" s="2" t="s">
        <v>213</v>
      </c>
      <c r="C21" s="2" t="s">
        <v>579</v>
      </c>
      <c r="D21" s="2" t="s">
        <v>580</v>
      </c>
      <c r="E21" s="2" t="s">
        <v>581</v>
      </c>
      <c r="F21" s="2" t="s">
        <v>582</v>
      </c>
      <c r="G21" s="2" t="s">
        <v>583</v>
      </c>
      <c r="H21" s="2" t="s">
        <v>584</v>
      </c>
      <c r="I21" s="2" t="s">
        <v>585</v>
      </c>
      <c r="J21" s="2" t="s">
        <v>586</v>
      </c>
    </row>
    <row r="22" spans="1:10" ht="12" customHeight="1" x14ac:dyDescent="0.3">
      <c r="A22" s="2" t="s">
        <v>221</v>
      </c>
      <c r="B22" s="2" t="s">
        <v>135</v>
      </c>
      <c r="C22" s="2" t="s">
        <v>579</v>
      </c>
      <c r="D22" s="2" t="s">
        <v>580</v>
      </c>
      <c r="E22" s="2" t="s">
        <v>581</v>
      </c>
      <c r="F22" s="2" t="s">
        <v>582</v>
      </c>
      <c r="G22" s="2" t="s">
        <v>583</v>
      </c>
      <c r="H22" s="2" t="s">
        <v>584</v>
      </c>
      <c r="I22" s="2" t="s">
        <v>585</v>
      </c>
      <c r="J22" s="2" t="s">
        <v>586</v>
      </c>
    </row>
    <row r="23" spans="1:10" ht="12" customHeight="1" x14ac:dyDescent="0.3">
      <c r="A23" s="2" t="s">
        <v>226</v>
      </c>
      <c r="B23" s="2" t="s">
        <v>227</v>
      </c>
      <c r="C23" s="2" t="s">
        <v>579</v>
      </c>
      <c r="D23" s="2" t="s">
        <v>580</v>
      </c>
      <c r="E23" s="2" t="s">
        <v>581</v>
      </c>
      <c r="F23" s="2" t="s">
        <v>582</v>
      </c>
      <c r="G23" s="2" t="s">
        <v>583</v>
      </c>
      <c r="H23" s="2" t="s">
        <v>584</v>
      </c>
      <c r="I23" s="2" t="s">
        <v>585</v>
      </c>
      <c r="J23" s="2" t="s">
        <v>586</v>
      </c>
    </row>
    <row r="24" spans="1:10" ht="12" customHeight="1" x14ac:dyDescent="0.3">
      <c r="A24" s="2" t="s">
        <v>235</v>
      </c>
      <c r="B24" s="2" t="s">
        <v>227</v>
      </c>
      <c r="C24" s="2" t="s">
        <v>579</v>
      </c>
      <c r="D24" s="2" t="s">
        <v>580</v>
      </c>
      <c r="E24" s="2" t="s">
        <v>581</v>
      </c>
      <c r="F24" s="2" t="s">
        <v>582</v>
      </c>
      <c r="G24" s="2" t="s">
        <v>583</v>
      </c>
      <c r="H24" s="2" t="s">
        <v>584</v>
      </c>
      <c r="I24" s="2" t="s">
        <v>585</v>
      </c>
      <c r="J24" s="2" t="s">
        <v>586</v>
      </c>
    </row>
    <row r="25" spans="1:10" ht="12" customHeight="1" x14ac:dyDescent="0.3">
      <c r="A25" s="2" t="s">
        <v>242</v>
      </c>
      <c r="B25" s="2" t="s">
        <v>243</v>
      </c>
      <c r="C25" s="2" t="s">
        <v>579</v>
      </c>
      <c r="D25" s="2" t="s">
        <v>580</v>
      </c>
      <c r="E25" s="2" t="s">
        <v>581</v>
      </c>
      <c r="F25" s="2" t="s">
        <v>582</v>
      </c>
      <c r="G25" s="2" t="s">
        <v>583</v>
      </c>
      <c r="H25" s="2" t="s">
        <v>584</v>
      </c>
      <c r="I25" s="2" t="s">
        <v>585</v>
      </c>
      <c r="J25" s="2" t="s">
        <v>586</v>
      </c>
    </row>
    <row r="26" spans="1:10" ht="12" customHeight="1" x14ac:dyDescent="0.3">
      <c r="A26" s="2" t="s">
        <v>250</v>
      </c>
      <c r="B26" s="2" t="s">
        <v>251</v>
      </c>
      <c r="C26" s="2" t="s">
        <v>579</v>
      </c>
      <c r="D26" s="2" t="s">
        <v>580</v>
      </c>
      <c r="E26" s="2" t="s">
        <v>581</v>
      </c>
      <c r="F26" s="2" t="s">
        <v>582</v>
      </c>
      <c r="G26" s="2" t="s">
        <v>583</v>
      </c>
      <c r="H26" s="2" t="s">
        <v>584</v>
      </c>
      <c r="I26" s="2" t="s">
        <v>585</v>
      </c>
      <c r="J26" s="2" t="s">
        <v>586</v>
      </c>
    </row>
    <row r="27" spans="1:10" ht="22.2" customHeight="1" x14ac:dyDescent="0.3">
      <c r="A27" s="2" t="s">
        <v>256</v>
      </c>
      <c r="B27" s="2" t="s">
        <v>257</v>
      </c>
      <c r="C27" s="2" t="s">
        <v>579</v>
      </c>
      <c r="D27" s="2" t="s">
        <v>580</v>
      </c>
      <c r="E27" s="2" t="s">
        <v>581</v>
      </c>
      <c r="F27" s="2" t="s">
        <v>582</v>
      </c>
      <c r="G27" s="2" t="s">
        <v>583</v>
      </c>
      <c r="H27" s="2" t="s">
        <v>584</v>
      </c>
      <c r="I27" s="2" t="s">
        <v>585</v>
      </c>
      <c r="J27" s="2" t="s">
        <v>586</v>
      </c>
    </row>
    <row r="28" spans="1:10" ht="12" customHeight="1" x14ac:dyDescent="0.3">
      <c r="A28" s="2" t="s">
        <v>264</v>
      </c>
      <c r="B28" s="2" t="s">
        <v>265</v>
      </c>
      <c r="C28" s="2" t="s">
        <v>579</v>
      </c>
      <c r="D28" s="2" t="s">
        <v>580</v>
      </c>
      <c r="E28" s="2" t="s">
        <v>581</v>
      </c>
      <c r="F28" s="2" t="s">
        <v>582</v>
      </c>
      <c r="G28" s="2" t="s">
        <v>583</v>
      </c>
      <c r="H28" s="2" t="s">
        <v>584</v>
      </c>
      <c r="I28" s="2" t="s">
        <v>585</v>
      </c>
      <c r="J28" s="2" t="s">
        <v>586</v>
      </c>
    </row>
    <row r="29" spans="1:10" ht="12" customHeight="1" x14ac:dyDescent="0.3">
      <c r="A29" s="2" t="s">
        <v>270</v>
      </c>
      <c r="B29" s="2" t="s">
        <v>271</v>
      </c>
      <c r="C29" s="2" t="s">
        <v>579</v>
      </c>
      <c r="D29" s="2" t="s">
        <v>580</v>
      </c>
      <c r="E29" s="2" t="s">
        <v>581</v>
      </c>
      <c r="F29" s="2" t="s">
        <v>582</v>
      </c>
      <c r="G29" s="2" t="s">
        <v>583</v>
      </c>
      <c r="H29" s="2" t="s">
        <v>584</v>
      </c>
      <c r="I29" s="2" t="s">
        <v>585</v>
      </c>
      <c r="J29" s="2" t="s">
        <v>586</v>
      </c>
    </row>
    <row r="30" spans="1:10" ht="12" customHeight="1" x14ac:dyDescent="0.3">
      <c r="A30" s="2" t="s">
        <v>278</v>
      </c>
      <c r="B30" s="2" t="s">
        <v>279</v>
      </c>
      <c r="C30" s="2" t="s">
        <v>579</v>
      </c>
      <c r="D30" s="2" t="s">
        <v>580</v>
      </c>
      <c r="E30" s="2" t="s">
        <v>581</v>
      </c>
      <c r="F30" s="2" t="s">
        <v>582</v>
      </c>
      <c r="G30" s="2" t="s">
        <v>583</v>
      </c>
      <c r="H30" s="2" t="s">
        <v>584</v>
      </c>
      <c r="I30" s="2" t="s">
        <v>585</v>
      </c>
      <c r="J30" s="2" t="s">
        <v>586</v>
      </c>
    </row>
    <row r="31" spans="1:10" ht="12" customHeight="1" x14ac:dyDescent="0.3">
      <c r="A31" s="2" t="s">
        <v>284</v>
      </c>
      <c r="B31" s="2" t="s">
        <v>285</v>
      </c>
      <c r="C31" s="2" t="s">
        <v>579</v>
      </c>
      <c r="D31" s="2" t="s">
        <v>580</v>
      </c>
      <c r="E31" s="2" t="s">
        <v>581</v>
      </c>
      <c r="F31" s="2" t="s">
        <v>582</v>
      </c>
      <c r="G31" s="2" t="s">
        <v>583</v>
      </c>
      <c r="H31" s="2" t="s">
        <v>584</v>
      </c>
      <c r="I31" s="2" t="s">
        <v>585</v>
      </c>
      <c r="J31" s="2" t="s">
        <v>586</v>
      </c>
    </row>
    <row r="32" spans="1:10" ht="12" customHeight="1" x14ac:dyDescent="0.3">
      <c r="A32" s="2" t="s">
        <v>290</v>
      </c>
      <c r="B32" s="2" t="s">
        <v>291</v>
      </c>
      <c r="C32" s="2" t="s">
        <v>579</v>
      </c>
      <c r="D32" s="2" t="s">
        <v>580</v>
      </c>
      <c r="E32" s="2" t="s">
        <v>581</v>
      </c>
      <c r="F32" s="2" t="s">
        <v>582</v>
      </c>
      <c r="G32" s="2" t="s">
        <v>583</v>
      </c>
      <c r="H32" s="2" t="s">
        <v>584</v>
      </c>
      <c r="I32" s="2" t="s">
        <v>585</v>
      </c>
      <c r="J32" s="2" t="s">
        <v>586</v>
      </c>
    </row>
    <row r="33" spans="1:10" ht="22.2" customHeight="1" x14ac:dyDescent="0.3">
      <c r="A33" s="2" t="s">
        <v>296</v>
      </c>
      <c r="B33" s="2" t="s">
        <v>297</v>
      </c>
      <c r="C33" s="2" t="s">
        <v>579</v>
      </c>
      <c r="D33" s="2" t="s">
        <v>580</v>
      </c>
      <c r="E33" s="2" t="s">
        <v>581</v>
      </c>
      <c r="F33" s="2" t="s">
        <v>582</v>
      </c>
      <c r="G33" s="2" t="s">
        <v>583</v>
      </c>
      <c r="H33" s="2" t="s">
        <v>584</v>
      </c>
      <c r="I33" s="2" t="s">
        <v>585</v>
      </c>
      <c r="J33" s="2" t="s">
        <v>586</v>
      </c>
    </row>
    <row r="34" spans="1:10" ht="22.2" customHeight="1" x14ac:dyDescent="0.3">
      <c r="A34" s="2" t="s">
        <v>302</v>
      </c>
      <c r="B34" s="2" t="s">
        <v>303</v>
      </c>
      <c r="C34" s="2" t="s">
        <v>579</v>
      </c>
      <c r="D34" s="2" t="s">
        <v>580</v>
      </c>
      <c r="E34" s="2" t="s">
        <v>581</v>
      </c>
      <c r="F34" s="2" t="s">
        <v>582</v>
      </c>
      <c r="G34" s="2" t="s">
        <v>583</v>
      </c>
      <c r="H34" s="2" t="s">
        <v>584</v>
      </c>
      <c r="I34" s="2" t="s">
        <v>585</v>
      </c>
      <c r="J34" s="2" t="s">
        <v>586</v>
      </c>
    </row>
    <row r="35" spans="1:10" ht="22.2" customHeight="1" x14ac:dyDescent="0.3">
      <c r="A35" s="2" t="s">
        <v>308</v>
      </c>
      <c r="B35" s="2" t="s">
        <v>309</v>
      </c>
      <c r="C35" s="2" t="s">
        <v>579</v>
      </c>
      <c r="D35" s="2" t="s">
        <v>580</v>
      </c>
      <c r="E35" s="2" t="s">
        <v>581</v>
      </c>
      <c r="F35" s="2" t="s">
        <v>582</v>
      </c>
      <c r="G35" s="2" t="s">
        <v>583</v>
      </c>
      <c r="H35" s="2" t="s">
        <v>584</v>
      </c>
      <c r="I35" s="2" t="s">
        <v>585</v>
      </c>
      <c r="J35" s="2" t="s">
        <v>586</v>
      </c>
    </row>
    <row r="36" spans="1:10" ht="22.2" customHeight="1" x14ac:dyDescent="0.3">
      <c r="A36" s="2" t="s">
        <v>319</v>
      </c>
      <c r="B36" s="2" t="s">
        <v>320</v>
      </c>
      <c r="C36" s="2" t="s">
        <v>579</v>
      </c>
      <c r="D36" s="2" t="s">
        <v>580</v>
      </c>
      <c r="E36" s="2" t="s">
        <v>581</v>
      </c>
      <c r="F36" s="2" t="s">
        <v>582</v>
      </c>
      <c r="G36" s="2" t="s">
        <v>583</v>
      </c>
      <c r="H36" s="2" t="s">
        <v>584</v>
      </c>
      <c r="I36" s="2" t="s">
        <v>585</v>
      </c>
      <c r="J36" s="2" t="s">
        <v>586</v>
      </c>
    </row>
    <row r="37" spans="1:10" ht="22.2" customHeight="1" x14ac:dyDescent="0.3">
      <c r="A37" s="2" t="s">
        <v>330</v>
      </c>
      <c r="B37" s="2" t="s">
        <v>331</v>
      </c>
      <c r="C37" s="2" t="s">
        <v>579</v>
      </c>
      <c r="D37" s="2" t="s">
        <v>580</v>
      </c>
      <c r="E37" s="2" t="s">
        <v>581</v>
      </c>
      <c r="F37" s="2" t="s">
        <v>582</v>
      </c>
      <c r="G37" s="2" t="s">
        <v>583</v>
      </c>
      <c r="H37" s="2" t="s">
        <v>584</v>
      </c>
      <c r="I37" s="2" t="s">
        <v>585</v>
      </c>
      <c r="J37" s="2" t="s">
        <v>586</v>
      </c>
    </row>
    <row r="38" spans="1:10" ht="12" customHeight="1" x14ac:dyDescent="0.3">
      <c r="A38" s="2"/>
      <c r="B38" s="2"/>
      <c r="C38" s="2"/>
      <c r="D38" s="2"/>
      <c r="E38" s="2"/>
      <c r="F38" s="2"/>
      <c r="G38" s="2"/>
      <c r="H38" s="2"/>
      <c r="I38" s="2"/>
      <c r="J38" s="2"/>
    </row>
    <row r="39" spans="1:10" ht="12" customHeight="1" x14ac:dyDescent="0.3">
      <c r="A39" s="2"/>
      <c r="B39" s="2"/>
      <c r="C39" s="2"/>
      <c r="D39" s="2"/>
      <c r="E39" s="2"/>
      <c r="F39" s="2"/>
      <c r="G39" s="2"/>
      <c r="H39" s="2"/>
      <c r="I39" s="2"/>
      <c r="J39" s="2"/>
    </row>
    <row r="40" spans="1:10" ht="12" customHeight="1" x14ac:dyDescent="0.3">
      <c r="A40" s="2"/>
      <c r="B40" s="2"/>
      <c r="C40" s="2"/>
      <c r="D40" s="2"/>
      <c r="E40" s="2"/>
      <c r="F40" s="2"/>
      <c r="G40" s="2"/>
      <c r="H40" s="2"/>
      <c r="I40" s="2"/>
      <c r="J40" s="2"/>
    </row>
    <row r="41" spans="1:10" ht="12" customHeight="1" x14ac:dyDescent="0.3">
      <c r="A41" s="2"/>
      <c r="B41" s="2"/>
      <c r="C41" s="2"/>
      <c r="D41" s="2"/>
      <c r="E41" s="2"/>
      <c r="F41" s="2"/>
      <c r="G41" s="2"/>
      <c r="H41" s="2"/>
      <c r="I41" s="2"/>
      <c r="J41" s="2"/>
    </row>
    <row r="42" spans="1:10" ht="12" customHeight="1" x14ac:dyDescent="0.3">
      <c r="A42" s="2"/>
      <c r="B42" s="2"/>
      <c r="C42" s="2"/>
      <c r="D42" s="2"/>
      <c r="E42" s="2"/>
      <c r="F42" s="2"/>
      <c r="G42" s="2"/>
      <c r="H42" s="2"/>
      <c r="I42" s="2"/>
      <c r="J42" s="2"/>
    </row>
    <row r="43" spans="1:10" ht="12" customHeight="1" x14ac:dyDescent="0.3">
      <c r="A43" s="2"/>
      <c r="B43" s="2"/>
      <c r="C43" s="2"/>
      <c r="D43" s="2"/>
      <c r="E43" s="2"/>
      <c r="F43" s="2"/>
      <c r="G43" s="2"/>
      <c r="H43" s="2"/>
      <c r="I43" s="2"/>
      <c r="J43" s="2"/>
    </row>
    <row r="44" spans="1:10" ht="12" customHeight="1" x14ac:dyDescent="0.3">
      <c r="A44" s="2"/>
      <c r="B44" s="2"/>
      <c r="C44" s="2"/>
      <c r="D44" s="2"/>
      <c r="E44" s="2"/>
      <c r="F44" s="2"/>
      <c r="G44" s="2"/>
      <c r="H44" s="2"/>
      <c r="I44" s="2"/>
      <c r="J44" s="2"/>
    </row>
    <row r="45" spans="1:10" ht="12" customHeight="1" x14ac:dyDescent="0.3">
      <c r="A45" s="2"/>
      <c r="B45" s="2"/>
      <c r="C45" s="2"/>
      <c r="D45" s="2"/>
      <c r="E45" s="2"/>
      <c r="F45" s="2"/>
      <c r="G45" s="2"/>
      <c r="H45" s="2"/>
      <c r="I45" s="2"/>
      <c r="J45" s="2"/>
    </row>
    <row r="46" spans="1:10" ht="12" customHeight="1" x14ac:dyDescent="0.3">
      <c r="A46" s="2"/>
      <c r="B46" s="2"/>
      <c r="C46" s="2"/>
      <c r="D46" s="2"/>
      <c r="E46" s="2"/>
      <c r="F46" s="2"/>
      <c r="G46" s="2"/>
      <c r="H46" s="2"/>
      <c r="I46" s="2"/>
      <c r="J46" s="2"/>
    </row>
    <row r="47" spans="1:10" ht="12" customHeight="1" x14ac:dyDescent="0.3">
      <c r="A47" s="2"/>
      <c r="B47" s="2"/>
      <c r="C47" s="2"/>
      <c r="D47" s="2"/>
      <c r="E47" s="2"/>
      <c r="F47" s="2"/>
      <c r="G47" s="2"/>
      <c r="H47" s="2"/>
      <c r="I47" s="2"/>
      <c r="J47" s="2"/>
    </row>
    <row r="48" spans="1:10" ht="12" customHeight="1" x14ac:dyDescent="0.3">
      <c r="A48" s="2"/>
      <c r="B48" s="2"/>
      <c r="C48" s="2"/>
      <c r="D48" s="2"/>
      <c r="E48" s="2"/>
      <c r="F48" s="2"/>
      <c r="G48" s="2"/>
      <c r="H48" s="2"/>
      <c r="I48" s="2"/>
      <c r="J48" s="2"/>
    </row>
    <row r="49" spans="1:10" ht="12" customHeight="1" x14ac:dyDescent="0.3">
      <c r="A49" s="2"/>
      <c r="B49" s="2"/>
      <c r="C49" s="2"/>
      <c r="D49" s="2"/>
      <c r="E49" s="2"/>
      <c r="F49" s="2"/>
      <c r="G49" s="2"/>
      <c r="H49" s="2"/>
      <c r="I49" s="2"/>
      <c r="J49" s="2"/>
    </row>
    <row r="50" spans="1:10" ht="12" customHeight="1" x14ac:dyDescent="0.3">
      <c r="A50" s="2" t="str">
        <f>Inventory_Master!D50</f>
        <v/>
      </c>
      <c r="B50" s="2" t="str">
        <f>Inventory_Master!E50</f>
        <v/>
      </c>
      <c r="C50" s="2" t="str">
        <f>Inventory_Master!C50</f>
        <v/>
      </c>
      <c r="D50" s="2" t="str">
        <f>Inventory_Master!R50</f>
        <v/>
      </c>
      <c r="E50" s="2" t="str">
        <f>Inventory_Master!W50</f>
        <v/>
      </c>
      <c r="F50" s="2" t="str">
        <f>IF($A50="","",TRIM(_xludf.textjoin("; ",TRUE(),IF(Inventory_Master!R50&lt;&gt;"OK","Invalid category",""),IF(Inventory_Master!J50="","Missing price_inr",""),IF(Inventory_Master!O50="","Missing image",""),IF(Inventory_Master!S50&gt;0,"Has size variants",""),IF(Inventory_Master!C50="ERROR","Validation error",""),IF(Inventory_Master!C50="WARNING","Review warning",""))))</f>
        <v/>
      </c>
      <c r="G50" s="2" t="str">
        <f t="shared" ref="G50:G113" si="0">IF($F50="","NO","YES")</f>
        <v>NO</v>
      </c>
      <c r="H50" s="2" t="str">
        <f>IF($A50="","",IF(Inventory_Master!R50&lt;&gt;"OK","Invalid Category",IF(Inventory_Master!J50="","Missing Price",IF(Inventory_Master!O50="","Missing Image",IF(Inventory_Master!S50&gt;0,"Size Price Review",IF(Inventory_Master!C50="ERROR","Validation Error",""))))))</f>
        <v/>
      </c>
      <c r="I50" s="2" t="str">
        <f t="shared" ref="I50:I113" si="1">IF($G50="NO","",IF(OR($H50="Invalid Category",$H50="Missing Price",$H50="Validation Error"),"HIGH","MEDIUM"))</f>
        <v/>
      </c>
      <c r="J50" s="2" t="str">
        <f t="shared" ref="J50:J113" si="2">IF($G50="NO","",IF($H50="Size Price Review","REVIEW",IF($H50="Missing Image","REVIEW","REVIEW")))</f>
        <v/>
      </c>
    </row>
    <row r="51" spans="1:10" ht="12" customHeight="1" x14ac:dyDescent="0.3">
      <c r="A51" s="2" t="str">
        <f>Inventory_Master!D51</f>
        <v/>
      </c>
      <c r="B51" s="2" t="str">
        <f>Inventory_Master!E51</f>
        <v/>
      </c>
      <c r="C51" s="2" t="str">
        <f>Inventory_Master!C51</f>
        <v/>
      </c>
      <c r="D51" s="2" t="str">
        <f>Inventory_Master!R51</f>
        <v/>
      </c>
      <c r="E51" s="2" t="str">
        <f>Inventory_Master!W51</f>
        <v/>
      </c>
      <c r="F51" s="2" t="str">
        <f>IF($A51="","",TRIM(_xludf.textjoin("; ",TRUE(),IF(Inventory_Master!R51&lt;&gt;"OK","Invalid category",""),IF(Inventory_Master!J51="","Missing price_inr",""),IF(Inventory_Master!O51="","Missing image",""),IF(Inventory_Master!S51&gt;0,"Has size variants",""),IF(Inventory_Master!C51="ERROR","Validation error",""),IF(Inventory_Master!C51="WARNING","Review warning",""))))</f>
        <v/>
      </c>
      <c r="G51" s="2" t="str">
        <f t="shared" si="0"/>
        <v>NO</v>
      </c>
      <c r="H51" s="2" t="str">
        <f>IF($A51="","",IF(Inventory_Master!R51&lt;&gt;"OK","Invalid Category",IF(Inventory_Master!J51="","Missing Price",IF(Inventory_Master!O51="","Missing Image",IF(Inventory_Master!S51&gt;0,"Size Price Review",IF(Inventory_Master!C51="ERROR","Validation Error",""))))))</f>
        <v/>
      </c>
      <c r="I51" s="2" t="str">
        <f t="shared" si="1"/>
        <v/>
      </c>
      <c r="J51" s="2" t="str">
        <f t="shared" si="2"/>
        <v/>
      </c>
    </row>
    <row r="52" spans="1:10" ht="12" customHeight="1" x14ac:dyDescent="0.3">
      <c r="A52" s="2" t="str">
        <f>Inventory_Master!D52</f>
        <v/>
      </c>
      <c r="B52" s="2" t="str">
        <f>Inventory_Master!E52</f>
        <v/>
      </c>
      <c r="C52" s="2" t="str">
        <f>Inventory_Master!C52</f>
        <v/>
      </c>
      <c r="D52" s="2" t="str">
        <f>Inventory_Master!R52</f>
        <v/>
      </c>
      <c r="E52" s="2" t="str">
        <f>Inventory_Master!W52</f>
        <v/>
      </c>
      <c r="F52" s="2" t="str">
        <f>IF($A52="","",TRIM(_xludf.textjoin("; ",TRUE(),IF(Inventory_Master!R52&lt;&gt;"OK","Invalid category",""),IF(Inventory_Master!J52="","Missing price_inr",""),IF(Inventory_Master!O52="","Missing image",""),IF(Inventory_Master!S52&gt;0,"Has size variants",""),IF(Inventory_Master!C52="ERROR","Validation error",""),IF(Inventory_Master!C52="WARNING","Review warning",""))))</f>
        <v/>
      </c>
      <c r="G52" s="2" t="str">
        <f t="shared" si="0"/>
        <v>NO</v>
      </c>
      <c r="H52" s="2" t="str">
        <f>IF($A52="","",IF(Inventory_Master!R52&lt;&gt;"OK","Invalid Category",IF(Inventory_Master!J52="","Missing Price",IF(Inventory_Master!O52="","Missing Image",IF(Inventory_Master!S52&gt;0,"Size Price Review",IF(Inventory_Master!C52="ERROR","Validation Error",""))))))</f>
        <v/>
      </c>
      <c r="I52" s="2" t="str">
        <f t="shared" si="1"/>
        <v/>
      </c>
      <c r="J52" s="2" t="str">
        <f t="shared" si="2"/>
        <v/>
      </c>
    </row>
    <row r="53" spans="1:10" ht="12" customHeight="1" x14ac:dyDescent="0.3">
      <c r="A53" s="2" t="str">
        <f>Inventory_Master!D53</f>
        <v/>
      </c>
      <c r="B53" s="2" t="str">
        <f>Inventory_Master!E53</f>
        <v/>
      </c>
      <c r="C53" s="2" t="str">
        <f>Inventory_Master!C53</f>
        <v/>
      </c>
      <c r="D53" s="2" t="str">
        <f>Inventory_Master!R53</f>
        <v/>
      </c>
      <c r="E53" s="2" t="str">
        <f>Inventory_Master!W53</f>
        <v/>
      </c>
      <c r="F53" s="2" t="str">
        <f>IF($A53="","",TRIM(_xludf.textjoin("; ",TRUE(),IF(Inventory_Master!R53&lt;&gt;"OK","Invalid category",""),IF(Inventory_Master!J53="","Missing price_inr",""),IF(Inventory_Master!O53="","Missing image",""),IF(Inventory_Master!S53&gt;0,"Has size variants",""),IF(Inventory_Master!C53="ERROR","Validation error",""),IF(Inventory_Master!C53="WARNING","Review warning",""))))</f>
        <v/>
      </c>
      <c r="G53" s="2" t="str">
        <f t="shared" si="0"/>
        <v>NO</v>
      </c>
      <c r="H53" s="2" t="str">
        <f>IF($A53="","",IF(Inventory_Master!R53&lt;&gt;"OK","Invalid Category",IF(Inventory_Master!J53="","Missing Price",IF(Inventory_Master!O53="","Missing Image",IF(Inventory_Master!S53&gt;0,"Size Price Review",IF(Inventory_Master!C53="ERROR","Validation Error",""))))))</f>
        <v/>
      </c>
      <c r="I53" s="2" t="str">
        <f t="shared" si="1"/>
        <v/>
      </c>
      <c r="J53" s="2" t="str">
        <f t="shared" si="2"/>
        <v/>
      </c>
    </row>
    <row r="54" spans="1:10" ht="12" customHeight="1" x14ac:dyDescent="0.3">
      <c r="A54" s="2" t="str">
        <f>Inventory_Master!D54</f>
        <v/>
      </c>
      <c r="B54" s="2" t="str">
        <f>Inventory_Master!E54</f>
        <v/>
      </c>
      <c r="C54" s="2" t="str">
        <f>Inventory_Master!C54</f>
        <v/>
      </c>
      <c r="D54" s="2" t="str">
        <f>Inventory_Master!R54</f>
        <v/>
      </c>
      <c r="E54" s="2" t="str">
        <f>Inventory_Master!W54</f>
        <v/>
      </c>
      <c r="F54" s="2" t="str">
        <f>IF($A54="","",TRIM(_xludf.textjoin("; ",TRUE(),IF(Inventory_Master!R54&lt;&gt;"OK","Invalid category",""),IF(Inventory_Master!J54="","Missing price_inr",""),IF(Inventory_Master!O54="","Missing image",""),IF(Inventory_Master!S54&gt;0,"Has size variants",""),IF(Inventory_Master!C54="ERROR","Validation error",""),IF(Inventory_Master!C54="WARNING","Review warning",""))))</f>
        <v/>
      </c>
      <c r="G54" s="2" t="str">
        <f t="shared" si="0"/>
        <v>NO</v>
      </c>
      <c r="H54" s="2" t="str">
        <f>IF($A54="","",IF(Inventory_Master!R54&lt;&gt;"OK","Invalid Category",IF(Inventory_Master!J54="","Missing Price",IF(Inventory_Master!O54="","Missing Image",IF(Inventory_Master!S54&gt;0,"Size Price Review",IF(Inventory_Master!C54="ERROR","Validation Error",""))))))</f>
        <v/>
      </c>
      <c r="I54" s="2" t="str">
        <f t="shared" si="1"/>
        <v/>
      </c>
      <c r="J54" s="2" t="str">
        <f t="shared" si="2"/>
        <v/>
      </c>
    </row>
    <row r="55" spans="1:10" ht="12" customHeight="1" x14ac:dyDescent="0.3">
      <c r="A55" s="2" t="str">
        <f>Inventory_Master!D55</f>
        <v/>
      </c>
      <c r="B55" s="2" t="str">
        <f>Inventory_Master!E55</f>
        <v/>
      </c>
      <c r="C55" s="2" t="str">
        <f>Inventory_Master!C55</f>
        <v/>
      </c>
      <c r="D55" s="2" t="str">
        <f>Inventory_Master!R55</f>
        <v/>
      </c>
      <c r="E55" s="2" t="str">
        <f>Inventory_Master!W55</f>
        <v/>
      </c>
      <c r="F55" s="2" t="str">
        <f>IF($A55="","",TRIM(_xludf.textjoin("; ",TRUE(),IF(Inventory_Master!R55&lt;&gt;"OK","Invalid category",""),IF(Inventory_Master!J55="","Missing price_inr",""),IF(Inventory_Master!O55="","Missing image",""),IF(Inventory_Master!S55&gt;0,"Has size variants",""),IF(Inventory_Master!C55="ERROR","Validation error",""),IF(Inventory_Master!C55="WARNING","Review warning",""))))</f>
        <v/>
      </c>
      <c r="G55" s="2" t="str">
        <f t="shared" si="0"/>
        <v>NO</v>
      </c>
      <c r="H55" s="2" t="str">
        <f>IF($A55="","",IF(Inventory_Master!R55&lt;&gt;"OK","Invalid Category",IF(Inventory_Master!J55="","Missing Price",IF(Inventory_Master!O55="","Missing Image",IF(Inventory_Master!S55&gt;0,"Size Price Review",IF(Inventory_Master!C55="ERROR","Validation Error",""))))))</f>
        <v/>
      </c>
      <c r="I55" s="2" t="str">
        <f t="shared" si="1"/>
        <v/>
      </c>
      <c r="J55" s="2" t="str">
        <f t="shared" si="2"/>
        <v/>
      </c>
    </row>
    <row r="56" spans="1:10" ht="12" customHeight="1" x14ac:dyDescent="0.3">
      <c r="A56" s="2" t="str">
        <f>Inventory_Master!D56</f>
        <v/>
      </c>
      <c r="B56" s="2" t="str">
        <f>Inventory_Master!E56</f>
        <v/>
      </c>
      <c r="C56" s="2" t="str">
        <f>Inventory_Master!C56</f>
        <v/>
      </c>
      <c r="D56" s="2" t="str">
        <f>Inventory_Master!R56</f>
        <v/>
      </c>
      <c r="E56" s="2" t="str">
        <f>Inventory_Master!W56</f>
        <v/>
      </c>
      <c r="F56" s="2" t="str">
        <f>IF($A56="","",TRIM(_xludf.textjoin("; ",TRUE(),IF(Inventory_Master!R56&lt;&gt;"OK","Invalid category",""),IF(Inventory_Master!J56="","Missing price_inr",""),IF(Inventory_Master!O56="","Missing image",""),IF(Inventory_Master!S56&gt;0,"Has size variants",""),IF(Inventory_Master!C56="ERROR","Validation error",""),IF(Inventory_Master!C56="WARNING","Review warning",""))))</f>
        <v/>
      </c>
      <c r="G56" s="2" t="str">
        <f t="shared" si="0"/>
        <v>NO</v>
      </c>
      <c r="H56" s="2" t="str">
        <f>IF($A56="","",IF(Inventory_Master!R56&lt;&gt;"OK","Invalid Category",IF(Inventory_Master!J56="","Missing Price",IF(Inventory_Master!O56="","Missing Image",IF(Inventory_Master!S56&gt;0,"Size Price Review",IF(Inventory_Master!C56="ERROR","Validation Error",""))))))</f>
        <v/>
      </c>
      <c r="I56" s="2" t="str">
        <f t="shared" si="1"/>
        <v/>
      </c>
      <c r="J56" s="2" t="str">
        <f t="shared" si="2"/>
        <v/>
      </c>
    </row>
    <row r="57" spans="1:10" ht="12" customHeight="1" x14ac:dyDescent="0.3">
      <c r="A57" s="2" t="str">
        <f>Inventory_Master!D57</f>
        <v/>
      </c>
      <c r="B57" s="2" t="str">
        <f>Inventory_Master!E57</f>
        <v/>
      </c>
      <c r="C57" s="2" t="str">
        <f>Inventory_Master!C57</f>
        <v/>
      </c>
      <c r="D57" s="2" t="str">
        <f>Inventory_Master!R57</f>
        <v/>
      </c>
      <c r="E57" s="2" t="str">
        <f>Inventory_Master!W57</f>
        <v/>
      </c>
      <c r="F57" s="2" t="str">
        <f>IF($A57="","",TRIM(_xludf.textjoin("; ",TRUE(),IF(Inventory_Master!R57&lt;&gt;"OK","Invalid category",""),IF(Inventory_Master!J57="","Missing price_inr",""),IF(Inventory_Master!O57="","Missing image",""),IF(Inventory_Master!S57&gt;0,"Has size variants",""),IF(Inventory_Master!C57="ERROR","Validation error",""),IF(Inventory_Master!C57="WARNING","Review warning",""))))</f>
        <v/>
      </c>
      <c r="G57" s="2" t="str">
        <f t="shared" si="0"/>
        <v>NO</v>
      </c>
      <c r="H57" s="2" t="str">
        <f>IF($A57="","",IF(Inventory_Master!R57&lt;&gt;"OK","Invalid Category",IF(Inventory_Master!J57="","Missing Price",IF(Inventory_Master!O57="","Missing Image",IF(Inventory_Master!S57&gt;0,"Size Price Review",IF(Inventory_Master!C57="ERROR","Validation Error",""))))))</f>
        <v/>
      </c>
      <c r="I57" s="2" t="str">
        <f t="shared" si="1"/>
        <v/>
      </c>
      <c r="J57" s="2" t="str">
        <f t="shared" si="2"/>
        <v/>
      </c>
    </row>
    <row r="58" spans="1:10" ht="12" customHeight="1" x14ac:dyDescent="0.3">
      <c r="A58" s="2" t="str">
        <f>Inventory_Master!D58</f>
        <v/>
      </c>
      <c r="B58" s="2" t="str">
        <f>Inventory_Master!E58</f>
        <v/>
      </c>
      <c r="C58" s="2" t="str">
        <f>Inventory_Master!C58</f>
        <v/>
      </c>
      <c r="D58" s="2" t="str">
        <f>Inventory_Master!R58</f>
        <v/>
      </c>
      <c r="E58" s="2" t="str">
        <f>Inventory_Master!W58</f>
        <v/>
      </c>
      <c r="F58" s="2" t="str">
        <f>IF($A58="","",TRIM(_xludf.textjoin("; ",TRUE(),IF(Inventory_Master!R58&lt;&gt;"OK","Invalid category",""),IF(Inventory_Master!J58="","Missing price_inr",""),IF(Inventory_Master!O58="","Missing image",""),IF(Inventory_Master!S58&gt;0,"Has size variants",""),IF(Inventory_Master!C58="ERROR","Validation error",""),IF(Inventory_Master!C58="WARNING","Review warning",""))))</f>
        <v/>
      </c>
      <c r="G58" s="2" t="str">
        <f t="shared" si="0"/>
        <v>NO</v>
      </c>
      <c r="H58" s="2" t="str">
        <f>IF($A58="","",IF(Inventory_Master!R58&lt;&gt;"OK","Invalid Category",IF(Inventory_Master!J58="","Missing Price",IF(Inventory_Master!O58="","Missing Image",IF(Inventory_Master!S58&gt;0,"Size Price Review",IF(Inventory_Master!C58="ERROR","Validation Error",""))))))</f>
        <v/>
      </c>
      <c r="I58" s="2" t="str">
        <f t="shared" si="1"/>
        <v/>
      </c>
      <c r="J58" s="2" t="str">
        <f t="shared" si="2"/>
        <v/>
      </c>
    </row>
    <row r="59" spans="1:10" ht="12" customHeight="1" x14ac:dyDescent="0.3">
      <c r="A59" s="2" t="str">
        <f>Inventory_Master!D59</f>
        <v/>
      </c>
      <c r="B59" s="2" t="str">
        <f>Inventory_Master!E59</f>
        <v/>
      </c>
      <c r="C59" s="2" t="str">
        <f>Inventory_Master!C59</f>
        <v/>
      </c>
      <c r="D59" s="2" t="str">
        <f>Inventory_Master!R59</f>
        <v/>
      </c>
      <c r="E59" s="2" t="str">
        <f>Inventory_Master!W59</f>
        <v/>
      </c>
      <c r="F59" s="2" t="str">
        <f>IF($A59="","",TRIM(_xludf.textjoin("; ",TRUE(),IF(Inventory_Master!R59&lt;&gt;"OK","Invalid category",""),IF(Inventory_Master!J59="","Missing price_inr",""),IF(Inventory_Master!O59="","Missing image",""),IF(Inventory_Master!S59&gt;0,"Has size variants",""),IF(Inventory_Master!C59="ERROR","Validation error",""),IF(Inventory_Master!C59="WARNING","Review warning",""))))</f>
        <v/>
      </c>
      <c r="G59" s="2" t="str">
        <f t="shared" si="0"/>
        <v>NO</v>
      </c>
      <c r="H59" s="2" t="str">
        <f>IF($A59="","",IF(Inventory_Master!R59&lt;&gt;"OK","Invalid Category",IF(Inventory_Master!J59="","Missing Price",IF(Inventory_Master!O59="","Missing Image",IF(Inventory_Master!S59&gt;0,"Size Price Review",IF(Inventory_Master!C59="ERROR","Validation Error",""))))))</f>
        <v/>
      </c>
      <c r="I59" s="2" t="str">
        <f t="shared" si="1"/>
        <v/>
      </c>
      <c r="J59" s="2" t="str">
        <f t="shared" si="2"/>
        <v/>
      </c>
    </row>
    <row r="60" spans="1:10" ht="12" customHeight="1" x14ac:dyDescent="0.3">
      <c r="A60" s="2" t="str">
        <f>Inventory_Master!D60</f>
        <v/>
      </c>
      <c r="B60" s="2" t="str">
        <f>Inventory_Master!E60</f>
        <v/>
      </c>
      <c r="C60" s="2" t="str">
        <f>Inventory_Master!C60</f>
        <v/>
      </c>
      <c r="D60" s="2" t="str">
        <f>Inventory_Master!R60</f>
        <v/>
      </c>
      <c r="E60" s="2" t="str">
        <f>Inventory_Master!W60</f>
        <v/>
      </c>
      <c r="F60" s="2" t="str">
        <f>IF($A60="","",TRIM(_xludf.textjoin("; ",TRUE(),IF(Inventory_Master!R60&lt;&gt;"OK","Invalid category",""),IF(Inventory_Master!J60="","Missing price_inr",""),IF(Inventory_Master!O60="","Missing image",""),IF(Inventory_Master!S60&gt;0,"Has size variants",""),IF(Inventory_Master!C60="ERROR","Validation error",""),IF(Inventory_Master!C60="WARNING","Review warning",""))))</f>
        <v/>
      </c>
      <c r="G60" s="2" t="str">
        <f t="shared" si="0"/>
        <v>NO</v>
      </c>
      <c r="H60" s="2" t="str">
        <f>IF($A60="","",IF(Inventory_Master!R60&lt;&gt;"OK","Invalid Category",IF(Inventory_Master!J60="","Missing Price",IF(Inventory_Master!O60="","Missing Image",IF(Inventory_Master!S60&gt;0,"Size Price Review",IF(Inventory_Master!C60="ERROR","Validation Error",""))))))</f>
        <v/>
      </c>
      <c r="I60" s="2" t="str">
        <f t="shared" si="1"/>
        <v/>
      </c>
      <c r="J60" s="2" t="str">
        <f t="shared" si="2"/>
        <v/>
      </c>
    </row>
    <row r="61" spans="1:10" ht="12" customHeight="1" x14ac:dyDescent="0.3">
      <c r="A61" s="2" t="str">
        <f>Inventory_Master!D61</f>
        <v/>
      </c>
      <c r="B61" s="2" t="str">
        <f>Inventory_Master!E61</f>
        <v/>
      </c>
      <c r="C61" s="2" t="str">
        <f>Inventory_Master!C61</f>
        <v/>
      </c>
      <c r="D61" s="2" t="str">
        <f>Inventory_Master!R61</f>
        <v/>
      </c>
      <c r="E61" s="2" t="str">
        <f>Inventory_Master!W61</f>
        <v/>
      </c>
      <c r="F61" s="2" t="str">
        <f>IF($A61="","",TRIM(_xludf.textjoin("; ",TRUE(),IF(Inventory_Master!R61&lt;&gt;"OK","Invalid category",""),IF(Inventory_Master!J61="","Missing price_inr",""),IF(Inventory_Master!O61="","Missing image",""),IF(Inventory_Master!S61&gt;0,"Has size variants",""),IF(Inventory_Master!C61="ERROR","Validation error",""),IF(Inventory_Master!C61="WARNING","Review warning",""))))</f>
        <v/>
      </c>
      <c r="G61" s="2" t="str">
        <f t="shared" si="0"/>
        <v>NO</v>
      </c>
      <c r="H61" s="2" t="str">
        <f>IF($A61="","",IF(Inventory_Master!R61&lt;&gt;"OK","Invalid Category",IF(Inventory_Master!J61="","Missing Price",IF(Inventory_Master!O61="","Missing Image",IF(Inventory_Master!S61&gt;0,"Size Price Review",IF(Inventory_Master!C61="ERROR","Validation Error",""))))))</f>
        <v/>
      </c>
      <c r="I61" s="2" t="str">
        <f t="shared" si="1"/>
        <v/>
      </c>
      <c r="J61" s="2" t="str">
        <f t="shared" si="2"/>
        <v/>
      </c>
    </row>
    <row r="62" spans="1:10" ht="12" customHeight="1" x14ac:dyDescent="0.3">
      <c r="A62" s="2" t="str">
        <f>Inventory_Master!D62</f>
        <v/>
      </c>
      <c r="B62" s="2" t="str">
        <f>Inventory_Master!E62</f>
        <v/>
      </c>
      <c r="C62" s="2" t="str">
        <f>Inventory_Master!C62</f>
        <v/>
      </c>
      <c r="D62" s="2" t="str">
        <f>Inventory_Master!R62</f>
        <v/>
      </c>
      <c r="E62" s="2" t="str">
        <f>Inventory_Master!W62</f>
        <v/>
      </c>
      <c r="F62" s="2" t="str">
        <f>IF($A62="","",TRIM(_xludf.textjoin("; ",TRUE(),IF(Inventory_Master!R62&lt;&gt;"OK","Invalid category",""),IF(Inventory_Master!J62="","Missing price_inr",""),IF(Inventory_Master!O62="","Missing image",""),IF(Inventory_Master!S62&gt;0,"Has size variants",""),IF(Inventory_Master!C62="ERROR","Validation error",""),IF(Inventory_Master!C62="WARNING","Review warning",""))))</f>
        <v/>
      </c>
      <c r="G62" s="2" t="str">
        <f t="shared" si="0"/>
        <v>NO</v>
      </c>
      <c r="H62" s="2" t="str">
        <f>IF($A62="","",IF(Inventory_Master!R62&lt;&gt;"OK","Invalid Category",IF(Inventory_Master!J62="","Missing Price",IF(Inventory_Master!O62="","Missing Image",IF(Inventory_Master!S62&gt;0,"Size Price Review",IF(Inventory_Master!C62="ERROR","Validation Error",""))))))</f>
        <v/>
      </c>
      <c r="I62" s="2" t="str">
        <f t="shared" si="1"/>
        <v/>
      </c>
      <c r="J62" s="2" t="str">
        <f t="shared" si="2"/>
        <v/>
      </c>
    </row>
    <row r="63" spans="1:10" ht="12" customHeight="1" x14ac:dyDescent="0.3">
      <c r="A63" s="2" t="str">
        <f>Inventory_Master!D63</f>
        <v/>
      </c>
      <c r="B63" s="2" t="str">
        <f>Inventory_Master!E63</f>
        <v/>
      </c>
      <c r="C63" s="2" t="str">
        <f>Inventory_Master!C63</f>
        <v/>
      </c>
      <c r="D63" s="2" t="str">
        <f>Inventory_Master!R63</f>
        <v/>
      </c>
      <c r="E63" s="2" t="str">
        <f>Inventory_Master!W63</f>
        <v/>
      </c>
      <c r="F63" s="2" t="str">
        <f>IF($A63="","",TRIM(_xludf.textjoin("; ",TRUE(),IF(Inventory_Master!R63&lt;&gt;"OK","Invalid category",""),IF(Inventory_Master!J63="","Missing price_inr",""),IF(Inventory_Master!O63="","Missing image",""),IF(Inventory_Master!S63&gt;0,"Has size variants",""),IF(Inventory_Master!C63="ERROR","Validation error",""),IF(Inventory_Master!C63="WARNING","Review warning",""))))</f>
        <v/>
      </c>
      <c r="G63" s="2" t="str">
        <f t="shared" si="0"/>
        <v>NO</v>
      </c>
      <c r="H63" s="2" t="str">
        <f>IF($A63="","",IF(Inventory_Master!R63&lt;&gt;"OK","Invalid Category",IF(Inventory_Master!J63="","Missing Price",IF(Inventory_Master!O63="","Missing Image",IF(Inventory_Master!S63&gt;0,"Size Price Review",IF(Inventory_Master!C63="ERROR","Validation Error",""))))))</f>
        <v/>
      </c>
      <c r="I63" s="2" t="str">
        <f t="shared" si="1"/>
        <v/>
      </c>
      <c r="J63" s="2" t="str">
        <f t="shared" si="2"/>
        <v/>
      </c>
    </row>
    <row r="64" spans="1:10" ht="12" customHeight="1" x14ac:dyDescent="0.3">
      <c r="A64" s="2" t="str">
        <f>Inventory_Master!D64</f>
        <v/>
      </c>
      <c r="B64" s="2" t="str">
        <f>Inventory_Master!E64</f>
        <v/>
      </c>
      <c r="C64" s="2" t="str">
        <f>Inventory_Master!C64</f>
        <v/>
      </c>
      <c r="D64" s="2" t="str">
        <f>Inventory_Master!R64</f>
        <v/>
      </c>
      <c r="E64" s="2" t="str">
        <f>Inventory_Master!W64</f>
        <v/>
      </c>
      <c r="F64" s="2" t="str">
        <f>IF($A64="","",TRIM(_xludf.textjoin("; ",TRUE(),IF(Inventory_Master!R64&lt;&gt;"OK","Invalid category",""),IF(Inventory_Master!J64="","Missing price_inr",""),IF(Inventory_Master!O64="","Missing image",""),IF(Inventory_Master!S64&gt;0,"Has size variants",""),IF(Inventory_Master!C64="ERROR","Validation error",""),IF(Inventory_Master!C64="WARNING","Review warning",""))))</f>
        <v/>
      </c>
      <c r="G64" s="2" t="str">
        <f t="shared" si="0"/>
        <v>NO</v>
      </c>
      <c r="H64" s="2" t="str">
        <f>IF($A64="","",IF(Inventory_Master!R64&lt;&gt;"OK","Invalid Category",IF(Inventory_Master!J64="","Missing Price",IF(Inventory_Master!O64="","Missing Image",IF(Inventory_Master!S64&gt;0,"Size Price Review",IF(Inventory_Master!C64="ERROR","Validation Error",""))))))</f>
        <v/>
      </c>
      <c r="I64" s="2" t="str">
        <f t="shared" si="1"/>
        <v/>
      </c>
      <c r="J64" s="2" t="str">
        <f t="shared" si="2"/>
        <v/>
      </c>
    </row>
    <row r="65" spans="1:10" ht="12" customHeight="1" x14ac:dyDescent="0.3">
      <c r="A65" s="2" t="str">
        <f>Inventory_Master!D65</f>
        <v/>
      </c>
      <c r="B65" s="2" t="str">
        <f>Inventory_Master!E65</f>
        <v/>
      </c>
      <c r="C65" s="2" t="str">
        <f>Inventory_Master!C65</f>
        <v/>
      </c>
      <c r="D65" s="2" t="str">
        <f>Inventory_Master!R65</f>
        <v/>
      </c>
      <c r="E65" s="2" t="str">
        <f>Inventory_Master!W65</f>
        <v/>
      </c>
      <c r="F65" s="2" t="str">
        <f>IF($A65="","",TRIM(_xludf.textjoin("; ",TRUE(),IF(Inventory_Master!R65&lt;&gt;"OK","Invalid category",""),IF(Inventory_Master!J65="","Missing price_inr",""),IF(Inventory_Master!O65="","Missing image",""),IF(Inventory_Master!S65&gt;0,"Has size variants",""),IF(Inventory_Master!C65="ERROR","Validation error",""),IF(Inventory_Master!C65="WARNING","Review warning",""))))</f>
        <v/>
      </c>
      <c r="G65" s="2" t="str">
        <f t="shared" si="0"/>
        <v>NO</v>
      </c>
      <c r="H65" s="2" t="str">
        <f>IF($A65="","",IF(Inventory_Master!R65&lt;&gt;"OK","Invalid Category",IF(Inventory_Master!J65="","Missing Price",IF(Inventory_Master!O65="","Missing Image",IF(Inventory_Master!S65&gt;0,"Size Price Review",IF(Inventory_Master!C65="ERROR","Validation Error",""))))))</f>
        <v/>
      </c>
      <c r="I65" s="2" t="str">
        <f t="shared" si="1"/>
        <v/>
      </c>
      <c r="J65" s="2" t="str">
        <f t="shared" si="2"/>
        <v/>
      </c>
    </row>
    <row r="66" spans="1:10" ht="12" customHeight="1" x14ac:dyDescent="0.3">
      <c r="A66" s="2" t="str">
        <f>Inventory_Master!D66</f>
        <v/>
      </c>
      <c r="B66" s="2" t="str">
        <f>Inventory_Master!E66</f>
        <v/>
      </c>
      <c r="C66" s="2" t="str">
        <f>Inventory_Master!C66</f>
        <v/>
      </c>
      <c r="D66" s="2" t="str">
        <f>Inventory_Master!R66</f>
        <v/>
      </c>
      <c r="E66" s="2" t="str">
        <f>Inventory_Master!W66</f>
        <v/>
      </c>
      <c r="F66" s="2" t="str">
        <f>IF($A66="","",TRIM(_xludf.textjoin("; ",TRUE(),IF(Inventory_Master!R66&lt;&gt;"OK","Invalid category",""),IF(Inventory_Master!J66="","Missing price_inr",""),IF(Inventory_Master!O66="","Missing image",""),IF(Inventory_Master!S66&gt;0,"Has size variants",""),IF(Inventory_Master!C66="ERROR","Validation error",""),IF(Inventory_Master!C66="WARNING","Review warning",""))))</f>
        <v/>
      </c>
      <c r="G66" s="2" t="str">
        <f t="shared" si="0"/>
        <v>NO</v>
      </c>
      <c r="H66" s="2" t="str">
        <f>IF($A66="","",IF(Inventory_Master!R66&lt;&gt;"OK","Invalid Category",IF(Inventory_Master!J66="","Missing Price",IF(Inventory_Master!O66="","Missing Image",IF(Inventory_Master!S66&gt;0,"Size Price Review",IF(Inventory_Master!C66="ERROR","Validation Error",""))))))</f>
        <v/>
      </c>
      <c r="I66" s="2" t="str">
        <f t="shared" si="1"/>
        <v/>
      </c>
      <c r="J66" s="2" t="str">
        <f t="shared" si="2"/>
        <v/>
      </c>
    </row>
    <row r="67" spans="1:10" ht="12" customHeight="1" x14ac:dyDescent="0.3">
      <c r="A67" s="2" t="str">
        <f>Inventory_Master!D67</f>
        <v/>
      </c>
      <c r="B67" s="2" t="str">
        <f>Inventory_Master!E67</f>
        <v/>
      </c>
      <c r="C67" s="2" t="str">
        <f>Inventory_Master!C67</f>
        <v/>
      </c>
      <c r="D67" s="2" t="str">
        <f>Inventory_Master!R67</f>
        <v/>
      </c>
      <c r="E67" s="2" t="str">
        <f>Inventory_Master!W67</f>
        <v/>
      </c>
      <c r="F67" s="2" t="str">
        <f>IF($A67="","",TRIM(_xludf.textjoin("; ",TRUE(),IF(Inventory_Master!R67&lt;&gt;"OK","Invalid category",""),IF(Inventory_Master!J67="","Missing price_inr",""),IF(Inventory_Master!O67="","Missing image",""),IF(Inventory_Master!S67&gt;0,"Has size variants",""),IF(Inventory_Master!C67="ERROR","Validation error",""),IF(Inventory_Master!C67="WARNING","Review warning",""))))</f>
        <v/>
      </c>
      <c r="G67" s="2" t="str">
        <f t="shared" si="0"/>
        <v>NO</v>
      </c>
      <c r="H67" s="2" t="str">
        <f>IF($A67="","",IF(Inventory_Master!R67&lt;&gt;"OK","Invalid Category",IF(Inventory_Master!J67="","Missing Price",IF(Inventory_Master!O67="","Missing Image",IF(Inventory_Master!S67&gt;0,"Size Price Review",IF(Inventory_Master!C67="ERROR","Validation Error",""))))))</f>
        <v/>
      </c>
      <c r="I67" s="2" t="str">
        <f t="shared" si="1"/>
        <v/>
      </c>
      <c r="J67" s="2" t="str">
        <f t="shared" si="2"/>
        <v/>
      </c>
    </row>
    <row r="68" spans="1:10" ht="12" customHeight="1" x14ac:dyDescent="0.3">
      <c r="A68" s="2" t="str">
        <f>Inventory_Master!D68</f>
        <v/>
      </c>
      <c r="B68" s="2" t="str">
        <f>Inventory_Master!E68</f>
        <v/>
      </c>
      <c r="C68" s="2" t="str">
        <f>Inventory_Master!C68</f>
        <v/>
      </c>
      <c r="D68" s="2" t="str">
        <f>Inventory_Master!R68</f>
        <v/>
      </c>
      <c r="E68" s="2" t="str">
        <f>Inventory_Master!W68</f>
        <v/>
      </c>
      <c r="F68" s="2" t="str">
        <f>IF($A68="","",TRIM(_xludf.textjoin("; ",TRUE(),IF(Inventory_Master!R68&lt;&gt;"OK","Invalid category",""),IF(Inventory_Master!J68="","Missing price_inr",""),IF(Inventory_Master!O68="","Missing image",""),IF(Inventory_Master!S68&gt;0,"Has size variants",""),IF(Inventory_Master!C68="ERROR","Validation error",""),IF(Inventory_Master!C68="WARNING","Review warning",""))))</f>
        <v/>
      </c>
      <c r="G68" s="2" t="str">
        <f t="shared" si="0"/>
        <v>NO</v>
      </c>
      <c r="H68" s="2" t="str">
        <f>IF($A68="","",IF(Inventory_Master!R68&lt;&gt;"OK","Invalid Category",IF(Inventory_Master!J68="","Missing Price",IF(Inventory_Master!O68="","Missing Image",IF(Inventory_Master!S68&gt;0,"Size Price Review",IF(Inventory_Master!C68="ERROR","Validation Error",""))))))</f>
        <v/>
      </c>
      <c r="I68" s="2" t="str">
        <f t="shared" si="1"/>
        <v/>
      </c>
      <c r="J68" s="2" t="str">
        <f t="shared" si="2"/>
        <v/>
      </c>
    </row>
    <row r="69" spans="1:10" ht="12" customHeight="1" x14ac:dyDescent="0.3">
      <c r="A69" s="2" t="str">
        <f>Inventory_Master!D69</f>
        <v/>
      </c>
      <c r="B69" s="2" t="str">
        <f>Inventory_Master!E69</f>
        <v/>
      </c>
      <c r="C69" s="2" t="str">
        <f>Inventory_Master!C69</f>
        <v/>
      </c>
      <c r="D69" s="2" t="str">
        <f>Inventory_Master!R69</f>
        <v/>
      </c>
      <c r="E69" s="2" t="str">
        <f>Inventory_Master!W69</f>
        <v/>
      </c>
      <c r="F69" s="2" t="str">
        <f>IF($A69="","",TRIM(_xludf.textjoin("; ",TRUE(),IF(Inventory_Master!R69&lt;&gt;"OK","Invalid category",""),IF(Inventory_Master!J69="","Missing price_inr",""),IF(Inventory_Master!O69="","Missing image",""),IF(Inventory_Master!S69&gt;0,"Has size variants",""),IF(Inventory_Master!C69="ERROR","Validation error",""),IF(Inventory_Master!C69="WARNING","Review warning",""))))</f>
        <v/>
      </c>
      <c r="G69" s="2" t="str">
        <f t="shared" si="0"/>
        <v>NO</v>
      </c>
      <c r="H69" s="2" t="str">
        <f>IF($A69="","",IF(Inventory_Master!R69&lt;&gt;"OK","Invalid Category",IF(Inventory_Master!J69="","Missing Price",IF(Inventory_Master!O69="","Missing Image",IF(Inventory_Master!S69&gt;0,"Size Price Review",IF(Inventory_Master!C69="ERROR","Validation Error",""))))))</f>
        <v/>
      </c>
      <c r="I69" s="2" t="str">
        <f t="shared" si="1"/>
        <v/>
      </c>
      <c r="J69" s="2" t="str">
        <f t="shared" si="2"/>
        <v/>
      </c>
    </row>
    <row r="70" spans="1:10" ht="12" customHeight="1" x14ac:dyDescent="0.3">
      <c r="A70" s="2" t="str">
        <f>Inventory_Master!D70</f>
        <v/>
      </c>
      <c r="B70" s="2" t="str">
        <f>Inventory_Master!E70</f>
        <v/>
      </c>
      <c r="C70" s="2" t="str">
        <f>Inventory_Master!C70</f>
        <v/>
      </c>
      <c r="D70" s="2" t="str">
        <f>Inventory_Master!R70</f>
        <v/>
      </c>
      <c r="E70" s="2" t="str">
        <f>Inventory_Master!W70</f>
        <v/>
      </c>
      <c r="F70" s="2" t="str">
        <f>IF($A70="","",TRIM(_xludf.textjoin("; ",TRUE(),IF(Inventory_Master!R70&lt;&gt;"OK","Invalid category",""),IF(Inventory_Master!J70="","Missing price_inr",""),IF(Inventory_Master!O70="","Missing image",""),IF(Inventory_Master!S70&gt;0,"Has size variants",""),IF(Inventory_Master!C70="ERROR","Validation error",""),IF(Inventory_Master!C70="WARNING","Review warning",""))))</f>
        <v/>
      </c>
      <c r="G70" s="2" t="str">
        <f t="shared" si="0"/>
        <v>NO</v>
      </c>
      <c r="H70" s="2" t="str">
        <f>IF($A70="","",IF(Inventory_Master!R70&lt;&gt;"OK","Invalid Category",IF(Inventory_Master!J70="","Missing Price",IF(Inventory_Master!O70="","Missing Image",IF(Inventory_Master!S70&gt;0,"Size Price Review",IF(Inventory_Master!C70="ERROR","Validation Error",""))))))</f>
        <v/>
      </c>
      <c r="I70" s="2" t="str">
        <f t="shared" si="1"/>
        <v/>
      </c>
      <c r="J70" s="2" t="str">
        <f t="shared" si="2"/>
        <v/>
      </c>
    </row>
    <row r="71" spans="1:10" ht="12" customHeight="1" x14ac:dyDescent="0.3">
      <c r="A71" s="2" t="str">
        <f>Inventory_Master!D71</f>
        <v/>
      </c>
      <c r="B71" s="2" t="str">
        <f>Inventory_Master!E71</f>
        <v/>
      </c>
      <c r="C71" s="2" t="str">
        <f>Inventory_Master!C71</f>
        <v/>
      </c>
      <c r="D71" s="2" t="str">
        <f>Inventory_Master!R71</f>
        <v/>
      </c>
      <c r="E71" s="2" t="str">
        <f>Inventory_Master!W71</f>
        <v/>
      </c>
      <c r="F71" s="2" t="str">
        <f>IF($A71="","",TRIM(_xludf.textjoin("; ",TRUE(),IF(Inventory_Master!R71&lt;&gt;"OK","Invalid category",""),IF(Inventory_Master!J71="","Missing price_inr",""),IF(Inventory_Master!O71="","Missing image",""),IF(Inventory_Master!S71&gt;0,"Has size variants",""),IF(Inventory_Master!C71="ERROR","Validation error",""),IF(Inventory_Master!C71="WARNING","Review warning",""))))</f>
        <v/>
      </c>
      <c r="G71" s="2" t="str">
        <f t="shared" si="0"/>
        <v>NO</v>
      </c>
      <c r="H71" s="2" t="str">
        <f>IF($A71="","",IF(Inventory_Master!R71&lt;&gt;"OK","Invalid Category",IF(Inventory_Master!J71="","Missing Price",IF(Inventory_Master!O71="","Missing Image",IF(Inventory_Master!S71&gt;0,"Size Price Review",IF(Inventory_Master!C71="ERROR","Validation Error",""))))))</f>
        <v/>
      </c>
      <c r="I71" s="2" t="str">
        <f t="shared" si="1"/>
        <v/>
      </c>
      <c r="J71" s="2" t="str">
        <f t="shared" si="2"/>
        <v/>
      </c>
    </row>
    <row r="72" spans="1:10" ht="12" customHeight="1" x14ac:dyDescent="0.3">
      <c r="A72" s="2" t="str">
        <f>Inventory_Master!D72</f>
        <v/>
      </c>
      <c r="B72" s="2" t="str">
        <f>Inventory_Master!E72</f>
        <v/>
      </c>
      <c r="C72" s="2" t="str">
        <f>Inventory_Master!C72</f>
        <v/>
      </c>
      <c r="D72" s="2" t="str">
        <f>Inventory_Master!R72</f>
        <v/>
      </c>
      <c r="E72" s="2" t="str">
        <f>Inventory_Master!W72</f>
        <v/>
      </c>
      <c r="F72" s="2" t="str">
        <f>IF($A72="","",TRIM(_xludf.textjoin("; ",TRUE(),IF(Inventory_Master!R72&lt;&gt;"OK","Invalid category",""),IF(Inventory_Master!J72="","Missing price_inr",""),IF(Inventory_Master!O72="","Missing image",""),IF(Inventory_Master!S72&gt;0,"Has size variants",""),IF(Inventory_Master!C72="ERROR","Validation error",""),IF(Inventory_Master!C72="WARNING","Review warning",""))))</f>
        <v/>
      </c>
      <c r="G72" s="2" t="str">
        <f t="shared" si="0"/>
        <v>NO</v>
      </c>
      <c r="H72" s="2" t="str">
        <f>IF($A72="","",IF(Inventory_Master!R72&lt;&gt;"OK","Invalid Category",IF(Inventory_Master!J72="","Missing Price",IF(Inventory_Master!O72="","Missing Image",IF(Inventory_Master!S72&gt;0,"Size Price Review",IF(Inventory_Master!C72="ERROR","Validation Error",""))))))</f>
        <v/>
      </c>
      <c r="I72" s="2" t="str">
        <f t="shared" si="1"/>
        <v/>
      </c>
      <c r="J72" s="2" t="str">
        <f t="shared" si="2"/>
        <v/>
      </c>
    </row>
    <row r="73" spans="1:10" ht="12" customHeight="1" x14ac:dyDescent="0.3">
      <c r="A73" s="2" t="str">
        <f>Inventory_Master!D73</f>
        <v/>
      </c>
      <c r="B73" s="2" t="str">
        <f>Inventory_Master!E73</f>
        <v/>
      </c>
      <c r="C73" s="2" t="str">
        <f>Inventory_Master!C73</f>
        <v/>
      </c>
      <c r="D73" s="2" t="str">
        <f>Inventory_Master!R73</f>
        <v/>
      </c>
      <c r="E73" s="2" t="str">
        <f>Inventory_Master!W73</f>
        <v/>
      </c>
      <c r="F73" s="2" t="str">
        <f>IF($A73="","",TRIM(_xludf.textjoin("; ",TRUE(),IF(Inventory_Master!R73&lt;&gt;"OK","Invalid category",""),IF(Inventory_Master!J73="","Missing price_inr",""),IF(Inventory_Master!O73="","Missing image",""),IF(Inventory_Master!S73&gt;0,"Has size variants",""),IF(Inventory_Master!C73="ERROR","Validation error",""),IF(Inventory_Master!C73="WARNING","Review warning",""))))</f>
        <v/>
      </c>
      <c r="G73" s="2" t="str">
        <f t="shared" si="0"/>
        <v>NO</v>
      </c>
      <c r="H73" s="2" t="str">
        <f>IF($A73="","",IF(Inventory_Master!R73&lt;&gt;"OK","Invalid Category",IF(Inventory_Master!J73="","Missing Price",IF(Inventory_Master!O73="","Missing Image",IF(Inventory_Master!S73&gt;0,"Size Price Review",IF(Inventory_Master!C73="ERROR","Validation Error",""))))))</f>
        <v/>
      </c>
      <c r="I73" s="2" t="str">
        <f t="shared" si="1"/>
        <v/>
      </c>
      <c r="J73" s="2" t="str">
        <f t="shared" si="2"/>
        <v/>
      </c>
    </row>
    <row r="74" spans="1:10" ht="12" customHeight="1" x14ac:dyDescent="0.3">
      <c r="A74" s="2" t="str">
        <f>Inventory_Master!D74</f>
        <v/>
      </c>
      <c r="B74" s="2" t="str">
        <f>Inventory_Master!E74</f>
        <v/>
      </c>
      <c r="C74" s="2" t="str">
        <f>Inventory_Master!C74</f>
        <v/>
      </c>
      <c r="D74" s="2" t="str">
        <f>Inventory_Master!R74</f>
        <v/>
      </c>
      <c r="E74" s="2" t="str">
        <f>Inventory_Master!W74</f>
        <v/>
      </c>
      <c r="F74" s="2" t="str">
        <f>IF($A74="","",TRIM(_xludf.textjoin("; ",TRUE(),IF(Inventory_Master!R74&lt;&gt;"OK","Invalid category",""),IF(Inventory_Master!J74="","Missing price_inr",""),IF(Inventory_Master!O74="","Missing image",""),IF(Inventory_Master!S74&gt;0,"Has size variants",""),IF(Inventory_Master!C74="ERROR","Validation error",""),IF(Inventory_Master!C74="WARNING","Review warning",""))))</f>
        <v/>
      </c>
      <c r="G74" s="2" t="str">
        <f t="shared" si="0"/>
        <v>NO</v>
      </c>
      <c r="H74" s="2" t="str">
        <f>IF($A74="","",IF(Inventory_Master!R74&lt;&gt;"OK","Invalid Category",IF(Inventory_Master!J74="","Missing Price",IF(Inventory_Master!O74="","Missing Image",IF(Inventory_Master!S74&gt;0,"Size Price Review",IF(Inventory_Master!C74="ERROR","Validation Error",""))))))</f>
        <v/>
      </c>
      <c r="I74" s="2" t="str">
        <f t="shared" si="1"/>
        <v/>
      </c>
      <c r="J74" s="2" t="str">
        <f t="shared" si="2"/>
        <v/>
      </c>
    </row>
    <row r="75" spans="1:10" ht="12" customHeight="1" x14ac:dyDescent="0.3">
      <c r="A75" s="2" t="str">
        <f>Inventory_Master!D75</f>
        <v/>
      </c>
      <c r="B75" s="2" t="str">
        <f>Inventory_Master!E75</f>
        <v/>
      </c>
      <c r="C75" s="2" t="str">
        <f>Inventory_Master!C75</f>
        <v/>
      </c>
      <c r="D75" s="2" t="str">
        <f>Inventory_Master!R75</f>
        <v/>
      </c>
      <c r="E75" s="2" t="str">
        <f>Inventory_Master!W75</f>
        <v/>
      </c>
      <c r="F75" s="2" t="str">
        <f>IF($A75="","",TRIM(_xludf.textjoin("; ",TRUE(),IF(Inventory_Master!R75&lt;&gt;"OK","Invalid category",""),IF(Inventory_Master!J75="","Missing price_inr",""),IF(Inventory_Master!O75="","Missing image",""),IF(Inventory_Master!S75&gt;0,"Has size variants",""),IF(Inventory_Master!C75="ERROR","Validation error",""),IF(Inventory_Master!C75="WARNING","Review warning",""))))</f>
        <v/>
      </c>
      <c r="G75" s="2" t="str">
        <f t="shared" si="0"/>
        <v>NO</v>
      </c>
      <c r="H75" s="2" t="str">
        <f>IF($A75="","",IF(Inventory_Master!R75&lt;&gt;"OK","Invalid Category",IF(Inventory_Master!J75="","Missing Price",IF(Inventory_Master!O75="","Missing Image",IF(Inventory_Master!S75&gt;0,"Size Price Review",IF(Inventory_Master!C75="ERROR","Validation Error",""))))))</f>
        <v/>
      </c>
      <c r="I75" s="2" t="str">
        <f t="shared" si="1"/>
        <v/>
      </c>
      <c r="J75" s="2" t="str">
        <f t="shared" si="2"/>
        <v/>
      </c>
    </row>
    <row r="76" spans="1:10" ht="12" customHeight="1" x14ac:dyDescent="0.3">
      <c r="A76" s="2" t="str">
        <f>Inventory_Master!D76</f>
        <v/>
      </c>
      <c r="B76" s="2" t="str">
        <f>Inventory_Master!E76</f>
        <v/>
      </c>
      <c r="C76" s="2" t="str">
        <f>Inventory_Master!C76</f>
        <v/>
      </c>
      <c r="D76" s="2" t="str">
        <f>Inventory_Master!R76</f>
        <v/>
      </c>
      <c r="E76" s="2" t="str">
        <f>Inventory_Master!W76</f>
        <v/>
      </c>
      <c r="F76" s="2" t="str">
        <f>IF($A76="","",TRIM(_xludf.textjoin("; ",TRUE(),IF(Inventory_Master!R76&lt;&gt;"OK","Invalid category",""),IF(Inventory_Master!J76="","Missing price_inr",""),IF(Inventory_Master!O76="","Missing image",""),IF(Inventory_Master!S76&gt;0,"Has size variants",""),IF(Inventory_Master!C76="ERROR","Validation error",""),IF(Inventory_Master!C76="WARNING","Review warning",""))))</f>
        <v/>
      </c>
      <c r="G76" s="2" t="str">
        <f t="shared" si="0"/>
        <v>NO</v>
      </c>
      <c r="H76" s="2" t="str">
        <f>IF($A76="","",IF(Inventory_Master!R76&lt;&gt;"OK","Invalid Category",IF(Inventory_Master!J76="","Missing Price",IF(Inventory_Master!O76="","Missing Image",IF(Inventory_Master!S76&gt;0,"Size Price Review",IF(Inventory_Master!C76="ERROR","Validation Error",""))))))</f>
        <v/>
      </c>
      <c r="I76" s="2" t="str">
        <f t="shared" si="1"/>
        <v/>
      </c>
      <c r="J76" s="2" t="str">
        <f t="shared" si="2"/>
        <v/>
      </c>
    </row>
    <row r="77" spans="1:10" ht="12" customHeight="1" x14ac:dyDescent="0.3">
      <c r="A77" s="2" t="str">
        <f>Inventory_Master!D77</f>
        <v/>
      </c>
      <c r="B77" s="2" t="str">
        <f>Inventory_Master!E77</f>
        <v/>
      </c>
      <c r="C77" s="2" t="str">
        <f>Inventory_Master!C77</f>
        <v/>
      </c>
      <c r="D77" s="2" t="str">
        <f>Inventory_Master!R77</f>
        <v/>
      </c>
      <c r="E77" s="2" t="str">
        <f>Inventory_Master!W77</f>
        <v/>
      </c>
      <c r="F77" s="2" t="str">
        <f>IF($A77="","",TRIM(_xludf.textjoin("; ",TRUE(),IF(Inventory_Master!R77&lt;&gt;"OK","Invalid category",""),IF(Inventory_Master!J77="","Missing price_inr",""),IF(Inventory_Master!O77="","Missing image",""),IF(Inventory_Master!S77&gt;0,"Has size variants",""),IF(Inventory_Master!C77="ERROR","Validation error",""),IF(Inventory_Master!C77="WARNING","Review warning",""))))</f>
        <v/>
      </c>
      <c r="G77" s="2" t="str">
        <f t="shared" si="0"/>
        <v>NO</v>
      </c>
      <c r="H77" s="2" t="str">
        <f>IF($A77="","",IF(Inventory_Master!R77&lt;&gt;"OK","Invalid Category",IF(Inventory_Master!J77="","Missing Price",IF(Inventory_Master!O77="","Missing Image",IF(Inventory_Master!S77&gt;0,"Size Price Review",IF(Inventory_Master!C77="ERROR","Validation Error",""))))))</f>
        <v/>
      </c>
      <c r="I77" s="2" t="str">
        <f t="shared" si="1"/>
        <v/>
      </c>
      <c r="J77" s="2" t="str">
        <f t="shared" si="2"/>
        <v/>
      </c>
    </row>
    <row r="78" spans="1:10" ht="12" customHeight="1" x14ac:dyDescent="0.3">
      <c r="A78" s="2" t="str">
        <f>Inventory_Master!D78</f>
        <v/>
      </c>
      <c r="B78" s="2" t="str">
        <f>Inventory_Master!E78</f>
        <v/>
      </c>
      <c r="C78" s="2" t="str">
        <f>Inventory_Master!C78</f>
        <v/>
      </c>
      <c r="D78" s="2" t="str">
        <f>Inventory_Master!R78</f>
        <v/>
      </c>
      <c r="E78" s="2" t="str">
        <f>Inventory_Master!W78</f>
        <v/>
      </c>
      <c r="F78" s="2" t="str">
        <f>IF($A78="","",TRIM(_xludf.textjoin("; ",TRUE(),IF(Inventory_Master!R78&lt;&gt;"OK","Invalid category",""),IF(Inventory_Master!J78="","Missing price_inr",""),IF(Inventory_Master!O78="","Missing image",""),IF(Inventory_Master!S78&gt;0,"Has size variants",""),IF(Inventory_Master!C78="ERROR","Validation error",""),IF(Inventory_Master!C78="WARNING","Review warning",""))))</f>
        <v/>
      </c>
      <c r="G78" s="2" t="str">
        <f t="shared" si="0"/>
        <v>NO</v>
      </c>
      <c r="H78" s="2" t="str">
        <f>IF($A78="","",IF(Inventory_Master!R78&lt;&gt;"OK","Invalid Category",IF(Inventory_Master!J78="","Missing Price",IF(Inventory_Master!O78="","Missing Image",IF(Inventory_Master!S78&gt;0,"Size Price Review",IF(Inventory_Master!C78="ERROR","Validation Error",""))))))</f>
        <v/>
      </c>
      <c r="I78" s="2" t="str">
        <f t="shared" si="1"/>
        <v/>
      </c>
      <c r="J78" s="2" t="str">
        <f t="shared" si="2"/>
        <v/>
      </c>
    </row>
    <row r="79" spans="1:10" ht="12" customHeight="1" x14ac:dyDescent="0.3">
      <c r="A79" s="2" t="str">
        <f>Inventory_Master!D79</f>
        <v/>
      </c>
      <c r="B79" s="2" t="str">
        <f>Inventory_Master!E79</f>
        <v/>
      </c>
      <c r="C79" s="2" t="str">
        <f>Inventory_Master!C79</f>
        <v/>
      </c>
      <c r="D79" s="2" t="str">
        <f>Inventory_Master!R79</f>
        <v/>
      </c>
      <c r="E79" s="2" t="str">
        <f>Inventory_Master!W79</f>
        <v/>
      </c>
      <c r="F79" s="2" t="str">
        <f>IF($A79="","",TRIM(_xludf.textjoin("; ",TRUE(),IF(Inventory_Master!R79&lt;&gt;"OK","Invalid category",""),IF(Inventory_Master!J79="","Missing price_inr",""),IF(Inventory_Master!O79="","Missing image",""),IF(Inventory_Master!S79&gt;0,"Has size variants",""),IF(Inventory_Master!C79="ERROR","Validation error",""),IF(Inventory_Master!C79="WARNING","Review warning",""))))</f>
        <v/>
      </c>
      <c r="G79" s="2" t="str">
        <f t="shared" si="0"/>
        <v>NO</v>
      </c>
      <c r="H79" s="2" t="str">
        <f>IF($A79="","",IF(Inventory_Master!R79&lt;&gt;"OK","Invalid Category",IF(Inventory_Master!J79="","Missing Price",IF(Inventory_Master!O79="","Missing Image",IF(Inventory_Master!S79&gt;0,"Size Price Review",IF(Inventory_Master!C79="ERROR","Validation Error",""))))))</f>
        <v/>
      </c>
      <c r="I79" s="2" t="str">
        <f t="shared" si="1"/>
        <v/>
      </c>
      <c r="J79" s="2" t="str">
        <f t="shared" si="2"/>
        <v/>
      </c>
    </row>
    <row r="80" spans="1:10" ht="12" customHeight="1" x14ac:dyDescent="0.3">
      <c r="A80" s="2" t="str">
        <f>Inventory_Master!D80</f>
        <v/>
      </c>
      <c r="B80" s="2" t="str">
        <f>Inventory_Master!E80</f>
        <v/>
      </c>
      <c r="C80" s="2" t="str">
        <f>Inventory_Master!C80</f>
        <v/>
      </c>
      <c r="D80" s="2" t="str">
        <f>Inventory_Master!R80</f>
        <v/>
      </c>
      <c r="E80" s="2" t="str">
        <f>Inventory_Master!W80</f>
        <v/>
      </c>
      <c r="F80" s="2" t="str">
        <f>IF($A80="","",TRIM(_xludf.textjoin("; ",TRUE(),IF(Inventory_Master!R80&lt;&gt;"OK","Invalid category",""),IF(Inventory_Master!J80="","Missing price_inr",""),IF(Inventory_Master!O80="","Missing image",""),IF(Inventory_Master!S80&gt;0,"Has size variants",""),IF(Inventory_Master!C80="ERROR","Validation error",""),IF(Inventory_Master!C80="WARNING","Review warning",""))))</f>
        <v/>
      </c>
      <c r="G80" s="2" t="str">
        <f t="shared" si="0"/>
        <v>NO</v>
      </c>
      <c r="H80" s="2" t="str">
        <f>IF($A80="","",IF(Inventory_Master!R80&lt;&gt;"OK","Invalid Category",IF(Inventory_Master!J80="","Missing Price",IF(Inventory_Master!O80="","Missing Image",IF(Inventory_Master!S80&gt;0,"Size Price Review",IF(Inventory_Master!C80="ERROR","Validation Error",""))))))</f>
        <v/>
      </c>
      <c r="I80" s="2" t="str">
        <f t="shared" si="1"/>
        <v/>
      </c>
      <c r="J80" s="2" t="str">
        <f t="shared" si="2"/>
        <v/>
      </c>
    </row>
    <row r="81" spans="1:10" ht="12" customHeight="1" x14ac:dyDescent="0.3">
      <c r="A81" s="2" t="str">
        <f>Inventory_Master!D81</f>
        <v/>
      </c>
      <c r="B81" s="2" t="str">
        <f>Inventory_Master!E81</f>
        <v/>
      </c>
      <c r="C81" s="2" t="str">
        <f>Inventory_Master!C81</f>
        <v/>
      </c>
      <c r="D81" s="2" t="str">
        <f>Inventory_Master!R81</f>
        <v/>
      </c>
      <c r="E81" s="2" t="str">
        <f>Inventory_Master!W81</f>
        <v/>
      </c>
      <c r="F81" s="2" t="str">
        <f>IF($A81="","",TRIM(_xludf.textjoin("; ",TRUE(),IF(Inventory_Master!R81&lt;&gt;"OK","Invalid category",""),IF(Inventory_Master!J81="","Missing price_inr",""),IF(Inventory_Master!O81="","Missing image",""),IF(Inventory_Master!S81&gt;0,"Has size variants",""),IF(Inventory_Master!C81="ERROR","Validation error",""),IF(Inventory_Master!C81="WARNING","Review warning",""))))</f>
        <v/>
      </c>
      <c r="G81" s="2" t="str">
        <f t="shared" si="0"/>
        <v>NO</v>
      </c>
      <c r="H81" s="2" t="str">
        <f>IF($A81="","",IF(Inventory_Master!R81&lt;&gt;"OK","Invalid Category",IF(Inventory_Master!J81="","Missing Price",IF(Inventory_Master!O81="","Missing Image",IF(Inventory_Master!S81&gt;0,"Size Price Review",IF(Inventory_Master!C81="ERROR","Validation Error",""))))))</f>
        <v/>
      </c>
      <c r="I81" s="2" t="str">
        <f t="shared" si="1"/>
        <v/>
      </c>
      <c r="J81" s="2" t="str">
        <f t="shared" si="2"/>
        <v/>
      </c>
    </row>
    <row r="82" spans="1:10" ht="12" customHeight="1" x14ac:dyDescent="0.3">
      <c r="A82" s="2" t="str">
        <f>Inventory_Master!D82</f>
        <v/>
      </c>
      <c r="B82" s="2" t="str">
        <f>Inventory_Master!E82</f>
        <v/>
      </c>
      <c r="C82" s="2" t="str">
        <f>Inventory_Master!C82</f>
        <v/>
      </c>
      <c r="D82" s="2" t="str">
        <f>Inventory_Master!R82</f>
        <v/>
      </c>
      <c r="E82" s="2" t="str">
        <f>Inventory_Master!W82</f>
        <v/>
      </c>
      <c r="F82" s="2" t="str">
        <f>IF($A82="","",TRIM(_xludf.textjoin("; ",TRUE(),IF(Inventory_Master!R82&lt;&gt;"OK","Invalid category",""),IF(Inventory_Master!J82="","Missing price_inr",""),IF(Inventory_Master!O82="","Missing image",""),IF(Inventory_Master!S82&gt;0,"Has size variants",""),IF(Inventory_Master!C82="ERROR","Validation error",""),IF(Inventory_Master!C82="WARNING","Review warning",""))))</f>
        <v/>
      </c>
      <c r="G82" s="2" t="str">
        <f t="shared" si="0"/>
        <v>NO</v>
      </c>
      <c r="H82" s="2" t="str">
        <f>IF($A82="","",IF(Inventory_Master!R82&lt;&gt;"OK","Invalid Category",IF(Inventory_Master!J82="","Missing Price",IF(Inventory_Master!O82="","Missing Image",IF(Inventory_Master!S82&gt;0,"Size Price Review",IF(Inventory_Master!C82="ERROR","Validation Error",""))))))</f>
        <v/>
      </c>
      <c r="I82" s="2" t="str">
        <f t="shared" si="1"/>
        <v/>
      </c>
      <c r="J82" s="2" t="str">
        <f t="shared" si="2"/>
        <v/>
      </c>
    </row>
    <row r="83" spans="1:10" ht="12" customHeight="1" x14ac:dyDescent="0.3">
      <c r="A83" s="2" t="str">
        <f>Inventory_Master!D83</f>
        <v/>
      </c>
      <c r="B83" s="2" t="str">
        <f>Inventory_Master!E83</f>
        <v/>
      </c>
      <c r="C83" s="2" t="str">
        <f>Inventory_Master!C83</f>
        <v/>
      </c>
      <c r="D83" s="2" t="str">
        <f>Inventory_Master!R83</f>
        <v/>
      </c>
      <c r="E83" s="2" t="str">
        <f>Inventory_Master!W83</f>
        <v/>
      </c>
      <c r="F83" s="2" t="str">
        <f>IF($A83="","",TRIM(_xludf.textjoin("; ",TRUE(),IF(Inventory_Master!R83&lt;&gt;"OK","Invalid category",""),IF(Inventory_Master!J83="","Missing price_inr",""),IF(Inventory_Master!O83="","Missing image",""),IF(Inventory_Master!S83&gt;0,"Has size variants",""),IF(Inventory_Master!C83="ERROR","Validation error",""),IF(Inventory_Master!C83="WARNING","Review warning",""))))</f>
        <v/>
      </c>
      <c r="G83" s="2" t="str">
        <f t="shared" si="0"/>
        <v>NO</v>
      </c>
      <c r="H83" s="2" t="str">
        <f>IF($A83="","",IF(Inventory_Master!R83&lt;&gt;"OK","Invalid Category",IF(Inventory_Master!J83="","Missing Price",IF(Inventory_Master!O83="","Missing Image",IF(Inventory_Master!S83&gt;0,"Size Price Review",IF(Inventory_Master!C83="ERROR","Validation Error",""))))))</f>
        <v/>
      </c>
      <c r="I83" s="2" t="str">
        <f t="shared" si="1"/>
        <v/>
      </c>
      <c r="J83" s="2" t="str">
        <f t="shared" si="2"/>
        <v/>
      </c>
    </row>
    <row r="84" spans="1:10" ht="12" customHeight="1" x14ac:dyDescent="0.3">
      <c r="A84" s="2" t="str">
        <f>Inventory_Master!D84</f>
        <v/>
      </c>
      <c r="B84" s="2" t="str">
        <f>Inventory_Master!E84</f>
        <v/>
      </c>
      <c r="C84" s="2" t="str">
        <f>Inventory_Master!C84</f>
        <v/>
      </c>
      <c r="D84" s="2" t="str">
        <f>Inventory_Master!R84</f>
        <v/>
      </c>
      <c r="E84" s="2" t="str">
        <f>Inventory_Master!W84</f>
        <v/>
      </c>
      <c r="F84" s="2" t="str">
        <f>IF($A84="","",TRIM(_xludf.textjoin("; ",TRUE(),IF(Inventory_Master!R84&lt;&gt;"OK","Invalid category",""),IF(Inventory_Master!J84="","Missing price_inr",""),IF(Inventory_Master!O84="","Missing image",""),IF(Inventory_Master!S84&gt;0,"Has size variants",""),IF(Inventory_Master!C84="ERROR","Validation error",""),IF(Inventory_Master!C84="WARNING","Review warning",""))))</f>
        <v/>
      </c>
      <c r="G84" s="2" t="str">
        <f t="shared" si="0"/>
        <v>NO</v>
      </c>
      <c r="H84" s="2" t="str">
        <f>IF($A84="","",IF(Inventory_Master!R84&lt;&gt;"OK","Invalid Category",IF(Inventory_Master!J84="","Missing Price",IF(Inventory_Master!O84="","Missing Image",IF(Inventory_Master!S84&gt;0,"Size Price Review",IF(Inventory_Master!C84="ERROR","Validation Error",""))))))</f>
        <v/>
      </c>
      <c r="I84" s="2" t="str">
        <f t="shared" si="1"/>
        <v/>
      </c>
      <c r="J84" s="2" t="str">
        <f t="shared" si="2"/>
        <v/>
      </c>
    </row>
    <row r="85" spans="1:10" ht="12" customHeight="1" x14ac:dyDescent="0.3">
      <c r="A85" s="2" t="str">
        <f>Inventory_Master!D85</f>
        <v/>
      </c>
      <c r="B85" s="2" t="str">
        <f>Inventory_Master!E85</f>
        <v/>
      </c>
      <c r="C85" s="2" t="str">
        <f>Inventory_Master!C85</f>
        <v/>
      </c>
      <c r="D85" s="2" t="str">
        <f>Inventory_Master!R85</f>
        <v/>
      </c>
      <c r="E85" s="2" t="str">
        <f>Inventory_Master!W85</f>
        <v/>
      </c>
      <c r="F85" s="2" t="str">
        <f>IF($A85="","",TRIM(_xludf.textjoin("; ",TRUE(),IF(Inventory_Master!R85&lt;&gt;"OK","Invalid category",""),IF(Inventory_Master!J85="","Missing price_inr",""),IF(Inventory_Master!O85="","Missing image",""),IF(Inventory_Master!S85&gt;0,"Has size variants",""),IF(Inventory_Master!C85="ERROR","Validation error",""),IF(Inventory_Master!C85="WARNING","Review warning",""))))</f>
        <v/>
      </c>
      <c r="G85" s="2" t="str">
        <f t="shared" si="0"/>
        <v>NO</v>
      </c>
      <c r="H85" s="2" t="str">
        <f>IF($A85="","",IF(Inventory_Master!R85&lt;&gt;"OK","Invalid Category",IF(Inventory_Master!J85="","Missing Price",IF(Inventory_Master!O85="","Missing Image",IF(Inventory_Master!S85&gt;0,"Size Price Review",IF(Inventory_Master!C85="ERROR","Validation Error",""))))))</f>
        <v/>
      </c>
      <c r="I85" s="2" t="str">
        <f t="shared" si="1"/>
        <v/>
      </c>
      <c r="J85" s="2" t="str">
        <f t="shared" si="2"/>
        <v/>
      </c>
    </row>
    <row r="86" spans="1:10" ht="12" customHeight="1" x14ac:dyDescent="0.3">
      <c r="A86" s="2" t="str">
        <f>Inventory_Master!D86</f>
        <v/>
      </c>
      <c r="B86" s="2" t="str">
        <f>Inventory_Master!E86</f>
        <v/>
      </c>
      <c r="C86" s="2" t="str">
        <f>Inventory_Master!C86</f>
        <v/>
      </c>
      <c r="D86" s="2" t="str">
        <f>Inventory_Master!R86</f>
        <v/>
      </c>
      <c r="E86" s="2" t="str">
        <f>Inventory_Master!W86</f>
        <v/>
      </c>
      <c r="F86" s="2" t="str">
        <f>IF($A86="","",TRIM(_xludf.textjoin("; ",TRUE(),IF(Inventory_Master!R86&lt;&gt;"OK","Invalid category",""),IF(Inventory_Master!J86="","Missing price_inr",""),IF(Inventory_Master!O86="","Missing image",""),IF(Inventory_Master!S86&gt;0,"Has size variants",""),IF(Inventory_Master!C86="ERROR","Validation error",""),IF(Inventory_Master!C86="WARNING","Review warning",""))))</f>
        <v/>
      </c>
      <c r="G86" s="2" t="str">
        <f t="shared" si="0"/>
        <v>NO</v>
      </c>
      <c r="H86" s="2" t="str">
        <f>IF($A86="","",IF(Inventory_Master!R86&lt;&gt;"OK","Invalid Category",IF(Inventory_Master!J86="","Missing Price",IF(Inventory_Master!O86="","Missing Image",IF(Inventory_Master!S86&gt;0,"Size Price Review",IF(Inventory_Master!C86="ERROR","Validation Error",""))))))</f>
        <v/>
      </c>
      <c r="I86" s="2" t="str">
        <f t="shared" si="1"/>
        <v/>
      </c>
      <c r="J86" s="2" t="str">
        <f t="shared" si="2"/>
        <v/>
      </c>
    </row>
    <row r="87" spans="1:10" ht="12" customHeight="1" x14ac:dyDescent="0.3">
      <c r="A87" s="2" t="str">
        <f>Inventory_Master!D87</f>
        <v/>
      </c>
      <c r="B87" s="2" t="str">
        <f>Inventory_Master!E87</f>
        <v/>
      </c>
      <c r="C87" s="2" t="str">
        <f>Inventory_Master!C87</f>
        <v/>
      </c>
      <c r="D87" s="2" t="str">
        <f>Inventory_Master!R87</f>
        <v/>
      </c>
      <c r="E87" s="2" t="str">
        <f>Inventory_Master!W87</f>
        <v/>
      </c>
      <c r="F87" s="2" t="str">
        <f>IF($A87="","",TRIM(_xludf.textjoin("; ",TRUE(),IF(Inventory_Master!R87&lt;&gt;"OK","Invalid category",""),IF(Inventory_Master!J87="","Missing price_inr",""),IF(Inventory_Master!O87="","Missing image",""),IF(Inventory_Master!S87&gt;0,"Has size variants",""),IF(Inventory_Master!C87="ERROR","Validation error",""),IF(Inventory_Master!C87="WARNING","Review warning",""))))</f>
        <v/>
      </c>
      <c r="G87" s="2" t="str">
        <f t="shared" si="0"/>
        <v>NO</v>
      </c>
      <c r="H87" s="2" t="str">
        <f>IF($A87="","",IF(Inventory_Master!R87&lt;&gt;"OK","Invalid Category",IF(Inventory_Master!J87="","Missing Price",IF(Inventory_Master!O87="","Missing Image",IF(Inventory_Master!S87&gt;0,"Size Price Review",IF(Inventory_Master!C87="ERROR","Validation Error",""))))))</f>
        <v/>
      </c>
      <c r="I87" s="2" t="str">
        <f t="shared" si="1"/>
        <v/>
      </c>
      <c r="J87" s="2" t="str">
        <f t="shared" si="2"/>
        <v/>
      </c>
    </row>
    <row r="88" spans="1:10" ht="12" customHeight="1" x14ac:dyDescent="0.3">
      <c r="A88" s="2" t="str">
        <f>Inventory_Master!D88</f>
        <v/>
      </c>
      <c r="B88" s="2" t="str">
        <f>Inventory_Master!E88</f>
        <v/>
      </c>
      <c r="C88" s="2" t="str">
        <f>Inventory_Master!C88</f>
        <v/>
      </c>
      <c r="D88" s="2" t="str">
        <f>Inventory_Master!R88</f>
        <v/>
      </c>
      <c r="E88" s="2" t="str">
        <f>Inventory_Master!W88</f>
        <v/>
      </c>
      <c r="F88" s="2" t="str">
        <f>IF($A88="","",TRIM(_xludf.textjoin("; ",TRUE(),IF(Inventory_Master!R88&lt;&gt;"OK","Invalid category",""),IF(Inventory_Master!J88="","Missing price_inr",""),IF(Inventory_Master!O88="","Missing image",""),IF(Inventory_Master!S88&gt;0,"Has size variants",""),IF(Inventory_Master!C88="ERROR","Validation error",""),IF(Inventory_Master!C88="WARNING","Review warning",""))))</f>
        <v/>
      </c>
      <c r="G88" s="2" t="str">
        <f t="shared" si="0"/>
        <v>NO</v>
      </c>
      <c r="H88" s="2" t="str">
        <f>IF($A88="","",IF(Inventory_Master!R88&lt;&gt;"OK","Invalid Category",IF(Inventory_Master!J88="","Missing Price",IF(Inventory_Master!O88="","Missing Image",IF(Inventory_Master!S88&gt;0,"Size Price Review",IF(Inventory_Master!C88="ERROR","Validation Error",""))))))</f>
        <v/>
      </c>
      <c r="I88" s="2" t="str">
        <f t="shared" si="1"/>
        <v/>
      </c>
      <c r="J88" s="2" t="str">
        <f t="shared" si="2"/>
        <v/>
      </c>
    </row>
    <row r="89" spans="1:10" ht="12" customHeight="1" x14ac:dyDescent="0.3">
      <c r="A89" s="2" t="str">
        <f>Inventory_Master!D89</f>
        <v/>
      </c>
      <c r="B89" s="2" t="str">
        <f>Inventory_Master!E89</f>
        <v/>
      </c>
      <c r="C89" s="2" t="str">
        <f>Inventory_Master!C89</f>
        <v/>
      </c>
      <c r="D89" s="2" t="str">
        <f>Inventory_Master!R89</f>
        <v/>
      </c>
      <c r="E89" s="2" t="str">
        <f>Inventory_Master!W89</f>
        <v/>
      </c>
      <c r="F89" s="2" t="str">
        <f>IF($A89="","",TRIM(_xludf.textjoin("; ",TRUE(),IF(Inventory_Master!R89&lt;&gt;"OK","Invalid category",""),IF(Inventory_Master!J89="","Missing price_inr",""),IF(Inventory_Master!O89="","Missing image",""),IF(Inventory_Master!S89&gt;0,"Has size variants",""),IF(Inventory_Master!C89="ERROR","Validation error",""),IF(Inventory_Master!C89="WARNING","Review warning",""))))</f>
        <v/>
      </c>
      <c r="G89" s="2" t="str">
        <f t="shared" si="0"/>
        <v>NO</v>
      </c>
      <c r="H89" s="2" t="str">
        <f>IF($A89="","",IF(Inventory_Master!R89&lt;&gt;"OK","Invalid Category",IF(Inventory_Master!J89="","Missing Price",IF(Inventory_Master!O89="","Missing Image",IF(Inventory_Master!S89&gt;0,"Size Price Review",IF(Inventory_Master!C89="ERROR","Validation Error",""))))))</f>
        <v/>
      </c>
      <c r="I89" s="2" t="str">
        <f t="shared" si="1"/>
        <v/>
      </c>
      <c r="J89" s="2" t="str">
        <f t="shared" si="2"/>
        <v/>
      </c>
    </row>
    <row r="90" spans="1:10" ht="12" customHeight="1" x14ac:dyDescent="0.3">
      <c r="A90" s="2" t="str">
        <f>Inventory_Master!D90</f>
        <v/>
      </c>
      <c r="B90" s="2" t="str">
        <f>Inventory_Master!E90</f>
        <v/>
      </c>
      <c r="C90" s="2" t="str">
        <f>Inventory_Master!C90</f>
        <v/>
      </c>
      <c r="D90" s="2" t="str">
        <f>Inventory_Master!R90</f>
        <v/>
      </c>
      <c r="E90" s="2" t="str">
        <f>Inventory_Master!W90</f>
        <v/>
      </c>
      <c r="F90" s="2" t="str">
        <f>IF($A90="","",TRIM(_xludf.textjoin("; ",TRUE(),IF(Inventory_Master!R90&lt;&gt;"OK","Invalid category",""),IF(Inventory_Master!J90="","Missing price_inr",""),IF(Inventory_Master!O90="","Missing image",""),IF(Inventory_Master!S90&gt;0,"Has size variants",""),IF(Inventory_Master!C90="ERROR","Validation error",""),IF(Inventory_Master!C90="WARNING","Review warning",""))))</f>
        <v/>
      </c>
      <c r="G90" s="2" t="str">
        <f t="shared" si="0"/>
        <v>NO</v>
      </c>
      <c r="H90" s="2" t="str">
        <f>IF($A90="","",IF(Inventory_Master!R90&lt;&gt;"OK","Invalid Category",IF(Inventory_Master!J90="","Missing Price",IF(Inventory_Master!O90="","Missing Image",IF(Inventory_Master!S90&gt;0,"Size Price Review",IF(Inventory_Master!C90="ERROR","Validation Error",""))))))</f>
        <v/>
      </c>
      <c r="I90" s="2" t="str">
        <f t="shared" si="1"/>
        <v/>
      </c>
      <c r="J90" s="2" t="str">
        <f t="shared" si="2"/>
        <v/>
      </c>
    </row>
    <row r="91" spans="1:10" ht="12" customHeight="1" x14ac:dyDescent="0.3">
      <c r="A91" s="2" t="str">
        <f>Inventory_Master!D91</f>
        <v/>
      </c>
      <c r="B91" s="2" t="str">
        <f>Inventory_Master!E91</f>
        <v/>
      </c>
      <c r="C91" s="2" t="str">
        <f>Inventory_Master!C91</f>
        <v/>
      </c>
      <c r="D91" s="2" t="str">
        <f>Inventory_Master!R91</f>
        <v/>
      </c>
      <c r="E91" s="2" t="str">
        <f>Inventory_Master!W91</f>
        <v/>
      </c>
      <c r="F91" s="2" t="str">
        <f>IF($A91="","",TRIM(_xludf.textjoin("; ",TRUE(),IF(Inventory_Master!R91&lt;&gt;"OK","Invalid category",""),IF(Inventory_Master!J91="","Missing price_inr",""),IF(Inventory_Master!O91="","Missing image",""),IF(Inventory_Master!S91&gt;0,"Has size variants",""),IF(Inventory_Master!C91="ERROR","Validation error",""),IF(Inventory_Master!C91="WARNING","Review warning",""))))</f>
        <v/>
      </c>
      <c r="G91" s="2" t="str">
        <f t="shared" si="0"/>
        <v>NO</v>
      </c>
      <c r="H91" s="2" t="str">
        <f>IF($A91="","",IF(Inventory_Master!R91&lt;&gt;"OK","Invalid Category",IF(Inventory_Master!J91="","Missing Price",IF(Inventory_Master!O91="","Missing Image",IF(Inventory_Master!S91&gt;0,"Size Price Review",IF(Inventory_Master!C91="ERROR","Validation Error",""))))))</f>
        <v/>
      </c>
      <c r="I91" s="2" t="str">
        <f t="shared" si="1"/>
        <v/>
      </c>
      <c r="J91" s="2" t="str">
        <f t="shared" si="2"/>
        <v/>
      </c>
    </row>
    <row r="92" spans="1:10" ht="12" customHeight="1" x14ac:dyDescent="0.3">
      <c r="A92" s="2" t="str">
        <f>Inventory_Master!D92</f>
        <v/>
      </c>
      <c r="B92" s="2" t="str">
        <f>Inventory_Master!E92</f>
        <v/>
      </c>
      <c r="C92" s="2" t="str">
        <f>Inventory_Master!C92</f>
        <v/>
      </c>
      <c r="D92" s="2" t="str">
        <f>Inventory_Master!R92</f>
        <v/>
      </c>
      <c r="E92" s="2" t="str">
        <f>Inventory_Master!W92</f>
        <v/>
      </c>
      <c r="F92" s="2" t="str">
        <f>IF($A92="","",TRIM(_xludf.textjoin("; ",TRUE(),IF(Inventory_Master!R92&lt;&gt;"OK","Invalid category",""),IF(Inventory_Master!J92="","Missing price_inr",""),IF(Inventory_Master!O92="","Missing image",""),IF(Inventory_Master!S92&gt;0,"Has size variants",""),IF(Inventory_Master!C92="ERROR","Validation error",""),IF(Inventory_Master!C92="WARNING","Review warning",""))))</f>
        <v/>
      </c>
      <c r="G92" s="2" t="str">
        <f t="shared" si="0"/>
        <v>NO</v>
      </c>
      <c r="H92" s="2" t="str">
        <f>IF($A92="","",IF(Inventory_Master!R92&lt;&gt;"OK","Invalid Category",IF(Inventory_Master!J92="","Missing Price",IF(Inventory_Master!O92="","Missing Image",IF(Inventory_Master!S92&gt;0,"Size Price Review",IF(Inventory_Master!C92="ERROR","Validation Error",""))))))</f>
        <v/>
      </c>
      <c r="I92" s="2" t="str">
        <f t="shared" si="1"/>
        <v/>
      </c>
      <c r="J92" s="2" t="str">
        <f t="shared" si="2"/>
        <v/>
      </c>
    </row>
    <row r="93" spans="1:10" ht="12" customHeight="1" x14ac:dyDescent="0.3">
      <c r="A93" s="2" t="str">
        <f>Inventory_Master!D93</f>
        <v/>
      </c>
      <c r="B93" s="2" t="str">
        <f>Inventory_Master!E93</f>
        <v/>
      </c>
      <c r="C93" s="2" t="str">
        <f>Inventory_Master!C93</f>
        <v/>
      </c>
      <c r="D93" s="2" t="str">
        <f>Inventory_Master!R93</f>
        <v/>
      </c>
      <c r="E93" s="2" t="str">
        <f>Inventory_Master!W93</f>
        <v/>
      </c>
      <c r="F93" s="2" t="str">
        <f>IF($A93="","",TRIM(_xludf.textjoin("; ",TRUE(),IF(Inventory_Master!R93&lt;&gt;"OK","Invalid category",""),IF(Inventory_Master!J93="","Missing price_inr",""),IF(Inventory_Master!O93="","Missing image",""),IF(Inventory_Master!S93&gt;0,"Has size variants",""),IF(Inventory_Master!C93="ERROR","Validation error",""),IF(Inventory_Master!C93="WARNING","Review warning",""))))</f>
        <v/>
      </c>
      <c r="G93" s="2" t="str">
        <f t="shared" si="0"/>
        <v>NO</v>
      </c>
      <c r="H93" s="2" t="str">
        <f>IF($A93="","",IF(Inventory_Master!R93&lt;&gt;"OK","Invalid Category",IF(Inventory_Master!J93="","Missing Price",IF(Inventory_Master!O93="","Missing Image",IF(Inventory_Master!S93&gt;0,"Size Price Review",IF(Inventory_Master!C93="ERROR","Validation Error",""))))))</f>
        <v/>
      </c>
      <c r="I93" s="2" t="str">
        <f t="shared" si="1"/>
        <v/>
      </c>
      <c r="J93" s="2" t="str">
        <f t="shared" si="2"/>
        <v/>
      </c>
    </row>
    <row r="94" spans="1:10" ht="12" customHeight="1" x14ac:dyDescent="0.3">
      <c r="A94" s="2" t="str">
        <f>Inventory_Master!D94</f>
        <v/>
      </c>
      <c r="B94" s="2" t="str">
        <f>Inventory_Master!E94</f>
        <v/>
      </c>
      <c r="C94" s="2" t="str">
        <f>Inventory_Master!C94</f>
        <v/>
      </c>
      <c r="D94" s="2" t="str">
        <f>Inventory_Master!R94</f>
        <v/>
      </c>
      <c r="E94" s="2" t="str">
        <f>Inventory_Master!W94</f>
        <v/>
      </c>
      <c r="F94" s="2" t="str">
        <f>IF($A94="","",TRIM(_xludf.textjoin("; ",TRUE(),IF(Inventory_Master!R94&lt;&gt;"OK","Invalid category",""),IF(Inventory_Master!J94="","Missing price_inr",""),IF(Inventory_Master!O94="","Missing image",""),IF(Inventory_Master!S94&gt;0,"Has size variants",""),IF(Inventory_Master!C94="ERROR","Validation error",""),IF(Inventory_Master!C94="WARNING","Review warning",""))))</f>
        <v/>
      </c>
      <c r="G94" s="2" t="str">
        <f t="shared" si="0"/>
        <v>NO</v>
      </c>
      <c r="H94" s="2" t="str">
        <f>IF($A94="","",IF(Inventory_Master!R94&lt;&gt;"OK","Invalid Category",IF(Inventory_Master!J94="","Missing Price",IF(Inventory_Master!O94="","Missing Image",IF(Inventory_Master!S94&gt;0,"Size Price Review",IF(Inventory_Master!C94="ERROR","Validation Error",""))))))</f>
        <v/>
      </c>
      <c r="I94" s="2" t="str">
        <f t="shared" si="1"/>
        <v/>
      </c>
      <c r="J94" s="2" t="str">
        <f t="shared" si="2"/>
        <v/>
      </c>
    </row>
    <row r="95" spans="1:10" ht="12" customHeight="1" x14ac:dyDescent="0.3">
      <c r="A95" s="2" t="str">
        <f>Inventory_Master!D95</f>
        <v/>
      </c>
      <c r="B95" s="2" t="str">
        <f>Inventory_Master!E95</f>
        <v/>
      </c>
      <c r="C95" s="2" t="str">
        <f>Inventory_Master!C95</f>
        <v/>
      </c>
      <c r="D95" s="2" t="str">
        <f>Inventory_Master!R95</f>
        <v/>
      </c>
      <c r="E95" s="2" t="str">
        <f>Inventory_Master!W95</f>
        <v/>
      </c>
      <c r="F95" s="2" t="str">
        <f>IF($A95="","",TRIM(_xludf.textjoin("; ",TRUE(),IF(Inventory_Master!R95&lt;&gt;"OK","Invalid category",""),IF(Inventory_Master!J95="","Missing price_inr",""),IF(Inventory_Master!O95="","Missing image",""),IF(Inventory_Master!S95&gt;0,"Has size variants",""),IF(Inventory_Master!C95="ERROR","Validation error",""),IF(Inventory_Master!C95="WARNING","Review warning",""))))</f>
        <v/>
      </c>
      <c r="G95" s="2" t="str">
        <f t="shared" si="0"/>
        <v>NO</v>
      </c>
      <c r="H95" s="2" t="str">
        <f>IF($A95="","",IF(Inventory_Master!R95&lt;&gt;"OK","Invalid Category",IF(Inventory_Master!J95="","Missing Price",IF(Inventory_Master!O95="","Missing Image",IF(Inventory_Master!S95&gt;0,"Size Price Review",IF(Inventory_Master!C95="ERROR","Validation Error",""))))))</f>
        <v/>
      </c>
      <c r="I95" s="2" t="str">
        <f t="shared" si="1"/>
        <v/>
      </c>
      <c r="J95" s="2" t="str">
        <f t="shared" si="2"/>
        <v/>
      </c>
    </row>
    <row r="96" spans="1:10" ht="12" customHeight="1" x14ac:dyDescent="0.3">
      <c r="A96" s="2" t="str">
        <f>Inventory_Master!D96</f>
        <v/>
      </c>
      <c r="B96" s="2" t="str">
        <f>Inventory_Master!E96</f>
        <v/>
      </c>
      <c r="C96" s="2" t="str">
        <f>Inventory_Master!C96</f>
        <v/>
      </c>
      <c r="D96" s="2" t="str">
        <f>Inventory_Master!R96</f>
        <v/>
      </c>
      <c r="E96" s="2" t="str">
        <f>Inventory_Master!W96</f>
        <v/>
      </c>
      <c r="F96" s="2" t="str">
        <f>IF($A96="","",TRIM(_xludf.textjoin("; ",TRUE(),IF(Inventory_Master!R96&lt;&gt;"OK","Invalid category",""),IF(Inventory_Master!J96="","Missing price_inr",""),IF(Inventory_Master!O96="","Missing image",""),IF(Inventory_Master!S96&gt;0,"Has size variants",""),IF(Inventory_Master!C96="ERROR","Validation error",""),IF(Inventory_Master!C96="WARNING","Review warning",""))))</f>
        <v/>
      </c>
      <c r="G96" s="2" t="str">
        <f t="shared" si="0"/>
        <v>NO</v>
      </c>
      <c r="H96" s="2" t="str">
        <f>IF($A96="","",IF(Inventory_Master!R96&lt;&gt;"OK","Invalid Category",IF(Inventory_Master!J96="","Missing Price",IF(Inventory_Master!O96="","Missing Image",IF(Inventory_Master!S96&gt;0,"Size Price Review",IF(Inventory_Master!C96="ERROR","Validation Error",""))))))</f>
        <v/>
      </c>
      <c r="I96" s="2" t="str">
        <f t="shared" si="1"/>
        <v/>
      </c>
      <c r="J96" s="2" t="str">
        <f t="shared" si="2"/>
        <v/>
      </c>
    </row>
    <row r="97" spans="1:10" ht="12" customHeight="1" x14ac:dyDescent="0.3">
      <c r="A97" s="2" t="str">
        <f>Inventory_Master!D97</f>
        <v/>
      </c>
      <c r="B97" s="2" t="str">
        <f>Inventory_Master!E97</f>
        <v/>
      </c>
      <c r="C97" s="2" t="str">
        <f>Inventory_Master!C97</f>
        <v/>
      </c>
      <c r="D97" s="2" t="str">
        <f>Inventory_Master!R97</f>
        <v/>
      </c>
      <c r="E97" s="2" t="str">
        <f>Inventory_Master!W97</f>
        <v/>
      </c>
      <c r="F97" s="2" t="str">
        <f>IF($A97="","",TRIM(_xludf.textjoin("; ",TRUE(),IF(Inventory_Master!R97&lt;&gt;"OK","Invalid category",""),IF(Inventory_Master!J97="","Missing price_inr",""),IF(Inventory_Master!O97="","Missing image",""),IF(Inventory_Master!S97&gt;0,"Has size variants",""),IF(Inventory_Master!C97="ERROR","Validation error",""),IF(Inventory_Master!C97="WARNING","Review warning",""))))</f>
        <v/>
      </c>
      <c r="G97" s="2" t="str">
        <f t="shared" si="0"/>
        <v>NO</v>
      </c>
      <c r="H97" s="2" t="str">
        <f>IF($A97="","",IF(Inventory_Master!R97&lt;&gt;"OK","Invalid Category",IF(Inventory_Master!J97="","Missing Price",IF(Inventory_Master!O97="","Missing Image",IF(Inventory_Master!S97&gt;0,"Size Price Review",IF(Inventory_Master!C97="ERROR","Validation Error",""))))))</f>
        <v/>
      </c>
      <c r="I97" s="2" t="str">
        <f t="shared" si="1"/>
        <v/>
      </c>
      <c r="J97" s="2" t="str">
        <f t="shared" si="2"/>
        <v/>
      </c>
    </row>
    <row r="98" spans="1:10" ht="12" customHeight="1" x14ac:dyDescent="0.3">
      <c r="A98" s="2" t="str">
        <f>Inventory_Master!D98</f>
        <v/>
      </c>
      <c r="B98" s="2" t="str">
        <f>Inventory_Master!E98</f>
        <v/>
      </c>
      <c r="C98" s="2" t="str">
        <f>Inventory_Master!C98</f>
        <v/>
      </c>
      <c r="D98" s="2" t="str">
        <f>Inventory_Master!R98</f>
        <v/>
      </c>
      <c r="E98" s="2" t="str">
        <f>Inventory_Master!W98</f>
        <v/>
      </c>
      <c r="F98" s="2" t="str">
        <f>IF($A98="","",TRIM(_xludf.textjoin("; ",TRUE(),IF(Inventory_Master!R98&lt;&gt;"OK","Invalid category",""),IF(Inventory_Master!J98="","Missing price_inr",""),IF(Inventory_Master!O98="","Missing image",""),IF(Inventory_Master!S98&gt;0,"Has size variants",""),IF(Inventory_Master!C98="ERROR","Validation error",""),IF(Inventory_Master!C98="WARNING","Review warning",""))))</f>
        <v/>
      </c>
      <c r="G98" s="2" t="str">
        <f t="shared" si="0"/>
        <v>NO</v>
      </c>
      <c r="H98" s="2" t="str">
        <f>IF($A98="","",IF(Inventory_Master!R98&lt;&gt;"OK","Invalid Category",IF(Inventory_Master!J98="","Missing Price",IF(Inventory_Master!O98="","Missing Image",IF(Inventory_Master!S98&gt;0,"Size Price Review",IF(Inventory_Master!C98="ERROR","Validation Error",""))))))</f>
        <v/>
      </c>
      <c r="I98" s="2" t="str">
        <f t="shared" si="1"/>
        <v/>
      </c>
      <c r="J98" s="2" t="str">
        <f t="shared" si="2"/>
        <v/>
      </c>
    </row>
    <row r="99" spans="1:10" ht="12" customHeight="1" x14ac:dyDescent="0.3">
      <c r="A99" s="2" t="str">
        <f>Inventory_Master!D99</f>
        <v/>
      </c>
      <c r="B99" s="2" t="str">
        <f>Inventory_Master!E99</f>
        <v/>
      </c>
      <c r="C99" s="2" t="str">
        <f>Inventory_Master!C99</f>
        <v/>
      </c>
      <c r="D99" s="2" t="str">
        <f>Inventory_Master!R99</f>
        <v/>
      </c>
      <c r="E99" s="2" t="str">
        <f>Inventory_Master!W99</f>
        <v/>
      </c>
      <c r="F99" s="2" t="str">
        <f>IF($A99="","",TRIM(_xludf.textjoin("; ",TRUE(),IF(Inventory_Master!R99&lt;&gt;"OK","Invalid category",""),IF(Inventory_Master!J99="","Missing price_inr",""),IF(Inventory_Master!O99="","Missing image",""),IF(Inventory_Master!S99&gt;0,"Has size variants",""),IF(Inventory_Master!C99="ERROR","Validation error",""),IF(Inventory_Master!C99="WARNING","Review warning",""))))</f>
        <v/>
      </c>
      <c r="G99" s="2" t="str">
        <f t="shared" si="0"/>
        <v>NO</v>
      </c>
      <c r="H99" s="2" t="str">
        <f>IF($A99="","",IF(Inventory_Master!R99&lt;&gt;"OK","Invalid Category",IF(Inventory_Master!J99="","Missing Price",IF(Inventory_Master!O99="","Missing Image",IF(Inventory_Master!S99&gt;0,"Size Price Review",IF(Inventory_Master!C99="ERROR","Validation Error",""))))))</f>
        <v/>
      </c>
      <c r="I99" s="2" t="str">
        <f t="shared" si="1"/>
        <v/>
      </c>
      <c r="J99" s="2" t="str">
        <f t="shared" si="2"/>
        <v/>
      </c>
    </row>
    <row r="100" spans="1:10" ht="12" customHeight="1" x14ac:dyDescent="0.3">
      <c r="A100" s="2" t="str">
        <f>Inventory_Master!D100</f>
        <v/>
      </c>
      <c r="B100" s="2" t="str">
        <f>Inventory_Master!E100</f>
        <v/>
      </c>
      <c r="C100" s="2" t="str">
        <f>Inventory_Master!C100</f>
        <v/>
      </c>
      <c r="D100" s="2" t="str">
        <f>Inventory_Master!R100</f>
        <v/>
      </c>
      <c r="E100" s="2" t="str">
        <f>Inventory_Master!W100</f>
        <v/>
      </c>
      <c r="F100" s="2" t="str">
        <f>IF($A100="","",TRIM(_xludf.textjoin("; ",TRUE(),IF(Inventory_Master!R100&lt;&gt;"OK","Invalid category",""),IF(Inventory_Master!J100="","Missing price_inr",""),IF(Inventory_Master!O100="","Missing image",""),IF(Inventory_Master!S100&gt;0,"Has size variants",""),IF(Inventory_Master!C100="ERROR","Validation error",""),IF(Inventory_Master!C100="WARNING","Review warning",""))))</f>
        <v/>
      </c>
      <c r="G100" s="2" t="str">
        <f t="shared" si="0"/>
        <v>NO</v>
      </c>
      <c r="H100" s="2" t="str">
        <f>IF($A100="","",IF(Inventory_Master!R100&lt;&gt;"OK","Invalid Category",IF(Inventory_Master!J100="","Missing Price",IF(Inventory_Master!O100="","Missing Image",IF(Inventory_Master!S100&gt;0,"Size Price Review",IF(Inventory_Master!C100="ERROR","Validation Error",""))))))</f>
        <v/>
      </c>
      <c r="I100" s="2" t="str">
        <f t="shared" si="1"/>
        <v/>
      </c>
      <c r="J100" s="2" t="str">
        <f t="shared" si="2"/>
        <v/>
      </c>
    </row>
    <row r="101" spans="1:10" ht="12" customHeight="1" x14ac:dyDescent="0.3">
      <c r="A101" s="2" t="str">
        <f>Inventory_Master!D101</f>
        <v/>
      </c>
      <c r="B101" s="2" t="str">
        <f>Inventory_Master!E101</f>
        <v/>
      </c>
      <c r="C101" s="2" t="str">
        <f>Inventory_Master!C101</f>
        <v/>
      </c>
      <c r="D101" s="2" t="str">
        <f>Inventory_Master!R101</f>
        <v/>
      </c>
      <c r="E101" s="2" t="str">
        <f>Inventory_Master!W101</f>
        <v/>
      </c>
      <c r="F101" s="2" t="str">
        <f>IF($A101="","",TRIM(_xludf.textjoin("; ",TRUE(),IF(Inventory_Master!R101&lt;&gt;"OK","Invalid category",""),IF(Inventory_Master!J101="","Missing price_inr",""),IF(Inventory_Master!O101="","Missing image",""),IF(Inventory_Master!S101&gt;0,"Has size variants",""),IF(Inventory_Master!C101="ERROR","Validation error",""),IF(Inventory_Master!C101="WARNING","Review warning",""))))</f>
        <v/>
      </c>
      <c r="G101" s="2" t="str">
        <f t="shared" si="0"/>
        <v>NO</v>
      </c>
      <c r="H101" s="2" t="str">
        <f>IF($A101="","",IF(Inventory_Master!R101&lt;&gt;"OK","Invalid Category",IF(Inventory_Master!J101="","Missing Price",IF(Inventory_Master!O101="","Missing Image",IF(Inventory_Master!S101&gt;0,"Size Price Review",IF(Inventory_Master!C101="ERROR","Validation Error",""))))))</f>
        <v/>
      </c>
      <c r="I101" s="2" t="str">
        <f t="shared" si="1"/>
        <v/>
      </c>
      <c r="J101" s="2" t="str">
        <f t="shared" si="2"/>
        <v/>
      </c>
    </row>
    <row r="102" spans="1:10" ht="12" customHeight="1" x14ac:dyDescent="0.3">
      <c r="A102" s="2" t="str">
        <f>Inventory_Master!D102</f>
        <v/>
      </c>
      <c r="B102" s="2" t="str">
        <f>Inventory_Master!E102</f>
        <v/>
      </c>
      <c r="C102" s="2" t="str">
        <f>Inventory_Master!C102</f>
        <v/>
      </c>
      <c r="D102" s="2" t="str">
        <f>Inventory_Master!R102</f>
        <v/>
      </c>
      <c r="E102" s="2" t="str">
        <f>Inventory_Master!W102</f>
        <v/>
      </c>
      <c r="F102" s="2" t="str">
        <f>IF($A102="","",TRIM(_xludf.textjoin("; ",TRUE(),IF(Inventory_Master!R102&lt;&gt;"OK","Invalid category",""),IF(Inventory_Master!J102="","Missing price_inr",""),IF(Inventory_Master!O102="","Missing image",""),IF(Inventory_Master!S102&gt;0,"Has size variants",""),IF(Inventory_Master!C102="ERROR","Validation error",""),IF(Inventory_Master!C102="WARNING","Review warning",""))))</f>
        <v/>
      </c>
      <c r="G102" s="2" t="str">
        <f t="shared" si="0"/>
        <v>NO</v>
      </c>
      <c r="H102" s="2" t="str">
        <f>IF($A102="","",IF(Inventory_Master!R102&lt;&gt;"OK","Invalid Category",IF(Inventory_Master!J102="","Missing Price",IF(Inventory_Master!O102="","Missing Image",IF(Inventory_Master!S102&gt;0,"Size Price Review",IF(Inventory_Master!C102="ERROR","Validation Error",""))))))</f>
        <v/>
      </c>
      <c r="I102" s="2" t="str">
        <f t="shared" si="1"/>
        <v/>
      </c>
      <c r="J102" s="2" t="str">
        <f t="shared" si="2"/>
        <v/>
      </c>
    </row>
    <row r="103" spans="1:10" ht="12" customHeight="1" x14ac:dyDescent="0.3">
      <c r="A103" s="2" t="str">
        <f>Inventory_Master!D103</f>
        <v/>
      </c>
      <c r="B103" s="2" t="str">
        <f>Inventory_Master!E103</f>
        <v/>
      </c>
      <c r="C103" s="2" t="str">
        <f>Inventory_Master!C103</f>
        <v/>
      </c>
      <c r="D103" s="2" t="str">
        <f>Inventory_Master!R103</f>
        <v/>
      </c>
      <c r="E103" s="2" t="str">
        <f>Inventory_Master!W103</f>
        <v/>
      </c>
      <c r="F103" s="2" t="str">
        <f>IF($A103="","",TRIM(_xludf.textjoin("; ",TRUE(),IF(Inventory_Master!R103&lt;&gt;"OK","Invalid category",""),IF(Inventory_Master!J103="","Missing price_inr",""),IF(Inventory_Master!O103="","Missing image",""),IF(Inventory_Master!S103&gt;0,"Has size variants",""),IF(Inventory_Master!C103="ERROR","Validation error",""),IF(Inventory_Master!C103="WARNING","Review warning",""))))</f>
        <v/>
      </c>
      <c r="G103" s="2" t="str">
        <f t="shared" si="0"/>
        <v>NO</v>
      </c>
      <c r="H103" s="2" t="str">
        <f>IF($A103="","",IF(Inventory_Master!R103&lt;&gt;"OK","Invalid Category",IF(Inventory_Master!J103="","Missing Price",IF(Inventory_Master!O103="","Missing Image",IF(Inventory_Master!S103&gt;0,"Size Price Review",IF(Inventory_Master!C103="ERROR","Validation Error",""))))))</f>
        <v/>
      </c>
      <c r="I103" s="2" t="str">
        <f t="shared" si="1"/>
        <v/>
      </c>
      <c r="J103" s="2" t="str">
        <f t="shared" si="2"/>
        <v/>
      </c>
    </row>
    <row r="104" spans="1:10" ht="12" customHeight="1" x14ac:dyDescent="0.3">
      <c r="A104" s="2" t="str">
        <f>Inventory_Master!D104</f>
        <v/>
      </c>
      <c r="B104" s="2" t="str">
        <f>Inventory_Master!E104</f>
        <v/>
      </c>
      <c r="C104" s="2" t="str">
        <f>Inventory_Master!C104</f>
        <v/>
      </c>
      <c r="D104" s="2" t="str">
        <f>Inventory_Master!R104</f>
        <v/>
      </c>
      <c r="E104" s="2" t="str">
        <f>Inventory_Master!W104</f>
        <v/>
      </c>
      <c r="F104" s="2" t="str">
        <f>IF($A104="","",TRIM(_xludf.textjoin("; ",TRUE(),IF(Inventory_Master!R104&lt;&gt;"OK","Invalid category",""),IF(Inventory_Master!J104="","Missing price_inr",""),IF(Inventory_Master!O104="","Missing image",""),IF(Inventory_Master!S104&gt;0,"Has size variants",""),IF(Inventory_Master!C104="ERROR","Validation error",""),IF(Inventory_Master!C104="WARNING","Review warning",""))))</f>
        <v/>
      </c>
      <c r="G104" s="2" t="str">
        <f t="shared" si="0"/>
        <v>NO</v>
      </c>
      <c r="H104" s="2" t="str">
        <f>IF($A104="","",IF(Inventory_Master!R104&lt;&gt;"OK","Invalid Category",IF(Inventory_Master!J104="","Missing Price",IF(Inventory_Master!O104="","Missing Image",IF(Inventory_Master!S104&gt;0,"Size Price Review",IF(Inventory_Master!C104="ERROR","Validation Error",""))))))</f>
        <v/>
      </c>
      <c r="I104" s="2" t="str">
        <f t="shared" si="1"/>
        <v/>
      </c>
      <c r="J104" s="2" t="str">
        <f t="shared" si="2"/>
        <v/>
      </c>
    </row>
    <row r="105" spans="1:10" ht="12" customHeight="1" x14ac:dyDescent="0.3">
      <c r="A105" s="2" t="str">
        <f>Inventory_Master!D105</f>
        <v/>
      </c>
      <c r="B105" s="2" t="str">
        <f>Inventory_Master!E105</f>
        <v/>
      </c>
      <c r="C105" s="2" t="str">
        <f>Inventory_Master!C105</f>
        <v/>
      </c>
      <c r="D105" s="2" t="str">
        <f>Inventory_Master!R105</f>
        <v/>
      </c>
      <c r="E105" s="2" t="str">
        <f>Inventory_Master!W105</f>
        <v/>
      </c>
      <c r="F105" s="2" t="str">
        <f>IF($A105="","",TRIM(_xludf.textjoin("; ",TRUE(),IF(Inventory_Master!R105&lt;&gt;"OK","Invalid category",""),IF(Inventory_Master!J105="","Missing price_inr",""),IF(Inventory_Master!O105="","Missing image",""),IF(Inventory_Master!S105&gt;0,"Has size variants",""),IF(Inventory_Master!C105="ERROR","Validation error",""),IF(Inventory_Master!C105="WARNING","Review warning",""))))</f>
        <v/>
      </c>
      <c r="G105" s="2" t="str">
        <f t="shared" si="0"/>
        <v>NO</v>
      </c>
      <c r="H105" s="2" t="str">
        <f>IF($A105="","",IF(Inventory_Master!R105&lt;&gt;"OK","Invalid Category",IF(Inventory_Master!J105="","Missing Price",IF(Inventory_Master!O105="","Missing Image",IF(Inventory_Master!S105&gt;0,"Size Price Review",IF(Inventory_Master!C105="ERROR","Validation Error",""))))))</f>
        <v/>
      </c>
      <c r="I105" s="2" t="str">
        <f t="shared" si="1"/>
        <v/>
      </c>
      <c r="J105" s="2" t="str">
        <f t="shared" si="2"/>
        <v/>
      </c>
    </row>
    <row r="106" spans="1:10" ht="12" customHeight="1" x14ac:dyDescent="0.3">
      <c r="A106" s="2" t="str">
        <f>Inventory_Master!D106</f>
        <v/>
      </c>
      <c r="B106" s="2" t="str">
        <f>Inventory_Master!E106</f>
        <v/>
      </c>
      <c r="C106" s="2" t="str">
        <f>Inventory_Master!C106</f>
        <v/>
      </c>
      <c r="D106" s="2" t="str">
        <f>Inventory_Master!R106</f>
        <v/>
      </c>
      <c r="E106" s="2" t="str">
        <f>Inventory_Master!W106</f>
        <v/>
      </c>
      <c r="F106" s="2" t="str">
        <f>IF($A106="","",TRIM(_xludf.textjoin("; ",TRUE(),IF(Inventory_Master!R106&lt;&gt;"OK","Invalid category",""),IF(Inventory_Master!J106="","Missing price_inr",""),IF(Inventory_Master!O106="","Missing image",""),IF(Inventory_Master!S106&gt;0,"Has size variants",""),IF(Inventory_Master!C106="ERROR","Validation error",""),IF(Inventory_Master!C106="WARNING","Review warning",""))))</f>
        <v/>
      </c>
      <c r="G106" s="2" t="str">
        <f t="shared" si="0"/>
        <v>NO</v>
      </c>
      <c r="H106" s="2" t="str">
        <f>IF($A106="","",IF(Inventory_Master!R106&lt;&gt;"OK","Invalid Category",IF(Inventory_Master!J106="","Missing Price",IF(Inventory_Master!O106="","Missing Image",IF(Inventory_Master!S106&gt;0,"Size Price Review",IF(Inventory_Master!C106="ERROR","Validation Error",""))))))</f>
        <v/>
      </c>
      <c r="I106" s="2" t="str">
        <f t="shared" si="1"/>
        <v/>
      </c>
      <c r="J106" s="2" t="str">
        <f t="shared" si="2"/>
        <v/>
      </c>
    </row>
    <row r="107" spans="1:10" ht="12" customHeight="1" x14ac:dyDescent="0.3">
      <c r="A107" s="2" t="str">
        <f>Inventory_Master!D107</f>
        <v/>
      </c>
      <c r="B107" s="2" t="str">
        <f>Inventory_Master!E107</f>
        <v/>
      </c>
      <c r="C107" s="2" t="str">
        <f>Inventory_Master!C107</f>
        <v/>
      </c>
      <c r="D107" s="2" t="str">
        <f>Inventory_Master!R107</f>
        <v/>
      </c>
      <c r="E107" s="2" t="str">
        <f>Inventory_Master!W107</f>
        <v/>
      </c>
      <c r="F107" s="2" t="str">
        <f>IF($A107="","",TRIM(_xludf.textjoin("; ",TRUE(),IF(Inventory_Master!R107&lt;&gt;"OK","Invalid category",""),IF(Inventory_Master!J107="","Missing price_inr",""),IF(Inventory_Master!O107="","Missing image",""),IF(Inventory_Master!S107&gt;0,"Has size variants",""),IF(Inventory_Master!C107="ERROR","Validation error",""),IF(Inventory_Master!C107="WARNING","Review warning",""))))</f>
        <v/>
      </c>
      <c r="G107" s="2" t="str">
        <f t="shared" si="0"/>
        <v>NO</v>
      </c>
      <c r="H107" s="2" t="str">
        <f>IF($A107="","",IF(Inventory_Master!R107&lt;&gt;"OK","Invalid Category",IF(Inventory_Master!J107="","Missing Price",IF(Inventory_Master!O107="","Missing Image",IF(Inventory_Master!S107&gt;0,"Size Price Review",IF(Inventory_Master!C107="ERROR","Validation Error",""))))))</f>
        <v/>
      </c>
      <c r="I107" s="2" t="str">
        <f t="shared" si="1"/>
        <v/>
      </c>
      <c r="J107" s="2" t="str">
        <f t="shared" si="2"/>
        <v/>
      </c>
    </row>
    <row r="108" spans="1:10" ht="12" customHeight="1" x14ac:dyDescent="0.3">
      <c r="A108" s="2" t="str">
        <f>Inventory_Master!D108</f>
        <v/>
      </c>
      <c r="B108" s="2" t="str">
        <f>Inventory_Master!E108</f>
        <v/>
      </c>
      <c r="C108" s="2" t="str">
        <f>Inventory_Master!C108</f>
        <v/>
      </c>
      <c r="D108" s="2" t="str">
        <f>Inventory_Master!R108</f>
        <v/>
      </c>
      <c r="E108" s="2" t="str">
        <f>Inventory_Master!W108</f>
        <v/>
      </c>
      <c r="F108" s="2" t="str">
        <f>IF($A108="","",TRIM(_xludf.textjoin("; ",TRUE(),IF(Inventory_Master!R108&lt;&gt;"OK","Invalid category",""),IF(Inventory_Master!J108="","Missing price_inr",""),IF(Inventory_Master!O108="","Missing image",""),IF(Inventory_Master!S108&gt;0,"Has size variants",""),IF(Inventory_Master!C108="ERROR","Validation error",""),IF(Inventory_Master!C108="WARNING","Review warning",""))))</f>
        <v/>
      </c>
      <c r="G108" s="2" t="str">
        <f t="shared" si="0"/>
        <v>NO</v>
      </c>
      <c r="H108" s="2" t="str">
        <f>IF($A108="","",IF(Inventory_Master!R108&lt;&gt;"OK","Invalid Category",IF(Inventory_Master!J108="","Missing Price",IF(Inventory_Master!O108="","Missing Image",IF(Inventory_Master!S108&gt;0,"Size Price Review",IF(Inventory_Master!C108="ERROR","Validation Error",""))))))</f>
        <v/>
      </c>
      <c r="I108" s="2" t="str">
        <f t="shared" si="1"/>
        <v/>
      </c>
      <c r="J108" s="2" t="str">
        <f t="shared" si="2"/>
        <v/>
      </c>
    </row>
    <row r="109" spans="1:10" ht="12" customHeight="1" x14ac:dyDescent="0.3">
      <c r="A109" s="2" t="str">
        <f>Inventory_Master!D109</f>
        <v/>
      </c>
      <c r="B109" s="2" t="str">
        <f>Inventory_Master!E109</f>
        <v/>
      </c>
      <c r="C109" s="2" t="str">
        <f>Inventory_Master!C109</f>
        <v/>
      </c>
      <c r="D109" s="2" t="str">
        <f>Inventory_Master!R109</f>
        <v/>
      </c>
      <c r="E109" s="2" t="str">
        <f>Inventory_Master!W109</f>
        <v/>
      </c>
      <c r="F109" s="2" t="str">
        <f>IF($A109="","",TRIM(_xludf.textjoin("; ",TRUE(),IF(Inventory_Master!R109&lt;&gt;"OK","Invalid category",""),IF(Inventory_Master!J109="","Missing price_inr",""),IF(Inventory_Master!O109="","Missing image",""),IF(Inventory_Master!S109&gt;0,"Has size variants",""),IF(Inventory_Master!C109="ERROR","Validation error",""),IF(Inventory_Master!C109="WARNING","Review warning",""))))</f>
        <v/>
      </c>
      <c r="G109" s="2" t="str">
        <f t="shared" si="0"/>
        <v>NO</v>
      </c>
      <c r="H109" s="2" t="str">
        <f>IF($A109="","",IF(Inventory_Master!R109&lt;&gt;"OK","Invalid Category",IF(Inventory_Master!J109="","Missing Price",IF(Inventory_Master!O109="","Missing Image",IF(Inventory_Master!S109&gt;0,"Size Price Review",IF(Inventory_Master!C109="ERROR","Validation Error",""))))))</f>
        <v/>
      </c>
      <c r="I109" s="2" t="str">
        <f t="shared" si="1"/>
        <v/>
      </c>
      <c r="J109" s="2" t="str">
        <f t="shared" si="2"/>
        <v/>
      </c>
    </row>
    <row r="110" spans="1:10" ht="12" customHeight="1" x14ac:dyDescent="0.3">
      <c r="A110" s="2" t="str">
        <f>Inventory_Master!D110</f>
        <v/>
      </c>
      <c r="B110" s="2" t="str">
        <f>Inventory_Master!E110</f>
        <v/>
      </c>
      <c r="C110" s="2" t="str">
        <f>Inventory_Master!C110</f>
        <v/>
      </c>
      <c r="D110" s="2" t="str">
        <f>Inventory_Master!R110</f>
        <v/>
      </c>
      <c r="E110" s="2" t="str">
        <f>Inventory_Master!W110</f>
        <v/>
      </c>
      <c r="F110" s="2" t="str">
        <f>IF($A110="","",TRIM(_xludf.textjoin("; ",TRUE(),IF(Inventory_Master!R110&lt;&gt;"OK","Invalid category",""),IF(Inventory_Master!J110="","Missing price_inr",""),IF(Inventory_Master!O110="","Missing image",""),IF(Inventory_Master!S110&gt;0,"Has size variants",""),IF(Inventory_Master!C110="ERROR","Validation error",""),IF(Inventory_Master!C110="WARNING","Review warning",""))))</f>
        <v/>
      </c>
      <c r="G110" s="2" t="str">
        <f t="shared" si="0"/>
        <v>NO</v>
      </c>
      <c r="H110" s="2" t="str">
        <f>IF($A110="","",IF(Inventory_Master!R110&lt;&gt;"OK","Invalid Category",IF(Inventory_Master!J110="","Missing Price",IF(Inventory_Master!O110="","Missing Image",IF(Inventory_Master!S110&gt;0,"Size Price Review",IF(Inventory_Master!C110="ERROR","Validation Error",""))))))</f>
        <v/>
      </c>
      <c r="I110" s="2" t="str">
        <f t="shared" si="1"/>
        <v/>
      </c>
      <c r="J110" s="2" t="str">
        <f t="shared" si="2"/>
        <v/>
      </c>
    </row>
    <row r="111" spans="1:10" ht="12" customHeight="1" x14ac:dyDescent="0.3">
      <c r="A111" s="2" t="str">
        <f>Inventory_Master!D111</f>
        <v/>
      </c>
      <c r="B111" s="2" t="str">
        <f>Inventory_Master!E111</f>
        <v/>
      </c>
      <c r="C111" s="2" t="str">
        <f>Inventory_Master!C111</f>
        <v/>
      </c>
      <c r="D111" s="2" t="str">
        <f>Inventory_Master!R111</f>
        <v/>
      </c>
      <c r="E111" s="2" t="str">
        <f>Inventory_Master!W111</f>
        <v/>
      </c>
      <c r="F111" s="2" t="str">
        <f>IF($A111="","",TRIM(_xludf.textjoin("; ",TRUE(),IF(Inventory_Master!R111&lt;&gt;"OK","Invalid category",""),IF(Inventory_Master!J111="","Missing price_inr",""),IF(Inventory_Master!O111="","Missing image",""),IF(Inventory_Master!S111&gt;0,"Has size variants",""),IF(Inventory_Master!C111="ERROR","Validation error",""),IF(Inventory_Master!C111="WARNING","Review warning",""))))</f>
        <v/>
      </c>
      <c r="G111" s="2" t="str">
        <f t="shared" si="0"/>
        <v>NO</v>
      </c>
      <c r="H111" s="2" t="str">
        <f>IF($A111="","",IF(Inventory_Master!R111&lt;&gt;"OK","Invalid Category",IF(Inventory_Master!J111="","Missing Price",IF(Inventory_Master!O111="","Missing Image",IF(Inventory_Master!S111&gt;0,"Size Price Review",IF(Inventory_Master!C111="ERROR","Validation Error",""))))))</f>
        <v/>
      </c>
      <c r="I111" s="2" t="str">
        <f t="shared" si="1"/>
        <v/>
      </c>
      <c r="J111" s="2" t="str">
        <f t="shared" si="2"/>
        <v/>
      </c>
    </row>
    <row r="112" spans="1:10" ht="12" customHeight="1" x14ac:dyDescent="0.3">
      <c r="A112" s="2" t="str">
        <f>Inventory_Master!D112</f>
        <v/>
      </c>
      <c r="B112" s="2" t="str">
        <f>Inventory_Master!E112</f>
        <v/>
      </c>
      <c r="C112" s="2" t="str">
        <f>Inventory_Master!C112</f>
        <v/>
      </c>
      <c r="D112" s="2" t="str">
        <f>Inventory_Master!R112</f>
        <v/>
      </c>
      <c r="E112" s="2" t="str">
        <f>Inventory_Master!W112</f>
        <v/>
      </c>
      <c r="F112" s="2" t="str">
        <f>IF($A112="","",TRIM(_xludf.textjoin("; ",TRUE(),IF(Inventory_Master!R112&lt;&gt;"OK","Invalid category",""),IF(Inventory_Master!J112="","Missing price_inr",""),IF(Inventory_Master!O112="","Missing image",""),IF(Inventory_Master!S112&gt;0,"Has size variants",""),IF(Inventory_Master!C112="ERROR","Validation error",""),IF(Inventory_Master!C112="WARNING","Review warning",""))))</f>
        <v/>
      </c>
      <c r="G112" s="2" t="str">
        <f t="shared" si="0"/>
        <v>NO</v>
      </c>
      <c r="H112" s="2" t="str">
        <f>IF($A112="","",IF(Inventory_Master!R112&lt;&gt;"OK","Invalid Category",IF(Inventory_Master!J112="","Missing Price",IF(Inventory_Master!O112="","Missing Image",IF(Inventory_Master!S112&gt;0,"Size Price Review",IF(Inventory_Master!C112="ERROR","Validation Error",""))))))</f>
        <v/>
      </c>
      <c r="I112" s="2" t="str">
        <f t="shared" si="1"/>
        <v/>
      </c>
      <c r="J112" s="2" t="str">
        <f t="shared" si="2"/>
        <v/>
      </c>
    </row>
    <row r="113" spans="1:10" ht="12" customHeight="1" x14ac:dyDescent="0.3">
      <c r="A113" s="2" t="str">
        <f>Inventory_Master!D113</f>
        <v/>
      </c>
      <c r="B113" s="2" t="str">
        <f>Inventory_Master!E113</f>
        <v/>
      </c>
      <c r="C113" s="2" t="str">
        <f>Inventory_Master!C113</f>
        <v/>
      </c>
      <c r="D113" s="2" t="str">
        <f>Inventory_Master!R113</f>
        <v/>
      </c>
      <c r="E113" s="2" t="str">
        <f>Inventory_Master!W113</f>
        <v/>
      </c>
      <c r="F113" s="2" t="str">
        <f>IF($A113="","",TRIM(_xludf.textjoin("; ",TRUE(),IF(Inventory_Master!R113&lt;&gt;"OK","Invalid category",""),IF(Inventory_Master!J113="","Missing price_inr",""),IF(Inventory_Master!O113="","Missing image",""),IF(Inventory_Master!S113&gt;0,"Has size variants",""),IF(Inventory_Master!C113="ERROR","Validation error",""),IF(Inventory_Master!C113="WARNING","Review warning",""))))</f>
        <v/>
      </c>
      <c r="G113" s="2" t="str">
        <f t="shared" si="0"/>
        <v>NO</v>
      </c>
      <c r="H113" s="2" t="str">
        <f>IF($A113="","",IF(Inventory_Master!R113&lt;&gt;"OK","Invalid Category",IF(Inventory_Master!J113="","Missing Price",IF(Inventory_Master!O113="","Missing Image",IF(Inventory_Master!S113&gt;0,"Size Price Review",IF(Inventory_Master!C113="ERROR","Validation Error",""))))))</f>
        <v/>
      </c>
      <c r="I113" s="2" t="str">
        <f t="shared" si="1"/>
        <v/>
      </c>
      <c r="J113" s="2" t="str">
        <f t="shared" si="2"/>
        <v/>
      </c>
    </row>
    <row r="114" spans="1:10" ht="12" customHeight="1" x14ac:dyDescent="0.3">
      <c r="A114" s="2" t="str">
        <f>Inventory_Master!D114</f>
        <v/>
      </c>
      <c r="B114" s="2" t="str">
        <f>Inventory_Master!E114</f>
        <v/>
      </c>
      <c r="C114" s="2" t="str">
        <f>Inventory_Master!C114</f>
        <v/>
      </c>
      <c r="D114" s="2" t="str">
        <f>Inventory_Master!R114</f>
        <v/>
      </c>
      <c r="E114" s="2" t="str">
        <f>Inventory_Master!W114</f>
        <v/>
      </c>
      <c r="F114" s="2" t="str">
        <f>IF($A114="","",TRIM(_xludf.textjoin("; ",TRUE(),IF(Inventory_Master!R114&lt;&gt;"OK","Invalid category",""),IF(Inventory_Master!J114="","Missing price_inr",""),IF(Inventory_Master!O114="","Missing image",""),IF(Inventory_Master!S114&gt;0,"Has size variants",""),IF(Inventory_Master!C114="ERROR","Validation error",""),IF(Inventory_Master!C114="WARNING","Review warning",""))))</f>
        <v/>
      </c>
      <c r="G114" s="2" t="str">
        <f t="shared" ref="G114:G177" si="3">IF($F114="","NO","YES")</f>
        <v>NO</v>
      </c>
      <c r="H114" s="2" t="str">
        <f>IF($A114="","",IF(Inventory_Master!R114&lt;&gt;"OK","Invalid Category",IF(Inventory_Master!J114="","Missing Price",IF(Inventory_Master!O114="","Missing Image",IF(Inventory_Master!S114&gt;0,"Size Price Review",IF(Inventory_Master!C114="ERROR","Validation Error",""))))))</f>
        <v/>
      </c>
      <c r="I114" s="2" t="str">
        <f t="shared" ref="I114:I177" si="4">IF($G114="NO","",IF(OR($H114="Invalid Category",$H114="Missing Price",$H114="Validation Error"),"HIGH","MEDIUM"))</f>
        <v/>
      </c>
      <c r="J114" s="2" t="str">
        <f t="shared" ref="J114:J177" si="5">IF($G114="NO","",IF($H114="Size Price Review","REVIEW",IF($H114="Missing Image","REVIEW","REVIEW")))</f>
        <v/>
      </c>
    </row>
    <row r="115" spans="1:10" ht="12" customHeight="1" x14ac:dyDescent="0.3">
      <c r="A115" s="2" t="str">
        <f>Inventory_Master!D115</f>
        <v/>
      </c>
      <c r="B115" s="2" t="str">
        <f>Inventory_Master!E115</f>
        <v/>
      </c>
      <c r="C115" s="2" t="str">
        <f>Inventory_Master!C115</f>
        <v/>
      </c>
      <c r="D115" s="2" t="str">
        <f>Inventory_Master!R115</f>
        <v/>
      </c>
      <c r="E115" s="2" t="str">
        <f>Inventory_Master!W115</f>
        <v/>
      </c>
      <c r="F115" s="2" t="str">
        <f>IF($A115="","",TRIM(_xludf.textjoin("; ",TRUE(),IF(Inventory_Master!R115&lt;&gt;"OK","Invalid category",""),IF(Inventory_Master!J115="","Missing price_inr",""),IF(Inventory_Master!O115="","Missing image",""),IF(Inventory_Master!S115&gt;0,"Has size variants",""),IF(Inventory_Master!C115="ERROR","Validation error",""),IF(Inventory_Master!C115="WARNING","Review warning",""))))</f>
        <v/>
      </c>
      <c r="G115" s="2" t="str">
        <f t="shared" si="3"/>
        <v>NO</v>
      </c>
      <c r="H115" s="2" t="str">
        <f>IF($A115="","",IF(Inventory_Master!R115&lt;&gt;"OK","Invalid Category",IF(Inventory_Master!J115="","Missing Price",IF(Inventory_Master!O115="","Missing Image",IF(Inventory_Master!S115&gt;0,"Size Price Review",IF(Inventory_Master!C115="ERROR","Validation Error",""))))))</f>
        <v/>
      </c>
      <c r="I115" s="2" t="str">
        <f t="shared" si="4"/>
        <v/>
      </c>
      <c r="J115" s="2" t="str">
        <f t="shared" si="5"/>
        <v/>
      </c>
    </row>
    <row r="116" spans="1:10" ht="12" customHeight="1" x14ac:dyDescent="0.3">
      <c r="A116" s="2" t="str">
        <f>Inventory_Master!D116</f>
        <v/>
      </c>
      <c r="B116" s="2" t="str">
        <f>Inventory_Master!E116</f>
        <v/>
      </c>
      <c r="C116" s="2" t="str">
        <f>Inventory_Master!C116</f>
        <v/>
      </c>
      <c r="D116" s="2" t="str">
        <f>Inventory_Master!R116</f>
        <v/>
      </c>
      <c r="E116" s="2" t="str">
        <f>Inventory_Master!W116</f>
        <v/>
      </c>
      <c r="F116" s="2" t="str">
        <f>IF($A116="","",TRIM(_xludf.textjoin("; ",TRUE(),IF(Inventory_Master!R116&lt;&gt;"OK","Invalid category",""),IF(Inventory_Master!J116="","Missing price_inr",""),IF(Inventory_Master!O116="","Missing image",""),IF(Inventory_Master!S116&gt;0,"Has size variants",""),IF(Inventory_Master!C116="ERROR","Validation error",""),IF(Inventory_Master!C116="WARNING","Review warning",""))))</f>
        <v/>
      </c>
      <c r="G116" s="2" t="str">
        <f t="shared" si="3"/>
        <v>NO</v>
      </c>
      <c r="H116" s="2" t="str">
        <f>IF($A116="","",IF(Inventory_Master!R116&lt;&gt;"OK","Invalid Category",IF(Inventory_Master!J116="","Missing Price",IF(Inventory_Master!O116="","Missing Image",IF(Inventory_Master!S116&gt;0,"Size Price Review",IF(Inventory_Master!C116="ERROR","Validation Error",""))))))</f>
        <v/>
      </c>
      <c r="I116" s="2" t="str">
        <f t="shared" si="4"/>
        <v/>
      </c>
      <c r="J116" s="2" t="str">
        <f t="shared" si="5"/>
        <v/>
      </c>
    </row>
    <row r="117" spans="1:10" ht="12" customHeight="1" x14ac:dyDescent="0.3">
      <c r="A117" s="2" t="str">
        <f>Inventory_Master!D117</f>
        <v/>
      </c>
      <c r="B117" s="2" t="str">
        <f>Inventory_Master!E117</f>
        <v/>
      </c>
      <c r="C117" s="2" t="str">
        <f>Inventory_Master!C117</f>
        <v/>
      </c>
      <c r="D117" s="2" t="str">
        <f>Inventory_Master!R117</f>
        <v/>
      </c>
      <c r="E117" s="2" t="str">
        <f>Inventory_Master!W117</f>
        <v/>
      </c>
      <c r="F117" s="2" t="str">
        <f>IF($A117="","",TRIM(_xludf.textjoin("; ",TRUE(),IF(Inventory_Master!R117&lt;&gt;"OK","Invalid category",""),IF(Inventory_Master!J117="","Missing price_inr",""),IF(Inventory_Master!O117="","Missing image",""),IF(Inventory_Master!S117&gt;0,"Has size variants",""),IF(Inventory_Master!C117="ERROR","Validation error",""),IF(Inventory_Master!C117="WARNING","Review warning",""))))</f>
        <v/>
      </c>
      <c r="G117" s="2" t="str">
        <f t="shared" si="3"/>
        <v>NO</v>
      </c>
      <c r="H117" s="2" t="str">
        <f>IF($A117="","",IF(Inventory_Master!R117&lt;&gt;"OK","Invalid Category",IF(Inventory_Master!J117="","Missing Price",IF(Inventory_Master!O117="","Missing Image",IF(Inventory_Master!S117&gt;0,"Size Price Review",IF(Inventory_Master!C117="ERROR","Validation Error",""))))))</f>
        <v/>
      </c>
      <c r="I117" s="2" t="str">
        <f t="shared" si="4"/>
        <v/>
      </c>
      <c r="J117" s="2" t="str">
        <f t="shared" si="5"/>
        <v/>
      </c>
    </row>
    <row r="118" spans="1:10" ht="12" customHeight="1" x14ac:dyDescent="0.3">
      <c r="A118" s="2" t="str">
        <f>Inventory_Master!D118</f>
        <v/>
      </c>
      <c r="B118" s="2" t="str">
        <f>Inventory_Master!E118</f>
        <v/>
      </c>
      <c r="C118" s="2" t="str">
        <f>Inventory_Master!C118</f>
        <v/>
      </c>
      <c r="D118" s="2" t="str">
        <f>Inventory_Master!R118</f>
        <v/>
      </c>
      <c r="E118" s="2" t="str">
        <f>Inventory_Master!W118</f>
        <v/>
      </c>
      <c r="F118" s="2" t="str">
        <f>IF($A118="","",TRIM(_xludf.textjoin("; ",TRUE(),IF(Inventory_Master!R118&lt;&gt;"OK","Invalid category",""),IF(Inventory_Master!J118="","Missing price_inr",""),IF(Inventory_Master!O118="","Missing image",""),IF(Inventory_Master!S118&gt;0,"Has size variants",""),IF(Inventory_Master!C118="ERROR","Validation error",""),IF(Inventory_Master!C118="WARNING","Review warning",""))))</f>
        <v/>
      </c>
      <c r="G118" s="2" t="str">
        <f t="shared" si="3"/>
        <v>NO</v>
      </c>
      <c r="H118" s="2" t="str">
        <f>IF($A118="","",IF(Inventory_Master!R118&lt;&gt;"OK","Invalid Category",IF(Inventory_Master!J118="","Missing Price",IF(Inventory_Master!O118="","Missing Image",IF(Inventory_Master!S118&gt;0,"Size Price Review",IF(Inventory_Master!C118="ERROR","Validation Error",""))))))</f>
        <v/>
      </c>
      <c r="I118" s="2" t="str">
        <f t="shared" si="4"/>
        <v/>
      </c>
      <c r="J118" s="2" t="str">
        <f t="shared" si="5"/>
        <v/>
      </c>
    </row>
    <row r="119" spans="1:10" ht="12" customHeight="1" x14ac:dyDescent="0.3">
      <c r="A119" s="2" t="str">
        <f>Inventory_Master!D119</f>
        <v/>
      </c>
      <c r="B119" s="2" t="str">
        <f>Inventory_Master!E119</f>
        <v/>
      </c>
      <c r="C119" s="2" t="str">
        <f>Inventory_Master!C119</f>
        <v/>
      </c>
      <c r="D119" s="2" t="str">
        <f>Inventory_Master!R119</f>
        <v/>
      </c>
      <c r="E119" s="2" t="str">
        <f>Inventory_Master!W119</f>
        <v/>
      </c>
      <c r="F119" s="2" t="str">
        <f>IF($A119="","",TRIM(_xludf.textjoin("; ",TRUE(),IF(Inventory_Master!R119&lt;&gt;"OK","Invalid category",""),IF(Inventory_Master!J119="","Missing price_inr",""),IF(Inventory_Master!O119="","Missing image",""),IF(Inventory_Master!S119&gt;0,"Has size variants",""),IF(Inventory_Master!C119="ERROR","Validation error",""),IF(Inventory_Master!C119="WARNING","Review warning",""))))</f>
        <v/>
      </c>
      <c r="G119" s="2" t="str">
        <f t="shared" si="3"/>
        <v>NO</v>
      </c>
      <c r="H119" s="2" t="str">
        <f>IF($A119="","",IF(Inventory_Master!R119&lt;&gt;"OK","Invalid Category",IF(Inventory_Master!J119="","Missing Price",IF(Inventory_Master!O119="","Missing Image",IF(Inventory_Master!S119&gt;0,"Size Price Review",IF(Inventory_Master!C119="ERROR","Validation Error",""))))))</f>
        <v/>
      </c>
      <c r="I119" s="2" t="str">
        <f t="shared" si="4"/>
        <v/>
      </c>
      <c r="J119" s="2" t="str">
        <f t="shared" si="5"/>
        <v/>
      </c>
    </row>
    <row r="120" spans="1:10" ht="12" customHeight="1" x14ac:dyDescent="0.3">
      <c r="A120" s="2" t="str">
        <f>Inventory_Master!D120</f>
        <v/>
      </c>
      <c r="B120" s="2" t="str">
        <f>Inventory_Master!E120</f>
        <v/>
      </c>
      <c r="C120" s="2" t="str">
        <f>Inventory_Master!C120</f>
        <v/>
      </c>
      <c r="D120" s="2" t="str">
        <f>Inventory_Master!R120</f>
        <v/>
      </c>
      <c r="E120" s="2" t="str">
        <f>Inventory_Master!W120</f>
        <v/>
      </c>
      <c r="F120" s="2" t="str">
        <f>IF($A120="","",TRIM(_xludf.textjoin("; ",TRUE(),IF(Inventory_Master!R120&lt;&gt;"OK","Invalid category",""),IF(Inventory_Master!J120="","Missing price_inr",""),IF(Inventory_Master!O120="","Missing image",""),IF(Inventory_Master!S120&gt;0,"Has size variants",""),IF(Inventory_Master!C120="ERROR","Validation error",""),IF(Inventory_Master!C120="WARNING","Review warning",""))))</f>
        <v/>
      </c>
      <c r="G120" s="2" t="str">
        <f t="shared" si="3"/>
        <v>NO</v>
      </c>
      <c r="H120" s="2" t="str">
        <f>IF($A120="","",IF(Inventory_Master!R120&lt;&gt;"OK","Invalid Category",IF(Inventory_Master!J120="","Missing Price",IF(Inventory_Master!O120="","Missing Image",IF(Inventory_Master!S120&gt;0,"Size Price Review",IF(Inventory_Master!C120="ERROR","Validation Error",""))))))</f>
        <v/>
      </c>
      <c r="I120" s="2" t="str">
        <f t="shared" si="4"/>
        <v/>
      </c>
      <c r="J120" s="2" t="str">
        <f t="shared" si="5"/>
        <v/>
      </c>
    </row>
    <row r="121" spans="1:10" ht="12" customHeight="1" x14ac:dyDescent="0.3">
      <c r="A121" s="2" t="str">
        <f>Inventory_Master!D121</f>
        <v/>
      </c>
      <c r="B121" s="2" t="str">
        <f>Inventory_Master!E121</f>
        <v/>
      </c>
      <c r="C121" s="2" t="str">
        <f>Inventory_Master!C121</f>
        <v/>
      </c>
      <c r="D121" s="2" t="str">
        <f>Inventory_Master!R121</f>
        <v/>
      </c>
      <c r="E121" s="2" t="str">
        <f>Inventory_Master!W121</f>
        <v/>
      </c>
      <c r="F121" s="2" t="str">
        <f>IF($A121="","",TRIM(_xludf.textjoin("; ",TRUE(),IF(Inventory_Master!R121&lt;&gt;"OK","Invalid category",""),IF(Inventory_Master!J121="","Missing price_inr",""),IF(Inventory_Master!O121="","Missing image",""),IF(Inventory_Master!S121&gt;0,"Has size variants",""),IF(Inventory_Master!C121="ERROR","Validation error",""),IF(Inventory_Master!C121="WARNING","Review warning",""))))</f>
        <v/>
      </c>
      <c r="G121" s="2" t="str">
        <f t="shared" si="3"/>
        <v>NO</v>
      </c>
      <c r="H121" s="2" t="str">
        <f>IF($A121="","",IF(Inventory_Master!R121&lt;&gt;"OK","Invalid Category",IF(Inventory_Master!J121="","Missing Price",IF(Inventory_Master!O121="","Missing Image",IF(Inventory_Master!S121&gt;0,"Size Price Review",IF(Inventory_Master!C121="ERROR","Validation Error",""))))))</f>
        <v/>
      </c>
      <c r="I121" s="2" t="str">
        <f t="shared" si="4"/>
        <v/>
      </c>
      <c r="J121" s="2" t="str">
        <f t="shared" si="5"/>
        <v/>
      </c>
    </row>
    <row r="122" spans="1:10" ht="12" customHeight="1" x14ac:dyDescent="0.3">
      <c r="A122" s="2" t="str">
        <f>Inventory_Master!D122</f>
        <v/>
      </c>
      <c r="B122" s="2" t="str">
        <f>Inventory_Master!E122</f>
        <v/>
      </c>
      <c r="C122" s="2" t="str">
        <f>Inventory_Master!C122</f>
        <v/>
      </c>
      <c r="D122" s="2" t="str">
        <f>Inventory_Master!R122</f>
        <v/>
      </c>
      <c r="E122" s="2" t="str">
        <f>Inventory_Master!W122</f>
        <v/>
      </c>
      <c r="F122" s="2" t="str">
        <f>IF($A122="","",TRIM(_xludf.textjoin("; ",TRUE(),IF(Inventory_Master!R122&lt;&gt;"OK","Invalid category",""),IF(Inventory_Master!J122="","Missing price_inr",""),IF(Inventory_Master!O122="","Missing image",""),IF(Inventory_Master!S122&gt;0,"Has size variants",""),IF(Inventory_Master!C122="ERROR","Validation error",""),IF(Inventory_Master!C122="WARNING","Review warning",""))))</f>
        <v/>
      </c>
      <c r="G122" s="2" t="str">
        <f t="shared" si="3"/>
        <v>NO</v>
      </c>
      <c r="H122" s="2" t="str">
        <f>IF($A122="","",IF(Inventory_Master!R122&lt;&gt;"OK","Invalid Category",IF(Inventory_Master!J122="","Missing Price",IF(Inventory_Master!O122="","Missing Image",IF(Inventory_Master!S122&gt;0,"Size Price Review",IF(Inventory_Master!C122="ERROR","Validation Error",""))))))</f>
        <v/>
      </c>
      <c r="I122" s="2" t="str">
        <f t="shared" si="4"/>
        <v/>
      </c>
      <c r="J122" s="2" t="str">
        <f t="shared" si="5"/>
        <v/>
      </c>
    </row>
    <row r="123" spans="1:10" ht="12" customHeight="1" x14ac:dyDescent="0.3">
      <c r="A123" s="2" t="str">
        <f>Inventory_Master!D123</f>
        <v/>
      </c>
      <c r="B123" s="2" t="str">
        <f>Inventory_Master!E123</f>
        <v/>
      </c>
      <c r="C123" s="2" t="str">
        <f>Inventory_Master!C123</f>
        <v/>
      </c>
      <c r="D123" s="2" t="str">
        <f>Inventory_Master!R123</f>
        <v/>
      </c>
      <c r="E123" s="2" t="str">
        <f>Inventory_Master!W123</f>
        <v/>
      </c>
      <c r="F123" s="2" t="str">
        <f>IF($A123="","",TRIM(_xludf.textjoin("; ",TRUE(),IF(Inventory_Master!R123&lt;&gt;"OK","Invalid category",""),IF(Inventory_Master!J123="","Missing price_inr",""),IF(Inventory_Master!O123="","Missing image",""),IF(Inventory_Master!S123&gt;0,"Has size variants",""),IF(Inventory_Master!C123="ERROR","Validation error",""),IF(Inventory_Master!C123="WARNING","Review warning",""))))</f>
        <v/>
      </c>
      <c r="G123" s="2" t="str">
        <f t="shared" si="3"/>
        <v>NO</v>
      </c>
      <c r="H123" s="2" t="str">
        <f>IF($A123="","",IF(Inventory_Master!R123&lt;&gt;"OK","Invalid Category",IF(Inventory_Master!J123="","Missing Price",IF(Inventory_Master!O123="","Missing Image",IF(Inventory_Master!S123&gt;0,"Size Price Review",IF(Inventory_Master!C123="ERROR","Validation Error",""))))))</f>
        <v/>
      </c>
      <c r="I123" s="2" t="str">
        <f t="shared" si="4"/>
        <v/>
      </c>
      <c r="J123" s="2" t="str">
        <f t="shared" si="5"/>
        <v/>
      </c>
    </row>
    <row r="124" spans="1:10" ht="12" customHeight="1" x14ac:dyDescent="0.3">
      <c r="A124" s="2" t="str">
        <f>Inventory_Master!D124</f>
        <v/>
      </c>
      <c r="B124" s="2" t="str">
        <f>Inventory_Master!E124</f>
        <v/>
      </c>
      <c r="C124" s="2" t="str">
        <f>Inventory_Master!C124</f>
        <v/>
      </c>
      <c r="D124" s="2" t="str">
        <f>Inventory_Master!R124</f>
        <v/>
      </c>
      <c r="E124" s="2" t="str">
        <f>Inventory_Master!W124</f>
        <v/>
      </c>
      <c r="F124" s="2" t="str">
        <f>IF($A124="","",TRIM(_xludf.textjoin("; ",TRUE(),IF(Inventory_Master!R124&lt;&gt;"OK","Invalid category",""),IF(Inventory_Master!J124="","Missing price_inr",""),IF(Inventory_Master!O124="","Missing image",""),IF(Inventory_Master!S124&gt;0,"Has size variants",""),IF(Inventory_Master!C124="ERROR","Validation error",""),IF(Inventory_Master!C124="WARNING","Review warning",""))))</f>
        <v/>
      </c>
      <c r="G124" s="2" t="str">
        <f t="shared" si="3"/>
        <v>NO</v>
      </c>
      <c r="H124" s="2" t="str">
        <f>IF($A124="","",IF(Inventory_Master!R124&lt;&gt;"OK","Invalid Category",IF(Inventory_Master!J124="","Missing Price",IF(Inventory_Master!O124="","Missing Image",IF(Inventory_Master!S124&gt;0,"Size Price Review",IF(Inventory_Master!C124="ERROR","Validation Error",""))))))</f>
        <v/>
      </c>
      <c r="I124" s="2" t="str">
        <f t="shared" si="4"/>
        <v/>
      </c>
      <c r="J124" s="2" t="str">
        <f t="shared" si="5"/>
        <v/>
      </c>
    </row>
    <row r="125" spans="1:10" ht="12" customHeight="1" x14ac:dyDescent="0.3">
      <c r="A125" s="2" t="str">
        <f>Inventory_Master!D125</f>
        <v/>
      </c>
      <c r="B125" s="2" t="str">
        <f>Inventory_Master!E125</f>
        <v/>
      </c>
      <c r="C125" s="2" t="str">
        <f>Inventory_Master!C125</f>
        <v/>
      </c>
      <c r="D125" s="2" t="str">
        <f>Inventory_Master!R125</f>
        <v/>
      </c>
      <c r="E125" s="2" t="str">
        <f>Inventory_Master!W125</f>
        <v/>
      </c>
      <c r="F125" s="2" t="str">
        <f>IF($A125="","",TRIM(_xludf.textjoin("; ",TRUE(),IF(Inventory_Master!R125&lt;&gt;"OK","Invalid category",""),IF(Inventory_Master!J125="","Missing price_inr",""),IF(Inventory_Master!O125="","Missing image",""),IF(Inventory_Master!S125&gt;0,"Has size variants",""),IF(Inventory_Master!C125="ERROR","Validation error",""),IF(Inventory_Master!C125="WARNING","Review warning",""))))</f>
        <v/>
      </c>
      <c r="G125" s="2" t="str">
        <f t="shared" si="3"/>
        <v>NO</v>
      </c>
      <c r="H125" s="2" t="str">
        <f>IF($A125="","",IF(Inventory_Master!R125&lt;&gt;"OK","Invalid Category",IF(Inventory_Master!J125="","Missing Price",IF(Inventory_Master!O125="","Missing Image",IF(Inventory_Master!S125&gt;0,"Size Price Review",IF(Inventory_Master!C125="ERROR","Validation Error",""))))))</f>
        <v/>
      </c>
      <c r="I125" s="2" t="str">
        <f t="shared" si="4"/>
        <v/>
      </c>
      <c r="J125" s="2" t="str">
        <f t="shared" si="5"/>
        <v/>
      </c>
    </row>
    <row r="126" spans="1:10" ht="12" customHeight="1" x14ac:dyDescent="0.3">
      <c r="A126" s="2" t="str">
        <f>Inventory_Master!D126</f>
        <v/>
      </c>
      <c r="B126" s="2" t="str">
        <f>Inventory_Master!E126</f>
        <v/>
      </c>
      <c r="C126" s="2" t="str">
        <f>Inventory_Master!C126</f>
        <v/>
      </c>
      <c r="D126" s="2" t="str">
        <f>Inventory_Master!R126</f>
        <v/>
      </c>
      <c r="E126" s="2" t="str">
        <f>Inventory_Master!W126</f>
        <v/>
      </c>
      <c r="F126" s="2" t="str">
        <f>IF($A126="","",TRIM(_xludf.textjoin("; ",TRUE(),IF(Inventory_Master!R126&lt;&gt;"OK","Invalid category",""),IF(Inventory_Master!J126="","Missing price_inr",""),IF(Inventory_Master!O126="","Missing image",""),IF(Inventory_Master!S126&gt;0,"Has size variants",""),IF(Inventory_Master!C126="ERROR","Validation error",""),IF(Inventory_Master!C126="WARNING","Review warning",""))))</f>
        <v/>
      </c>
      <c r="G126" s="2" t="str">
        <f t="shared" si="3"/>
        <v>NO</v>
      </c>
      <c r="H126" s="2" t="str">
        <f>IF($A126="","",IF(Inventory_Master!R126&lt;&gt;"OK","Invalid Category",IF(Inventory_Master!J126="","Missing Price",IF(Inventory_Master!O126="","Missing Image",IF(Inventory_Master!S126&gt;0,"Size Price Review",IF(Inventory_Master!C126="ERROR","Validation Error",""))))))</f>
        <v/>
      </c>
      <c r="I126" s="2" t="str">
        <f t="shared" si="4"/>
        <v/>
      </c>
      <c r="J126" s="2" t="str">
        <f t="shared" si="5"/>
        <v/>
      </c>
    </row>
    <row r="127" spans="1:10" ht="12" customHeight="1" x14ac:dyDescent="0.3">
      <c r="A127" s="2" t="str">
        <f>Inventory_Master!D127</f>
        <v/>
      </c>
      <c r="B127" s="2" t="str">
        <f>Inventory_Master!E127</f>
        <v/>
      </c>
      <c r="C127" s="2" t="str">
        <f>Inventory_Master!C127</f>
        <v/>
      </c>
      <c r="D127" s="2" t="str">
        <f>Inventory_Master!R127</f>
        <v/>
      </c>
      <c r="E127" s="2" t="str">
        <f>Inventory_Master!W127</f>
        <v/>
      </c>
      <c r="F127" s="2" t="str">
        <f>IF($A127="","",TRIM(_xludf.textjoin("; ",TRUE(),IF(Inventory_Master!R127&lt;&gt;"OK","Invalid category",""),IF(Inventory_Master!J127="","Missing price_inr",""),IF(Inventory_Master!O127="","Missing image",""),IF(Inventory_Master!S127&gt;0,"Has size variants",""),IF(Inventory_Master!C127="ERROR","Validation error",""),IF(Inventory_Master!C127="WARNING","Review warning",""))))</f>
        <v/>
      </c>
      <c r="G127" s="2" t="str">
        <f t="shared" si="3"/>
        <v>NO</v>
      </c>
      <c r="H127" s="2" t="str">
        <f>IF($A127="","",IF(Inventory_Master!R127&lt;&gt;"OK","Invalid Category",IF(Inventory_Master!J127="","Missing Price",IF(Inventory_Master!O127="","Missing Image",IF(Inventory_Master!S127&gt;0,"Size Price Review",IF(Inventory_Master!C127="ERROR","Validation Error",""))))))</f>
        <v/>
      </c>
      <c r="I127" s="2" t="str">
        <f t="shared" si="4"/>
        <v/>
      </c>
      <c r="J127" s="2" t="str">
        <f t="shared" si="5"/>
        <v/>
      </c>
    </row>
    <row r="128" spans="1:10" ht="12" customHeight="1" x14ac:dyDescent="0.3">
      <c r="A128" s="2" t="str">
        <f>Inventory_Master!D128</f>
        <v/>
      </c>
      <c r="B128" s="2" t="str">
        <f>Inventory_Master!E128</f>
        <v/>
      </c>
      <c r="C128" s="2" t="str">
        <f>Inventory_Master!C128</f>
        <v/>
      </c>
      <c r="D128" s="2" t="str">
        <f>Inventory_Master!R128</f>
        <v/>
      </c>
      <c r="E128" s="2" t="str">
        <f>Inventory_Master!W128</f>
        <v/>
      </c>
      <c r="F128" s="2" t="str">
        <f>IF($A128="","",TRIM(_xludf.textjoin("; ",TRUE(),IF(Inventory_Master!R128&lt;&gt;"OK","Invalid category",""),IF(Inventory_Master!J128="","Missing price_inr",""),IF(Inventory_Master!O128="","Missing image",""),IF(Inventory_Master!S128&gt;0,"Has size variants",""),IF(Inventory_Master!C128="ERROR","Validation error",""),IF(Inventory_Master!C128="WARNING","Review warning",""))))</f>
        <v/>
      </c>
      <c r="G128" s="2" t="str">
        <f t="shared" si="3"/>
        <v>NO</v>
      </c>
      <c r="H128" s="2" t="str">
        <f>IF($A128="","",IF(Inventory_Master!R128&lt;&gt;"OK","Invalid Category",IF(Inventory_Master!J128="","Missing Price",IF(Inventory_Master!O128="","Missing Image",IF(Inventory_Master!S128&gt;0,"Size Price Review",IF(Inventory_Master!C128="ERROR","Validation Error",""))))))</f>
        <v/>
      </c>
      <c r="I128" s="2" t="str">
        <f t="shared" si="4"/>
        <v/>
      </c>
      <c r="J128" s="2" t="str">
        <f t="shared" si="5"/>
        <v/>
      </c>
    </row>
    <row r="129" spans="1:10" ht="12" customHeight="1" x14ac:dyDescent="0.3">
      <c r="A129" s="2" t="str">
        <f>Inventory_Master!D129</f>
        <v/>
      </c>
      <c r="B129" s="2" t="str">
        <f>Inventory_Master!E129</f>
        <v/>
      </c>
      <c r="C129" s="2" t="str">
        <f>Inventory_Master!C129</f>
        <v/>
      </c>
      <c r="D129" s="2" t="str">
        <f>Inventory_Master!R129</f>
        <v/>
      </c>
      <c r="E129" s="2" t="str">
        <f>Inventory_Master!W129</f>
        <v/>
      </c>
      <c r="F129" s="2" t="str">
        <f>IF($A129="","",TRIM(_xludf.textjoin("; ",TRUE(),IF(Inventory_Master!R129&lt;&gt;"OK","Invalid category",""),IF(Inventory_Master!J129="","Missing price_inr",""),IF(Inventory_Master!O129="","Missing image",""),IF(Inventory_Master!S129&gt;0,"Has size variants",""),IF(Inventory_Master!C129="ERROR","Validation error",""),IF(Inventory_Master!C129="WARNING","Review warning",""))))</f>
        <v/>
      </c>
      <c r="G129" s="2" t="str">
        <f t="shared" si="3"/>
        <v>NO</v>
      </c>
      <c r="H129" s="2" t="str">
        <f>IF($A129="","",IF(Inventory_Master!R129&lt;&gt;"OK","Invalid Category",IF(Inventory_Master!J129="","Missing Price",IF(Inventory_Master!O129="","Missing Image",IF(Inventory_Master!S129&gt;0,"Size Price Review",IF(Inventory_Master!C129="ERROR","Validation Error",""))))))</f>
        <v/>
      </c>
      <c r="I129" s="2" t="str">
        <f t="shared" si="4"/>
        <v/>
      </c>
      <c r="J129" s="2" t="str">
        <f t="shared" si="5"/>
        <v/>
      </c>
    </row>
    <row r="130" spans="1:10" ht="12" customHeight="1" x14ac:dyDescent="0.3">
      <c r="A130" s="2" t="str">
        <f>Inventory_Master!D130</f>
        <v/>
      </c>
      <c r="B130" s="2" t="str">
        <f>Inventory_Master!E130</f>
        <v/>
      </c>
      <c r="C130" s="2" t="str">
        <f>Inventory_Master!C130</f>
        <v/>
      </c>
      <c r="D130" s="2" t="str">
        <f>Inventory_Master!R130</f>
        <v/>
      </c>
      <c r="E130" s="2" t="str">
        <f>Inventory_Master!W130</f>
        <v/>
      </c>
      <c r="F130" s="2" t="str">
        <f>IF($A130="","",TRIM(_xludf.textjoin("; ",TRUE(),IF(Inventory_Master!R130&lt;&gt;"OK","Invalid category",""),IF(Inventory_Master!J130="","Missing price_inr",""),IF(Inventory_Master!O130="","Missing image",""),IF(Inventory_Master!S130&gt;0,"Has size variants",""),IF(Inventory_Master!C130="ERROR","Validation error",""),IF(Inventory_Master!C130="WARNING","Review warning",""))))</f>
        <v/>
      </c>
      <c r="G130" s="2" t="str">
        <f t="shared" si="3"/>
        <v>NO</v>
      </c>
      <c r="H130" s="2" t="str">
        <f>IF($A130="","",IF(Inventory_Master!R130&lt;&gt;"OK","Invalid Category",IF(Inventory_Master!J130="","Missing Price",IF(Inventory_Master!O130="","Missing Image",IF(Inventory_Master!S130&gt;0,"Size Price Review",IF(Inventory_Master!C130="ERROR","Validation Error",""))))))</f>
        <v/>
      </c>
      <c r="I130" s="2" t="str">
        <f t="shared" si="4"/>
        <v/>
      </c>
      <c r="J130" s="2" t="str">
        <f t="shared" si="5"/>
        <v/>
      </c>
    </row>
    <row r="131" spans="1:10" ht="12" customHeight="1" x14ac:dyDescent="0.3">
      <c r="A131" s="2" t="str">
        <f>Inventory_Master!D131</f>
        <v/>
      </c>
      <c r="B131" s="2" t="str">
        <f>Inventory_Master!E131</f>
        <v/>
      </c>
      <c r="C131" s="2" t="str">
        <f>Inventory_Master!C131</f>
        <v/>
      </c>
      <c r="D131" s="2" t="str">
        <f>Inventory_Master!R131</f>
        <v/>
      </c>
      <c r="E131" s="2" t="str">
        <f>Inventory_Master!W131</f>
        <v/>
      </c>
      <c r="F131" s="2" t="str">
        <f>IF($A131="","",TRIM(_xludf.textjoin("; ",TRUE(),IF(Inventory_Master!R131&lt;&gt;"OK","Invalid category",""),IF(Inventory_Master!J131="","Missing price_inr",""),IF(Inventory_Master!O131="","Missing image",""),IF(Inventory_Master!S131&gt;0,"Has size variants",""),IF(Inventory_Master!C131="ERROR","Validation error",""),IF(Inventory_Master!C131="WARNING","Review warning",""))))</f>
        <v/>
      </c>
      <c r="G131" s="2" t="str">
        <f t="shared" si="3"/>
        <v>NO</v>
      </c>
      <c r="H131" s="2" t="str">
        <f>IF($A131="","",IF(Inventory_Master!R131&lt;&gt;"OK","Invalid Category",IF(Inventory_Master!J131="","Missing Price",IF(Inventory_Master!O131="","Missing Image",IF(Inventory_Master!S131&gt;0,"Size Price Review",IF(Inventory_Master!C131="ERROR","Validation Error",""))))))</f>
        <v/>
      </c>
      <c r="I131" s="2" t="str">
        <f t="shared" si="4"/>
        <v/>
      </c>
      <c r="J131" s="2" t="str">
        <f t="shared" si="5"/>
        <v/>
      </c>
    </row>
    <row r="132" spans="1:10" ht="12" customHeight="1" x14ac:dyDescent="0.3">
      <c r="A132" s="2" t="str">
        <f>Inventory_Master!D132</f>
        <v/>
      </c>
      <c r="B132" s="2" t="str">
        <f>Inventory_Master!E132</f>
        <v/>
      </c>
      <c r="C132" s="2" t="str">
        <f>Inventory_Master!C132</f>
        <v/>
      </c>
      <c r="D132" s="2" t="str">
        <f>Inventory_Master!R132</f>
        <v/>
      </c>
      <c r="E132" s="2" t="str">
        <f>Inventory_Master!W132</f>
        <v/>
      </c>
      <c r="F132" s="2" t="str">
        <f>IF($A132="","",TRIM(_xludf.textjoin("; ",TRUE(),IF(Inventory_Master!R132&lt;&gt;"OK","Invalid category",""),IF(Inventory_Master!J132="","Missing price_inr",""),IF(Inventory_Master!O132="","Missing image",""),IF(Inventory_Master!S132&gt;0,"Has size variants",""),IF(Inventory_Master!C132="ERROR","Validation error",""),IF(Inventory_Master!C132="WARNING","Review warning",""))))</f>
        <v/>
      </c>
      <c r="G132" s="2" t="str">
        <f t="shared" si="3"/>
        <v>NO</v>
      </c>
      <c r="H132" s="2" t="str">
        <f>IF($A132="","",IF(Inventory_Master!R132&lt;&gt;"OK","Invalid Category",IF(Inventory_Master!J132="","Missing Price",IF(Inventory_Master!O132="","Missing Image",IF(Inventory_Master!S132&gt;0,"Size Price Review",IF(Inventory_Master!C132="ERROR","Validation Error",""))))))</f>
        <v/>
      </c>
      <c r="I132" s="2" t="str">
        <f t="shared" si="4"/>
        <v/>
      </c>
      <c r="J132" s="2" t="str">
        <f t="shared" si="5"/>
        <v/>
      </c>
    </row>
    <row r="133" spans="1:10" ht="12" customHeight="1" x14ac:dyDescent="0.3">
      <c r="A133" s="2" t="str">
        <f>Inventory_Master!D133</f>
        <v/>
      </c>
      <c r="B133" s="2" t="str">
        <f>Inventory_Master!E133</f>
        <v/>
      </c>
      <c r="C133" s="2" t="str">
        <f>Inventory_Master!C133</f>
        <v/>
      </c>
      <c r="D133" s="2" t="str">
        <f>Inventory_Master!R133</f>
        <v/>
      </c>
      <c r="E133" s="2" t="str">
        <f>Inventory_Master!W133</f>
        <v/>
      </c>
      <c r="F133" s="2" t="str">
        <f>IF($A133="","",TRIM(_xludf.textjoin("; ",TRUE(),IF(Inventory_Master!R133&lt;&gt;"OK","Invalid category",""),IF(Inventory_Master!J133="","Missing price_inr",""),IF(Inventory_Master!O133="","Missing image",""),IF(Inventory_Master!S133&gt;0,"Has size variants",""),IF(Inventory_Master!C133="ERROR","Validation error",""),IF(Inventory_Master!C133="WARNING","Review warning",""))))</f>
        <v/>
      </c>
      <c r="G133" s="2" t="str">
        <f t="shared" si="3"/>
        <v>NO</v>
      </c>
      <c r="H133" s="2" t="str">
        <f>IF($A133="","",IF(Inventory_Master!R133&lt;&gt;"OK","Invalid Category",IF(Inventory_Master!J133="","Missing Price",IF(Inventory_Master!O133="","Missing Image",IF(Inventory_Master!S133&gt;0,"Size Price Review",IF(Inventory_Master!C133="ERROR","Validation Error",""))))))</f>
        <v/>
      </c>
      <c r="I133" s="2" t="str">
        <f t="shared" si="4"/>
        <v/>
      </c>
      <c r="J133" s="2" t="str">
        <f t="shared" si="5"/>
        <v/>
      </c>
    </row>
    <row r="134" spans="1:10" ht="12" customHeight="1" x14ac:dyDescent="0.3">
      <c r="A134" s="2" t="str">
        <f>Inventory_Master!D134</f>
        <v/>
      </c>
      <c r="B134" s="2" t="str">
        <f>Inventory_Master!E134</f>
        <v/>
      </c>
      <c r="C134" s="2" t="str">
        <f>Inventory_Master!C134</f>
        <v/>
      </c>
      <c r="D134" s="2" t="str">
        <f>Inventory_Master!R134</f>
        <v/>
      </c>
      <c r="E134" s="2" t="str">
        <f>Inventory_Master!W134</f>
        <v/>
      </c>
      <c r="F134" s="2" t="str">
        <f>IF($A134="","",TRIM(_xludf.textjoin("; ",TRUE(),IF(Inventory_Master!R134&lt;&gt;"OK","Invalid category",""),IF(Inventory_Master!J134="","Missing price_inr",""),IF(Inventory_Master!O134="","Missing image",""),IF(Inventory_Master!S134&gt;0,"Has size variants",""),IF(Inventory_Master!C134="ERROR","Validation error",""),IF(Inventory_Master!C134="WARNING","Review warning",""))))</f>
        <v/>
      </c>
      <c r="G134" s="2" t="str">
        <f t="shared" si="3"/>
        <v>NO</v>
      </c>
      <c r="H134" s="2" t="str">
        <f>IF($A134="","",IF(Inventory_Master!R134&lt;&gt;"OK","Invalid Category",IF(Inventory_Master!J134="","Missing Price",IF(Inventory_Master!O134="","Missing Image",IF(Inventory_Master!S134&gt;0,"Size Price Review",IF(Inventory_Master!C134="ERROR","Validation Error",""))))))</f>
        <v/>
      </c>
      <c r="I134" s="2" t="str">
        <f t="shared" si="4"/>
        <v/>
      </c>
      <c r="J134" s="2" t="str">
        <f t="shared" si="5"/>
        <v/>
      </c>
    </row>
    <row r="135" spans="1:10" ht="12" customHeight="1" x14ac:dyDescent="0.3">
      <c r="A135" s="2" t="str">
        <f>Inventory_Master!D135</f>
        <v/>
      </c>
      <c r="B135" s="2" t="str">
        <f>Inventory_Master!E135</f>
        <v/>
      </c>
      <c r="C135" s="2" t="str">
        <f>Inventory_Master!C135</f>
        <v/>
      </c>
      <c r="D135" s="2" t="str">
        <f>Inventory_Master!R135</f>
        <v/>
      </c>
      <c r="E135" s="2" t="str">
        <f>Inventory_Master!W135</f>
        <v/>
      </c>
      <c r="F135" s="2" t="str">
        <f>IF($A135="","",TRIM(_xludf.textjoin("; ",TRUE(),IF(Inventory_Master!R135&lt;&gt;"OK","Invalid category",""),IF(Inventory_Master!J135="","Missing price_inr",""),IF(Inventory_Master!O135="","Missing image",""),IF(Inventory_Master!S135&gt;0,"Has size variants",""),IF(Inventory_Master!C135="ERROR","Validation error",""),IF(Inventory_Master!C135="WARNING","Review warning",""))))</f>
        <v/>
      </c>
      <c r="G135" s="2" t="str">
        <f t="shared" si="3"/>
        <v>NO</v>
      </c>
      <c r="H135" s="2" t="str">
        <f>IF($A135="","",IF(Inventory_Master!R135&lt;&gt;"OK","Invalid Category",IF(Inventory_Master!J135="","Missing Price",IF(Inventory_Master!O135="","Missing Image",IF(Inventory_Master!S135&gt;0,"Size Price Review",IF(Inventory_Master!C135="ERROR","Validation Error",""))))))</f>
        <v/>
      </c>
      <c r="I135" s="2" t="str">
        <f t="shared" si="4"/>
        <v/>
      </c>
      <c r="J135" s="2" t="str">
        <f t="shared" si="5"/>
        <v/>
      </c>
    </row>
    <row r="136" spans="1:10" ht="12" customHeight="1" x14ac:dyDescent="0.3">
      <c r="A136" s="2" t="str">
        <f>Inventory_Master!D136</f>
        <v/>
      </c>
      <c r="B136" s="2" t="str">
        <f>Inventory_Master!E136</f>
        <v/>
      </c>
      <c r="C136" s="2" t="str">
        <f>Inventory_Master!C136</f>
        <v/>
      </c>
      <c r="D136" s="2" t="str">
        <f>Inventory_Master!R136</f>
        <v/>
      </c>
      <c r="E136" s="2" t="str">
        <f>Inventory_Master!W136</f>
        <v/>
      </c>
      <c r="F136" s="2" t="str">
        <f>IF($A136="","",TRIM(_xludf.textjoin("; ",TRUE(),IF(Inventory_Master!R136&lt;&gt;"OK","Invalid category",""),IF(Inventory_Master!J136="","Missing price_inr",""),IF(Inventory_Master!O136="","Missing image",""),IF(Inventory_Master!S136&gt;0,"Has size variants",""),IF(Inventory_Master!C136="ERROR","Validation error",""),IF(Inventory_Master!C136="WARNING","Review warning",""))))</f>
        <v/>
      </c>
      <c r="G136" s="2" t="str">
        <f t="shared" si="3"/>
        <v>NO</v>
      </c>
      <c r="H136" s="2" t="str">
        <f>IF($A136="","",IF(Inventory_Master!R136&lt;&gt;"OK","Invalid Category",IF(Inventory_Master!J136="","Missing Price",IF(Inventory_Master!O136="","Missing Image",IF(Inventory_Master!S136&gt;0,"Size Price Review",IF(Inventory_Master!C136="ERROR","Validation Error",""))))))</f>
        <v/>
      </c>
      <c r="I136" s="2" t="str">
        <f t="shared" si="4"/>
        <v/>
      </c>
      <c r="J136" s="2" t="str">
        <f t="shared" si="5"/>
        <v/>
      </c>
    </row>
    <row r="137" spans="1:10" ht="12" customHeight="1" x14ac:dyDescent="0.3">
      <c r="A137" s="2" t="str">
        <f>Inventory_Master!D137</f>
        <v/>
      </c>
      <c r="B137" s="2" t="str">
        <f>Inventory_Master!E137</f>
        <v/>
      </c>
      <c r="C137" s="2" t="str">
        <f>Inventory_Master!C137</f>
        <v/>
      </c>
      <c r="D137" s="2" t="str">
        <f>Inventory_Master!R137</f>
        <v/>
      </c>
      <c r="E137" s="2" t="str">
        <f>Inventory_Master!W137</f>
        <v/>
      </c>
      <c r="F137" s="2" t="str">
        <f>IF($A137="","",TRIM(_xludf.textjoin("; ",TRUE(),IF(Inventory_Master!R137&lt;&gt;"OK","Invalid category",""),IF(Inventory_Master!J137="","Missing price_inr",""),IF(Inventory_Master!O137="","Missing image",""),IF(Inventory_Master!S137&gt;0,"Has size variants",""),IF(Inventory_Master!C137="ERROR","Validation error",""),IF(Inventory_Master!C137="WARNING","Review warning",""))))</f>
        <v/>
      </c>
      <c r="G137" s="2" t="str">
        <f t="shared" si="3"/>
        <v>NO</v>
      </c>
      <c r="H137" s="2" t="str">
        <f>IF($A137="","",IF(Inventory_Master!R137&lt;&gt;"OK","Invalid Category",IF(Inventory_Master!J137="","Missing Price",IF(Inventory_Master!O137="","Missing Image",IF(Inventory_Master!S137&gt;0,"Size Price Review",IF(Inventory_Master!C137="ERROR","Validation Error",""))))))</f>
        <v/>
      </c>
      <c r="I137" s="2" t="str">
        <f t="shared" si="4"/>
        <v/>
      </c>
      <c r="J137" s="2" t="str">
        <f t="shared" si="5"/>
        <v/>
      </c>
    </row>
    <row r="138" spans="1:10" ht="12" customHeight="1" x14ac:dyDescent="0.3">
      <c r="A138" s="2" t="str">
        <f>Inventory_Master!D138</f>
        <v/>
      </c>
      <c r="B138" s="2" t="str">
        <f>Inventory_Master!E138</f>
        <v/>
      </c>
      <c r="C138" s="2" t="str">
        <f>Inventory_Master!C138</f>
        <v/>
      </c>
      <c r="D138" s="2" t="str">
        <f>Inventory_Master!R138</f>
        <v/>
      </c>
      <c r="E138" s="2" t="str">
        <f>Inventory_Master!W138</f>
        <v/>
      </c>
      <c r="F138" s="2" t="str">
        <f>IF($A138="","",TRIM(_xludf.textjoin("; ",TRUE(),IF(Inventory_Master!R138&lt;&gt;"OK","Invalid category",""),IF(Inventory_Master!J138="","Missing price_inr",""),IF(Inventory_Master!O138="","Missing image",""),IF(Inventory_Master!S138&gt;0,"Has size variants",""),IF(Inventory_Master!C138="ERROR","Validation error",""),IF(Inventory_Master!C138="WARNING","Review warning",""))))</f>
        <v/>
      </c>
      <c r="G138" s="2" t="str">
        <f t="shared" si="3"/>
        <v>NO</v>
      </c>
      <c r="H138" s="2" t="str">
        <f>IF($A138="","",IF(Inventory_Master!R138&lt;&gt;"OK","Invalid Category",IF(Inventory_Master!J138="","Missing Price",IF(Inventory_Master!O138="","Missing Image",IF(Inventory_Master!S138&gt;0,"Size Price Review",IF(Inventory_Master!C138="ERROR","Validation Error",""))))))</f>
        <v/>
      </c>
      <c r="I138" s="2" t="str">
        <f t="shared" si="4"/>
        <v/>
      </c>
      <c r="J138" s="2" t="str">
        <f t="shared" si="5"/>
        <v/>
      </c>
    </row>
    <row r="139" spans="1:10" ht="12" customHeight="1" x14ac:dyDescent="0.3">
      <c r="A139" s="2" t="str">
        <f>Inventory_Master!D139</f>
        <v/>
      </c>
      <c r="B139" s="2" t="str">
        <f>Inventory_Master!E139</f>
        <v/>
      </c>
      <c r="C139" s="2" t="str">
        <f>Inventory_Master!C139</f>
        <v/>
      </c>
      <c r="D139" s="2" t="str">
        <f>Inventory_Master!R139</f>
        <v/>
      </c>
      <c r="E139" s="2" t="str">
        <f>Inventory_Master!W139</f>
        <v/>
      </c>
      <c r="F139" s="2" t="str">
        <f>IF($A139="","",TRIM(_xludf.textjoin("; ",TRUE(),IF(Inventory_Master!R139&lt;&gt;"OK","Invalid category",""),IF(Inventory_Master!J139="","Missing price_inr",""),IF(Inventory_Master!O139="","Missing image",""),IF(Inventory_Master!S139&gt;0,"Has size variants",""),IF(Inventory_Master!C139="ERROR","Validation error",""),IF(Inventory_Master!C139="WARNING","Review warning",""))))</f>
        <v/>
      </c>
      <c r="G139" s="2" t="str">
        <f t="shared" si="3"/>
        <v>NO</v>
      </c>
      <c r="H139" s="2" t="str">
        <f>IF($A139="","",IF(Inventory_Master!R139&lt;&gt;"OK","Invalid Category",IF(Inventory_Master!J139="","Missing Price",IF(Inventory_Master!O139="","Missing Image",IF(Inventory_Master!S139&gt;0,"Size Price Review",IF(Inventory_Master!C139="ERROR","Validation Error",""))))))</f>
        <v/>
      </c>
      <c r="I139" s="2" t="str">
        <f t="shared" si="4"/>
        <v/>
      </c>
      <c r="J139" s="2" t="str">
        <f t="shared" si="5"/>
        <v/>
      </c>
    </row>
    <row r="140" spans="1:10" ht="12" customHeight="1" x14ac:dyDescent="0.3">
      <c r="A140" s="2" t="str">
        <f>Inventory_Master!D140</f>
        <v/>
      </c>
      <c r="B140" s="2" t="str">
        <f>Inventory_Master!E140</f>
        <v/>
      </c>
      <c r="C140" s="2" t="str">
        <f>Inventory_Master!C140</f>
        <v/>
      </c>
      <c r="D140" s="2" t="str">
        <f>Inventory_Master!R140</f>
        <v/>
      </c>
      <c r="E140" s="2" t="str">
        <f>Inventory_Master!W140</f>
        <v/>
      </c>
      <c r="F140" s="2" t="str">
        <f>IF($A140="","",TRIM(_xludf.textjoin("; ",TRUE(),IF(Inventory_Master!R140&lt;&gt;"OK","Invalid category",""),IF(Inventory_Master!J140="","Missing price_inr",""),IF(Inventory_Master!O140="","Missing image",""),IF(Inventory_Master!S140&gt;0,"Has size variants",""),IF(Inventory_Master!C140="ERROR","Validation error",""),IF(Inventory_Master!C140="WARNING","Review warning",""))))</f>
        <v/>
      </c>
      <c r="G140" s="2" t="str">
        <f t="shared" si="3"/>
        <v>NO</v>
      </c>
      <c r="H140" s="2" t="str">
        <f>IF($A140="","",IF(Inventory_Master!R140&lt;&gt;"OK","Invalid Category",IF(Inventory_Master!J140="","Missing Price",IF(Inventory_Master!O140="","Missing Image",IF(Inventory_Master!S140&gt;0,"Size Price Review",IF(Inventory_Master!C140="ERROR","Validation Error",""))))))</f>
        <v/>
      </c>
      <c r="I140" s="2" t="str">
        <f t="shared" si="4"/>
        <v/>
      </c>
      <c r="J140" s="2" t="str">
        <f t="shared" si="5"/>
        <v/>
      </c>
    </row>
    <row r="141" spans="1:10" ht="12" customHeight="1" x14ac:dyDescent="0.3">
      <c r="A141" s="2" t="str">
        <f>Inventory_Master!D141</f>
        <v/>
      </c>
      <c r="B141" s="2" t="str">
        <f>Inventory_Master!E141</f>
        <v/>
      </c>
      <c r="C141" s="2" t="str">
        <f>Inventory_Master!C141</f>
        <v/>
      </c>
      <c r="D141" s="2" t="str">
        <f>Inventory_Master!R141</f>
        <v/>
      </c>
      <c r="E141" s="2" t="str">
        <f>Inventory_Master!W141</f>
        <v/>
      </c>
      <c r="F141" s="2" t="str">
        <f>IF($A141="","",TRIM(_xludf.textjoin("; ",TRUE(),IF(Inventory_Master!R141&lt;&gt;"OK","Invalid category",""),IF(Inventory_Master!J141="","Missing price_inr",""),IF(Inventory_Master!O141="","Missing image",""),IF(Inventory_Master!S141&gt;0,"Has size variants",""),IF(Inventory_Master!C141="ERROR","Validation error",""),IF(Inventory_Master!C141="WARNING","Review warning",""))))</f>
        <v/>
      </c>
      <c r="G141" s="2" t="str">
        <f t="shared" si="3"/>
        <v>NO</v>
      </c>
      <c r="H141" s="2" t="str">
        <f>IF($A141="","",IF(Inventory_Master!R141&lt;&gt;"OK","Invalid Category",IF(Inventory_Master!J141="","Missing Price",IF(Inventory_Master!O141="","Missing Image",IF(Inventory_Master!S141&gt;0,"Size Price Review",IF(Inventory_Master!C141="ERROR","Validation Error",""))))))</f>
        <v/>
      </c>
      <c r="I141" s="2" t="str">
        <f t="shared" si="4"/>
        <v/>
      </c>
      <c r="J141" s="2" t="str">
        <f t="shared" si="5"/>
        <v/>
      </c>
    </row>
    <row r="142" spans="1:10" ht="12" customHeight="1" x14ac:dyDescent="0.3">
      <c r="A142" s="2" t="str">
        <f>Inventory_Master!D142</f>
        <v/>
      </c>
      <c r="B142" s="2" t="str">
        <f>Inventory_Master!E142</f>
        <v/>
      </c>
      <c r="C142" s="2" t="str">
        <f>Inventory_Master!C142</f>
        <v/>
      </c>
      <c r="D142" s="2" t="str">
        <f>Inventory_Master!R142</f>
        <v/>
      </c>
      <c r="E142" s="2" t="str">
        <f>Inventory_Master!W142</f>
        <v/>
      </c>
      <c r="F142" s="2" t="str">
        <f>IF($A142="","",TRIM(_xludf.textjoin("; ",TRUE(),IF(Inventory_Master!R142&lt;&gt;"OK","Invalid category",""),IF(Inventory_Master!J142="","Missing price_inr",""),IF(Inventory_Master!O142="","Missing image",""),IF(Inventory_Master!S142&gt;0,"Has size variants",""),IF(Inventory_Master!C142="ERROR","Validation error",""),IF(Inventory_Master!C142="WARNING","Review warning",""))))</f>
        <v/>
      </c>
      <c r="G142" s="2" t="str">
        <f t="shared" si="3"/>
        <v>NO</v>
      </c>
      <c r="H142" s="2" t="str">
        <f>IF($A142="","",IF(Inventory_Master!R142&lt;&gt;"OK","Invalid Category",IF(Inventory_Master!J142="","Missing Price",IF(Inventory_Master!O142="","Missing Image",IF(Inventory_Master!S142&gt;0,"Size Price Review",IF(Inventory_Master!C142="ERROR","Validation Error",""))))))</f>
        <v/>
      </c>
      <c r="I142" s="2" t="str">
        <f t="shared" si="4"/>
        <v/>
      </c>
      <c r="J142" s="2" t="str">
        <f t="shared" si="5"/>
        <v/>
      </c>
    </row>
    <row r="143" spans="1:10" ht="12" customHeight="1" x14ac:dyDescent="0.3">
      <c r="A143" s="2" t="str">
        <f>Inventory_Master!D143</f>
        <v/>
      </c>
      <c r="B143" s="2" t="str">
        <f>Inventory_Master!E143</f>
        <v/>
      </c>
      <c r="C143" s="2" t="str">
        <f>Inventory_Master!C143</f>
        <v/>
      </c>
      <c r="D143" s="2" t="str">
        <f>Inventory_Master!R143</f>
        <v/>
      </c>
      <c r="E143" s="2" t="str">
        <f>Inventory_Master!W143</f>
        <v/>
      </c>
      <c r="F143" s="2" t="str">
        <f>IF($A143="","",TRIM(_xludf.textjoin("; ",TRUE(),IF(Inventory_Master!R143&lt;&gt;"OK","Invalid category",""),IF(Inventory_Master!J143="","Missing price_inr",""),IF(Inventory_Master!O143="","Missing image",""),IF(Inventory_Master!S143&gt;0,"Has size variants",""),IF(Inventory_Master!C143="ERROR","Validation error",""),IF(Inventory_Master!C143="WARNING","Review warning",""))))</f>
        <v/>
      </c>
      <c r="G143" s="2" t="str">
        <f t="shared" si="3"/>
        <v>NO</v>
      </c>
      <c r="H143" s="2" t="str">
        <f>IF($A143="","",IF(Inventory_Master!R143&lt;&gt;"OK","Invalid Category",IF(Inventory_Master!J143="","Missing Price",IF(Inventory_Master!O143="","Missing Image",IF(Inventory_Master!S143&gt;0,"Size Price Review",IF(Inventory_Master!C143="ERROR","Validation Error",""))))))</f>
        <v/>
      </c>
      <c r="I143" s="2" t="str">
        <f t="shared" si="4"/>
        <v/>
      </c>
      <c r="J143" s="2" t="str">
        <f t="shared" si="5"/>
        <v/>
      </c>
    </row>
    <row r="144" spans="1:10" ht="12" customHeight="1" x14ac:dyDescent="0.3">
      <c r="A144" s="2" t="str">
        <f>Inventory_Master!D144</f>
        <v/>
      </c>
      <c r="B144" s="2" t="str">
        <f>Inventory_Master!E144</f>
        <v/>
      </c>
      <c r="C144" s="2" t="str">
        <f>Inventory_Master!C144</f>
        <v/>
      </c>
      <c r="D144" s="2" t="str">
        <f>Inventory_Master!R144</f>
        <v/>
      </c>
      <c r="E144" s="2" t="str">
        <f>Inventory_Master!W144</f>
        <v/>
      </c>
      <c r="F144" s="2" t="str">
        <f>IF($A144="","",TRIM(_xludf.textjoin("; ",TRUE(),IF(Inventory_Master!R144&lt;&gt;"OK","Invalid category",""),IF(Inventory_Master!J144="","Missing price_inr",""),IF(Inventory_Master!O144="","Missing image",""),IF(Inventory_Master!S144&gt;0,"Has size variants",""),IF(Inventory_Master!C144="ERROR","Validation error",""),IF(Inventory_Master!C144="WARNING","Review warning",""))))</f>
        <v/>
      </c>
      <c r="G144" s="2" t="str">
        <f t="shared" si="3"/>
        <v>NO</v>
      </c>
      <c r="H144" s="2" t="str">
        <f>IF($A144="","",IF(Inventory_Master!R144&lt;&gt;"OK","Invalid Category",IF(Inventory_Master!J144="","Missing Price",IF(Inventory_Master!O144="","Missing Image",IF(Inventory_Master!S144&gt;0,"Size Price Review",IF(Inventory_Master!C144="ERROR","Validation Error",""))))))</f>
        <v/>
      </c>
      <c r="I144" s="2" t="str">
        <f t="shared" si="4"/>
        <v/>
      </c>
      <c r="J144" s="2" t="str">
        <f t="shared" si="5"/>
        <v/>
      </c>
    </row>
    <row r="145" spans="1:10" ht="12" customHeight="1" x14ac:dyDescent="0.3">
      <c r="A145" s="2" t="str">
        <f>Inventory_Master!D145</f>
        <v/>
      </c>
      <c r="B145" s="2" t="str">
        <f>Inventory_Master!E145</f>
        <v/>
      </c>
      <c r="C145" s="2" t="str">
        <f>Inventory_Master!C145</f>
        <v/>
      </c>
      <c r="D145" s="2" t="str">
        <f>Inventory_Master!R145</f>
        <v/>
      </c>
      <c r="E145" s="2" t="str">
        <f>Inventory_Master!W145</f>
        <v/>
      </c>
      <c r="F145" s="2" t="str">
        <f>IF($A145="","",TRIM(_xludf.textjoin("; ",TRUE(),IF(Inventory_Master!R145&lt;&gt;"OK","Invalid category",""),IF(Inventory_Master!J145="","Missing price_inr",""),IF(Inventory_Master!O145="","Missing image",""),IF(Inventory_Master!S145&gt;0,"Has size variants",""),IF(Inventory_Master!C145="ERROR","Validation error",""),IF(Inventory_Master!C145="WARNING","Review warning",""))))</f>
        <v/>
      </c>
      <c r="G145" s="2" t="str">
        <f t="shared" si="3"/>
        <v>NO</v>
      </c>
      <c r="H145" s="2" t="str">
        <f>IF($A145="","",IF(Inventory_Master!R145&lt;&gt;"OK","Invalid Category",IF(Inventory_Master!J145="","Missing Price",IF(Inventory_Master!O145="","Missing Image",IF(Inventory_Master!S145&gt;0,"Size Price Review",IF(Inventory_Master!C145="ERROR","Validation Error",""))))))</f>
        <v/>
      </c>
      <c r="I145" s="2" t="str">
        <f t="shared" si="4"/>
        <v/>
      </c>
      <c r="J145" s="2" t="str">
        <f t="shared" si="5"/>
        <v/>
      </c>
    </row>
    <row r="146" spans="1:10" ht="12" customHeight="1" x14ac:dyDescent="0.3">
      <c r="A146" s="2" t="str">
        <f>Inventory_Master!D146</f>
        <v/>
      </c>
      <c r="B146" s="2" t="str">
        <f>Inventory_Master!E146</f>
        <v/>
      </c>
      <c r="C146" s="2" t="str">
        <f>Inventory_Master!C146</f>
        <v/>
      </c>
      <c r="D146" s="2" t="str">
        <f>Inventory_Master!R146</f>
        <v/>
      </c>
      <c r="E146" s="2" t="str">
        <f>Inventory_Master!W146</f>
        <v/>
      </c>
      <c r="F146" s="2" t="str">
        <f>IF($A146="","",TRIM(_xludf.textjoin("; ",TRUE(),IF(Inventory_Master!R146&lt;&gt;"OK","Invalid category",""),IF(Inventory_Master!J146="","Missing price_inr",""),IF(Inventory_Master!O146="","Missing image",""),IF(Inventory_Master!S146&gt;0,"Has size variants",""),IF(Inventory_Master!C146="ERROR","Validation error",""),IF(Inventory_Master!C146="WARNING","Review warning",""))))</f>
        <v/>
      </c>
      <c r="G146" s="2" t="str">
        <f t="shared" si="3"/>
        <v>NO</v>
      </c>
      <c r="H146" s="2" t="str">
        <f>IF($A146="","",IF(Inventory_Master!R146&lt;&gt;"OK","Invalid Category",IF(Inventory_Master!J146="","Missing Price",IF(Inventory_Master!O146="","Missing Image",IF(Inventory_Master!S146&gt;0,"Size Price Review",IF(Inventory_Master!C146="ERROR","Validation Error",""))))))</f>
        <v/>
      </c>
      <c r="I146" s="2" t="str">
        <f t="shared" si="4"/>
        <v/>
      </c>
      <c r="J146" s="2" t="str">
        <f t="shared" si="5"/>
        <v/>
      </c>
    </row>
    <row r="147" spans="1:10" ht="12" customHeight="1" x14ac:dyDescent="0.3">
      <c r="A147" s="2" t="str">
        <f>Inventory_Master!D147</f>
        <v/>
      </c>
      <c r="B147" s="2" t="str">
        <f>Inventory_Master!E147</f>
        <v/>
      </c>
      <c r="C147" s="2" t="str">
        <f>Inventory_Master!C147</f>
        <v/>
      </c>
      <c r="D147" s="2" t="str">
        <f>Inventory_Master!R147</f>
        <v/>
      </c>
      <c r="E147" s="2" t="str">
        <f>Inventory_Master!W147</f>
        <v/>
      </c>
      <c r="F147" s="2" t="str">
        <f>IF($A147="","",TRIM(_xludf.textjoin("; ",TRUE(),IF(Inventory_Master!R147&lt;&gt;"OK","Invalid category",""),IF(Inventory_Master!J147="","Missing price_inr",""),IF(Inventory_Master!O147="","Missing image",""),IF(Inventory_Master!S147&gt;0,"Has size variants",""),IF(Inventory_Master!C147="ERROR","Validation error",""),IF(Inventory_Master!C147="WARNING","Review warning",""))))</f>
        <v/>
      </c>
      <c r="G147" s="2" t="str">
        <f t="shared" si="3"/>
        <v>NO</v>
      </c>
      <c r="H147" s="2" t="str">
        <f>IF($A147="","",IF(Inventory_Master!R147&lt;&gt;"OK","Invalid Category",IF(Inventory_Master!J147="","Missing Price",IF(Inventory_Master!O147="","Missing Image",IF(Inventory_Master!S147&gt;0,"Size Price Review",IF(Inventory_Master!C147="ERROR","Validation Error",""))))))</f>
        <v/>
      </c>
      <c r="I147" s="2" t="str">
        <f t="shared" si="4"/>
        <v/>
      </c>
      <c r="J147" s="2" t="str">
        <f t="shared" si="5"/>
        <v/>
      </c>
    </row>
    <row r="148" spans="1:10" ht="12" customHeight="1" x14ac:dyDescent="0.3">
      <c r="A148" s="2" t="str">
        <f>Inventory_Master!D148</f>
        <v/>
      </c>
      <c r="B148" s="2" t="str">
        <f>Inventory_Master!E148</f>
        <v/>
      </c>
      <c r="C148" s="2" t="str">
        <f>Inventory_Master!C148</f>
        <v/>
      </c>
      <c r="D148" s="2" t="str">
        <f>Inventory_Master!R148</f>
        <v/>
      </c>
      <c r="E148" s="2" t="str">
        <f>Inventory_Master!W148</f>
        <v/>
      </c>
      <c r="F148" s="2" t="str">
        <f>IF($A148="","",TRIM(_xludf.textjoin("; ",TRUE(),IF(Inventory_Master!R148&lt;&gt;"OK","Invalid category",""),IF(Inventory_Master!J148="","Missing price_inr",""),IF(Inventory_Master!O148="","Missing image",""),IF(Inventory_Master!S148&gt;0,"Has size variants",""),IF(Inventory_Master!C148="ERROR","Validation error",""),IF(Inventory_Master!C148="WARNING","Review warning",""))))</f>
        <v/>
      </c>
      <c r="G148" s="2" t="str">
        <f t="shared" si="3"/>
        <v>NO</v>
      </c>
      <c r="H148" s="2" t="str">
        <f>IF($A148="","",IF(Inventory_Master!R148&lt;&gt;"OK","Invalid Category",IF(Inventory_Master!J148="","Missing Price",IF(Inventory_Master!O148="","Missing Image",IF(Inventory_Master!S148&gt;0,"Size Price Review",IF(Inventory_Master!C148="ERROR","Validation Error",""))))))</f>
        <v/>
      </c>
      <c r="I148" s="2" t="str">
        <f t="shared" si="4"/>
        <v/>
      </c>
      <c r="J148" s="2" t="str">
        <f t="shared" si="5"/>
        <v/>
      </c>
    </row>
    <row r="149" spans="1:10" ht="12" customHeight="1" x14ac:dyDescent="0.3">
      <c r="A149" s="2" t="str">
        <f>Inventory_Master!D149</f>
        <v/>
      </c>
      <c r="B149" s="2" t="str">
        <f>Inventory_Master!E149</f>
        <v/>
      </c>
      <c r="C149" s="2" t="str">
        <f>Inventory_Master!C149</f>
        <v/>
      </c>
      <c r="D149" s="2" t="str">
        <f>Inventory_Master!R149</f>
        <v/>
      </c>
      <c r="E149" s="2" t="str">
        <f>Inventory_Master!W149</f>
        <v/>
      </c>
      <c r="F149" s="2" t="str">
        <f>IF($A149="","",TRIM(_xludf.textjoin("; ",TRUE(),IF(Inventory_Master!R149&lt;&gt;"OK","Invalid category",""),IF(Inventory_Master!J149="","Missing price_inr",""),IF(Inventory_Master!O149="","Missing image",""),IF(Inventory_Master!S149&gt;0,"Has size variants",""),IF(Inventory_Master!C149="ERROR","Validation error",""),IF(Inventory_Master!C149="WARNING","Review warning",""))))</f>
        <v/>
      </c>
      <c r="G149" s="2" t="str">
        <f t="shared" si="3"/>
        <v>NO</v>
      </c>
      <c r="H149" s="2" t="str">
        <f>IF($A149="","",IF(Inventory_Master!R149&lt;&gt;"OK","Invalid Category",IF(Inventory_Master!J149="","Missing Price",IF(Inventory_Master!O149="","Missing Image",IF(Inventory_Master!S149&gt;0,"Size Price Review",IF(Inventory_Master!C149="ERROR","Validation Error",""))))))</f>
        <v/>
      </c>
      <c r="I149" s="2" t="str">
        <f t="shared" si="4"/>
        <v/>
      </c>
      <c r="J149" s="2" t="str">
        <f t="shared" si="5"/>
        <v/>
      </c>
    </row>
    <row r="150" spans="1:10" ht="12" customHeight="1" x14ac:dyDescent="0.3">
      <c r="A150" s="2" t="str">
        <f>Inventory_Master!D150</f>
        <v/>
      </c>
      <c r="B150" s="2" t="str">
        <f>Inventory_Master!E150</f>
        <v/>
      </c>
      <c r="C150" s="2" t="str">
        <f>Inventory_Master!C150</f>
        <v/>
      </c>
      <c r="D150" s="2" t="str">
        <f>Inventory_Master!R150</f>
        <v/>
      </c>
      <c r="E150" s="2" t="str">
        <f>Inventory_Master!W150</f>
        <v/>
      </c>
      <c r="F150" s="2" t="str">
        <f>IF($A150="","",TRIM(_xludf.textjoin("; ",TRUE(),IF(Inventory_Master!R150&lt;&gt;"OK","Invalid category",""),IF(Inventory_Master!J150="","Missing price_inr",""),IF(Inventory_Master!O150="","Missing image",""),IF(Inventory_Master!S150&gt;0,"Has size variants",""),IF(Inventory_Master!C150="ERROR","Validation error",""),IF(Inventory_Master!C150="WARNING","Review warning",""))))</f>
        <v/>
      </c>
      <c r="G150" s="2" t="str">
        <f t="shared" si="3"/>
        <v>NO</v>
      </c>
      <c r="H150" s="2" t="str">
        <f>IF($A150="","",IF(Inventory_Master!R150&lt;&gt;"OK","Invalid Category",IF(Inventory_Master!J150="","Missing Price",IF(Inventory_Master!O150="","Missing Image",IF(Inventory_Master!S150&gt;0,"Size Price Review",IF(Inventory_Master!C150="ERROR","Validation Error",""))))))</f>
        <v/>
      </c>
      <c r="I150" s="2" t="str">
        <f t="shared" si="4"/>
        <v/>
      </c>
      <c r="J150" s="2" t="str">
        <f t="shared" si="5"/>
        <v/>
      </c>
    </row>
    <row r="151" spans="1:10" ht="12" customHeight="1" x14ac:dyDescent="0.3">
      <c r="A151" s="2" t="str">
        <f>Inventory_Master!D151</f>
        <v/>
      </c>
      <c r="B151" s="2" t="str">
        <f>Inventory_Master!E151</f>
        <v/>
      </c>
      <c r="C151" s="2" t="str">
        <f>Inventory_Master!C151</f>
        <v/>
      </c>
      <c r="D151" s="2" t="str">
        <f>Inventory_Master!R151</f>
        <v/>
      </c>
      <c r="E151" s="2" t="str">
        <f>Inventory_Master!W151</f>
        <v/>
      </c>
      <c r="F151" s="2" t="str">
        <f>IF($A151="","",TRIM(_xludf.textjoin("; ",TRUE(),IF(Inventory_Master!R151&lt;&gt;"OK","Invalid category",""),IF(Inventory_Master!J151="","Missing price_inr",""),IF(Inventory_Master!O151="","Missing image",""),IF(Inventory_Master!S151&gt;0,"Has size variants",""),IF(Inventory_Master!C151="ERROR","Validation error",""),IF(Inventory_Master!C151="WARNING","Review warning",""))))</f>
        <v/>
      </c>
      <c r="G151" s="2" t="str">
        <f t="shared" si="3"/>
        <v>NO</v>
      </c>
      <c r="H151" s="2" t="str">
        <f>IF($A151="","",IF(Inventory_Master!R151&lt;&gt;"OK","Invalid Category",IF(Inventory_Master!J151="","Missing Price",IF(Inventory_Master!O151="","Missing Image",IF(Inventory_Master!S151&gt;0,"Size Price Review",IF(Inventory_Master!C151="ERROR","Validation Error",""))))))</f>
        <v/>
      </c>
      <c r="I151" s="2" t="str">
        <f t="shared" si="4"/>
        <v/>
      </c>
      <c r="J151" s="2" t="str">
        <f t="shared" si="5"/>
        <v/>
      </c>
    </row>
    <row r="152" spans="1:10" ht="12" customHeight="1" x14ac:dyDescent="0.3">
      <c r="A152" s="2" t="str">
        <f>Inventory_Master!D152</f>
        <v/>
      </c>
      <c r="B152" s="2" t="str">
        <f>Inventory_Master!E152</f>
        <v/>
      </c>
      <c r="C152" s="2" t="str">
        <f>Inventory_Master!C152</f>
        <v/>
      </c>
      <c r="D152" s="2" t="str">
        <f>Inventory_Master!R152</f>
        <v/>
      </c>
      <c r="E152" s="2" t="str">
        <f>Inventory_Master!W152</f>
        <v/>
      </c>
      <c r="F152" s="2" t="str">
        <f>IF($A152="","",TRIM(_xludf.textjoin("; ",TRUE(),IF(Inventory_Master!R152&lt;&gt;"OK","Invalid category",""),IF(Inventory_Master!J152="","Missing price_inr",""),IF(Inventory_Master!O152="","Missing image",""),IF(Inventory_Master!S152&gt;0,"Has size variants",""),IF(Inventory_Master!C152="ERROR","Validation error",""),IF(Inventory_Master!C152="WARNING","Review warning",""))))</f>
        <v/>
      </c>
      <c r="G152" s="2" t="str">
        <f t="shared" si="3"/>
        <v>NO</v>
      </c>
      <c r="H152" s="2" t="str">
        <f>IF($A152="","",IF(Inventory_Master!R152&lt;&gt;"OK","Invalid Category",IF(Inventory_Master!J152="","Missing Price",IF(Inventory_Master!O152="","Missing Image",IF(Inventory_Master!S152&gt;0,"Size Price Review",IF(Inventory_Master!C152="ERROR","Validation Error",""))))))</f>
        <v/>
      </c>
      <c r="I152" s="2" t="str">
        <f t="shared" si="4"/>
        <v/>
      </c>
      <c r="J152" s="2" t="str">
        <f t="shared" si="5"/>
        <v/>
      </c>
    </row>
    <row r="153" spans="1:10" ht="12" customHeight="1" x14ac:dyDescent="0.3">
      <c r="A153" s="2" t="str">
        <f>Inventory_Master!D153</f>
        <v/>
      </c>
      <c r="B153" s="2" t="str">
        <f>Inventory_Master!E153</f>
        <v/>
      </c>
      <c r="C153" s="2" t="str">
        <f>Inventory_Master!C153</f>
        <v/>
      </c>
      <c r="D153" s="2" t="str">
        <f>Inventory_Master!R153</f>
        <v/>
      </c>
      <c r="E153" s="2" t="str">
        <f>Inventory_Master!W153</f>
        <v/>
      </c>
      <c r="F153" s="2" t="str">
        <f>IF($A153="","",TRIM(_xludf.textjoin("; ",TRUE(),IF(Inventory_Master!R153&lt;&gt;"OK","Invalid category",""),IF(Inventory_Master!J153="","Missing price_inr",""),IF(Inventory_Master!O153="","Missing image",""),IF(Inventory_Master!S153&gt;0,"Has size variants",""),IF(Inventory_Master!C153="ERROR","Validation error",""),IF(Inventory_Master!C153="WARNING","Review warning",""))))</f>
        <v/>
      </c>
      <c r="G153" s="2" t="str">
        <f t="shared" si="3"/>
        <v>NO</v>
      </c>
      <c r="H153" s="2" t="str">
        <f>IF($A153="","",IF(Inventory_Master!R153&lt;&gt;"OK","Invalid Category",IF(Inventory_Master!J153="","Missing Price",IF(Inventory_Master!O153="","Missing Image",IF(Inventory_Master!S153&gt;0,"Size Price Review",IF(Inventory_Master!C153="ERROR","Validation Error",""))))))</f>
        <v/>
      </c>
      <c r="I153" s="2" t="str">
        <f t="shared" si="4"/>
        <v/>
      </c>
      <c r="J153" s="2" t="str">
        <f t="shared" si="5"/>
        <v/>
      </c>
    </row>
    <row r="154" spans="1:10" ht="12" customHeight="1" x14ac:dyDescent="0.3">
      <c r="A154" s="2" t="str">
        <f>Inventory_Master!D154</f>
        <v/>
      </c>
      <c r="B154" s="2" t="str">
        <f>Inventory_Master!E154</f>
        <v/>
      </c>
      <c r="C154" s="2" t="str">
        <f>Inventory_Master!C154</f>
        <v/>
      </c>
      <c r="D154" s="2" t="str">
        <f>Inventory_Master!R154</f>
        <v/>
      </c>
      <c r="E154" s="2" t="str">
        <f>Inventory_Master!W154</f>
        <v/>
      </c>
      <c r="F154" s="2" t="str">
        <f>IF($A154="","",TRIM(_xludf.textjoin("; ",TRUE(),IF(Inventory_Master!R154&lt;&gt;"OK","Invalid category",""),IF(Inventory_Master!J154="","Missing price_inr",""),IF(Inventory_Master!O154="","Missing image",""),IF(Inventory_Master!S154&gt;0,"Has size variants",""),IF(Inventory_Master!C154="ERROR","Validation error",""),IF(Inventory_Master!C154="WARNING","Review warning",""))))</f>
        <v/>
      </c>
      <c r="G154" s="2" t="str">
        <f t="shared" si="3"/>
        <v>NO</v>
      </c>
      <c r="H154" s="2" t="str">
        <f>IF($A154="","",IF(Inventory_Master!R154&lt;&gt;"OK","Invalid Category",IF(Inventory_Master!J154="","Missing Price",IF(Inventory_Master!O154="","Missing Image",IF(Inventory_Master!S154&gt;0,"Size Price Review",IF(Inventory_Master!C154="ERROR","Validation Error",""))))))</f>
        <v/>
      </c>
      <c r="I154" s="2" t="str">
        <f t="shared" si="4"/>
        <v/>
      </c>
      <c r="J154" s="2" t="str">
        <f t="shared" si="5"/>
        <v/>
      </c>
    </row>
    <row r="155" spans="1:10" ht="12" customHeight="1" x14ac:dyDescent="0.3">
      <c r="A155" s="2" t="str">
        <f>Inventory_Master!D155</f>
        <v/>
      </c>
      <c r="B155" s="2" t="str">
        <f>Inventory_Master!E155</f>
        <v/>
      </c>
      <c r="C155" s="2" t="str">
        <f>Inventory_Master!C155</f>
        <v/>
      </c>
      <c r="D155" s="2" t="str">
        <f>Inventory_Master!R155</f>
        <v/>
      </c>
      <c r="E155" s="2" t="str">
        <f>Inventory_Master!W155</f>
        <v/>
      </c>
      <c r="F155" s="2" t="str">
        <f>IF($A155="","",TRIM(_xludf.textjoin("; ",TRUE(),IF(Inventory_Master!R155&lt;&gt;"OK","Invalid category",""),IF(Inventory_Master!J155="","Missing price_inr",""),IF(Inventory_Master!O155="","Missing image",""),IF(Inventory_Master!S155&gt;0,"Has size variants",""),IF(Inventory_Master!C155="ERROR","Validation error",""),IF(Inventory_Master!C155="WARNING","Review warning",""))))</f>
        <v/>
      </c>
      <c r="G155" s="2" t="str">
        <f t="shared" si="3"/>
        <v>NO</v>
      </c>
      <c r="H155" s="2" t="str">
        <f>IF($A155="","",IF(Inventory_Master!R155&lt;&gt;"OK","Invalid Category",IF(Inventory_Master!J155="","Missing Price",IF(Inventory_Master!O155="","Missing Image",IF(Inventory_Master!S155&gt;0,"Size Price Review",IF(Inventory_Master!C155="ERROR","Validation Error",""))))))</f>
        <v/>
      </c>
      <c r="I155" s="2" t="str">
        <f t="shared" si="4"/>
        <v/>
      </c>
      <c r="J155" s="2" t="str">
        <f t="shared" si="5"/>
        <v/>
      </c>
    </row>
    <row r="156" spans="1:10" ht="12" customHeight="1" x14ac:dyDescent="0.3">
      <c r="A156" s="2" t="str">
        <f>Inventory_Master!D156</f>
        <v/>
      </c>
      <c r="B156" s="2" t="str">
        <f>Inventory_Master!E156</f>
        <v/>
      </c>
      <c r="C156" s="2" t="str">
        <f>Inventory_Master!C156</f>
        <v/>
      </c>
      <c r="D156" s="2" t="str">
        <f>Inventory_Master!R156</f>
        <v/>
      </c>
      <c r="E156" s="2" t="str">
        <f>Inventory_Master!W156</f>
        <v/>
      </c>
      <c r="F156" s="2" t="str">
        <f>IF($A156="","",TRIM(_xludf.textjoin("; ",TRUE(),IF(Inventory_Master!R156&lt;&gt;"OK","Invalid category",""),IF(Inventory_Master!J156="","Missing price_inr",""),IF(Inventory_Master!O156="","Missing image",""),IF(Inventory_Master!S156&gt;0,"Has size variants",""),IF(Inventory_Master!C156="ERROR","Validation error",""),IF(Inventory_Master!C156="WARNING","Review warning",""))))</f>
        <v/>
      </c>
      <c r="G156" s="2" t="str">
        <f t="shared" si="3"/>
        <v>NO</v>
      </c>
      <c r="H156" s="2" t="str">
        <f>IF($A156="","",IF(Inventory_Master!R156&lt;&gt;"OK","Invalid Category",IF(Inventory_Master!J156="","Missing Price",IF(Inventory_Master!O156="","Missing Image",IF(Inventory_Master!S156&gt;0,"Size Price Review",IF(Inventory_Master!C156="ERROR","Validation Error",""))))))</f>
        <v/>
      </c>
      <c r="I156" s="2" t="str">
        <f t="shared" si="4"/>
        <v/>
      </c>
      <c r="J156" s="2" t="str">
        <f t="shared" si="5"/>
        <v/>
      </c>
    </row>
    <row r="157" spans="1:10" ht="12" customHeight="1" x14ac:dyDescent="0.3">
      <c r="A157" s="2" t="str">
        <f>Inventory_Master!D157</f>
        <v/>
      </c>
      <c r="B157" s="2" t="str">
        <f>Inventory_Master!E157</f>
        <v/>
      </c>
      <c r="C157" s="2" t="str">
        <f>Inventory_Master!C157</f>
        <v/>
      </c>
      <c r="D157" s="2" t="str">
        <f>Inventory_Master!R157</f>
        <v/>
      </c>
      <c r="E157" s="2" t="str">
        <f>Inventory_Master!W157</f>
        <v/>
      </c>
      <c r="F157" s="2" t="str">
        <f>IF($A157="","",TRIM(_xludf.textjoin("; ",TRUE(),IF(Inventory_Master!R157&lt;&gt;"OK","Invalid category",""),IF(Inventory_Master!J157="","Missing price_inr",""),IF(Inventory_Master!O157="","Missing image",""),IF(Inventory_Master!S157&gt;0,"Has size variants",""),IF(Inventory_Master!C157="ERROR","Validation error",""),IF(Inventory_Master!C157="WARNING","Review warning",""))))</f>
        <v/>
      </c>
      <c r="G157" s="2" t="str">
        <f t="shared" si="3"/>
        <v>NO</v>
      </c>
      <c r="H157" s="2" t="str">
        <f>IF($A157="","",IF(Inventory_Master!R157&lt;&gt;"OK","Invalid Category",IF(Inventory_Master!J157="","Missing Price",IF(Inventory_Master!O157="","Missing Image",IF(Inventory_Master!S157&gt;0,"Size Price Review",IF(Inventory_Master!C157="ERROR","Validation Error",""))))))</f>
        <v/>
      </c>
      <c r="I157" s="2" t="str">
        <f t="shared" si="4"/>
        <v/>
      </c>
      <c r="J157" s="2" t="str">
        <f t="shared" si="5"/>
        <v/>
      </c>
    </row>
    <row r="158" spans="1:10" ht="12" customHeight="1" x14ac:dyDescent="0.3">
      <c r="A158" s="2" t="str">
        <f>Inventory_Master!D158</f>
        <v/>
      </c>
      <c r="B158" s="2" t="str">
        <f>Inventory_Master!E158</f>
        <v/>
      </c>
      <c r="C158" s="2" t="str">
        <f>Inventory_Master!C158</f>
        <v/>
      </c>
      <c r="D158" s="2" t="str">
        <f>Inventory_Master!R158</f>
        <v/>
      </c>
      <c r="E158" s="2" t="str">
        <f>Inventory_Master!W158</f>
        <v/>
      </c>
      <c r="F158" s="2" t="str">
        <f>IF($A158="","",TRIM(_xludf.textjoin("; ",TRUE(),IF(Inventory_Master!R158&lt;&gt;"OK","Invalid category",""),IF(Inventory_Master!J158="","Missing price_inr",""),IF(Inventory_Master!O158="","Missing image",""),IF(Inventory_Master!S158&gt;0,"Has size variants",""),IF(Inventory_Master!C158="ERROR","Validation error",""),IF(Inventory_Master!C158="WARNING","Review warning",""))))</f>
        <v/>
      </c>
      <c r="G158" s="2" t="str">
        <f t="shared" si="3"/>
        <v>NO</v>
      </c>
      <c r="H158" s="2" t="str">
        <f>IF($A158="","",IF(Inventory_Master!R158&lt;&gt;"OK","Invalid Category",IF(Inventory_Master!J158="","Missing Price",IF(Inventory_Master!O158="","Missing Image",IF(Inventory_Master!S158&gt;0,"Size Price Review",IF(Inventory_Master!C158="ERROR","Validation Error",""))))))</f>
        <v/>
      </c>
      <c r="I158" s="2" t="str">
        <f t="shared" si="4"/>
        <v/>
      </c>
      <c r="J158" s="2" t="str">
        <f t="shared" si="5"/>
        <v/>
      </c>
    </row>
    <row r="159" spans="1:10" ht="12" customHeight="1" x14ac:dyDescent="0.3">
      <c r="A159" s="2" t="str">
        <f>Inventory_Master!D159</f>
        <v/>
      </c>
      <c r="B159" s="2" t="str">
        <f>Inventory_Master!E159</f>
        <v/>
      </c>
      <c r="C159" s="2" t="str">
        <f>Inventory_Master!C159</f>
        <v/>
      </c>
      <c r="D159" s="2" t="str">
        <f>Inventory_Master!R159</f>
        <v/>
      </c>
      <c r="E159" s="2" t="str">
        <f>Inventory_Master!W159</f>
        <v/>
      </c>
      <c r="F159" s="2" t="str">
        <f>IF($A159="","",TRIM(_xludf.textjoin("; ",TRUE(),IF(Inventory_Master!R159&lt;&gt;"OK","Invalid category",""),IF(Inventory_Master!J159="","Missing price_inr",""),IF(Inventory_Master!O159="","Missing image",""),IF(Inventory_Master!S159&gt;0,"Has size variants",""),IF(Inventory_Master!C159="ERROR","Validation error",""),IF(Inventory_Master!C159="WARNING","Review warning",""))))</f>
        <v/>
      </c>
      <c r="G159" s="2" t="str">
        <f t="shared" si="3"/>
        <v>NO</v>
      </c>
      <c r="H159" s="2" t="str">
        <f>IF($A159="","",IF(Inventory_Master!R159&lt;&gt;"OK","Invalid Category",IF(Inventory_Master!J159="","Missing Price",IF(Inventory_Master!O159="","Missing Image",IF(Inventory_Master!S159&gt;0,"Size Price Review",IF(Inventory_Master!C159="ERROR","Validation Error",""))))))</f>
        <v/>
      </c>
      <c r="I159" s="2" t="str">
        <f t="shared" si="4"/>
        <v/>
      </c>
      <c r="J159" s="2" t="str">
        <f t="shared" si="5"/>
        <v/>
      </c>
    </row>
    <row r="160" spans="1:10" ht="12" customHeight="1" x14ac:dyDescent="0.3">
      <c r="A160" s="2" t="str">
        <f>Inventory_Master!D160</f>
        <v/>
      </c>
      <c r="B160" s="2" t="str">
        <f>Inventory_Master!E160</f>
        <v/>
      </c>
      <c r="C160" s="2" t="str">
        <f>Inventory_Master!C160</f>
        <v/>
      </c>
      <c r="D160" s="2" t="str">
        <f>Inventory_Master!R160</f>
        <v/>
      </c>
      <c r="E160" s="2" t="str">
        <f>Inventory_Master!W160</f>
        <v/>
      </c>
      <c r="F160" s="2" t="str">
        <f>IF($A160="","",TRIM(_xludf.textjoin("; ",TRUE(),IF(Inventory_Master!R160&lt;&gt;"OK","Invalid category",""),IF(Inventory_Master!J160="","Missing price_inr",""),IF(Inventory_Master!O160="","Missing image",""),IF(Inventory_Master!S160&gt;0,"Has size variants",""),IF(Inventory_Master!C160="ERROR","Validation error",""),IF(Inventory_Master!C160="WARNING","Review warning",""))))</f>
        <v/>
      </c>
      <c r="G160" s="2" t="str">
        <f t="shared" si="3"/>
        <v>NO</v>
      </c>
      <c r="H160" s="2" t="str">
        <f>IF($A160="","",IF(Inventory_Master!R160&lt;&gt;"OK","Invalid Category",IF(Inventory_Master!J160="","Missing Price",IF(Inventory_Master!O160="","Missing Image",IF(Inventory_Master!S160&gt;0,"Size Price Review",IF(Inventory_Master!C160="ERROR","Validation Error",""))))))</f>
        <v/>
      </c>
      <c r="I160" s="2" t="str">
        <f t="shared" si="4"/>
        <v/>
      </c>
      <c r="J160" s="2" t="str">
        <f t="shared" si="5"/>
        <v/>
      </c>
    </row>
    <row r="161" spans="1:10" ht="12" customHeight="1" x14ac:dyDescent="0.3">
      <c r="A161" s="2" t="str">
        <f>Inventory_Master!D161</f>
        <v/>
      </c>
      <c r="B161" s="2" t="str">
        <f>Inventory_Master!E161</f>
        <v/>
      </c>
      <c r="C161" s="2" t="str">
        <f>Inventory_Master!C161</f>
        <v/>
      </c>
      <c r="D161" s="2" t="str">
        <f>Inventory_Master!R161</f>
        <v/>
      </c>
      <c r="E161" s="2" t="str">
        <f>Inventory_Master!W161</f>
        <v/>
      </c>
      <c r="F161" s="2" t="str">
        <f>IF($A161="","",TRIM(_xludf.textjoin("; ",TRUE(),IF(Inventory_Master!R161&lt;&gt;"OK","Invalid category",""),IF(Inventory_Master!J161="","Missing price_inr",""),IF(Inventory_Master!O161="","Missing image",""),IF(Inventory_Master!S161&gt;0,"Has size variants",""),IF(Inventory_Master!C161="ERROR","Validation error",""),IF(Inventory_Master!C161="WARNING","Review warning",""))))</f>
        <v/>
      </c>
      <c r="G161" s="2" t="str">
        <f t="shared" si="3"/>
        <v>NO</v>
      </c>
      <c r="H161" s="2" t="str">
        <f>IF($A161="","",IF(Inventory_Master!R161&lt;&gt;"OK","Invalid Category",IF(Inventory_Master!J161="","Missing Price",IF(Inventory_Master!O161="","Missing Image",IF(Inventory_Master!S161&gt;0,"Size Price Review",IF(Inventory_Master!C161="ERROR","Validation Error",""))))))</f>
        <v/>
      </c>
      <c r="I161" s="2" t="str">
        <f t="shared" si="4"/>
        <v/>
      </c>
      <c r="J161" s="2" t="str">
        <f t="shared" si="5"/>
        <v/>
      </c>
    </row>
    <row r="162" spans="1:10" ht="12" customHeight="1" x14ac:dyDescent="0.3">
      <c r="A162" s="2" t="str">
        <f>Inventory_Master!D162</f>
        <v/>
      </c>
      <c r="B162" s="2" t="str">
        <f>Inventory_Master!E162</f>
        <v/>
      </c>
      <c r="C162" s="2" t="str">
        <f>Inventory_Master!C162</f>
        <v/>
      </c>
      <c r="D162" s="2" t="str">
        <f>Inventory_Master!R162</f>
        <v/>
      </c>
      <c r="E162" s="2" t="str">
        <f>Inventory_Master!W162</f>
        <v/>
      </c>
      <c r="F162" s="2" t="str">
        <f>IF($A162="","",TRIM(_xludf.textjoin("; ",TRUE(),IF(Inventory_Master!R162&lt;&gt;"OK","Invalid category",""),IF(Inventory_Master!J162="","Missing price_inr",""),IF(Inventory_Master!O162="","Missing image",""),IF(Inventory_Master!S162&gt;0,"Has size variants",""),IF(Inventory_Master!C162="ERROR","Validation error",""),IF(Inventory_Master!C162="WARNING","Review warning",""))))</f>
        <v/>
      </c>
      <c r="G162" s="2" t="str">
        <f t="shared" si="3"/>
        <v>NO</v>
      </c>
      <c r="H162" s="2" t="str">
        <f>IF($A162="","",IF(Inventory_Master!R162&lt;&gt;"OK","Invalid Category",IF(Inventory_Master!J162="","Missing Price",IF(Inventory_Master!O162="","Missing Image",IF(Inventory_Master!S162&gt;0,"Size Price Review",IF(Inventory_Master!C162="ERROR","Validation Error",""))))))</f>
        <v/>
      </c>
      <c r="I162" s="2" t="str">
        <f t="shared" si="4"/>
        <v/>
      </c>
      <c r="J162" s="2" t="str">
        <f t="shared" si="5"/>
        <v/>
      </c>
    </row>
    <row r="163" spans="1:10" ht="12" customHeight="1" x14ac:dyDescent="0.3">
      <c r="A163" s="2" t="str">
        <f>Inventory_Master!D163</f>
        <v/>
      </c>
      <c r="B163" s="2" t="str">
        <f>Inventory_Master!E163</f>
        <v/>
      </c>
      <c r="C163" s="2" t="str">
        <f>Inventory_Master!C163</f>
        <v/>
      </c>
      <c r="D163" s="2" t="str">
        <f>Inventory_Master!R163</f>
        <v/>
      </c>
      <c r="E163" s="2" t="str">
        <f>Inventory_Master!W163</f>
        <v/>
      </c>
      <c r="F163" s="2" t="str">
        <f>IF($A163="","",TRIM(_xludf.textjoin("; ",TRUE(),IF(Inventory_Master!R163&lt;&gt;"OK","Invalid category",""),IF(Inventory_Master!J163="","Missing price_inr",""),IF(Inventory_Master!O163="","Missing image",""),IF(Inventory_Master!S163&gt;0,"Has size variants",""),IF(Inventory_Master!C163="ERROR","Validation error",""),IF(Inventory_Master!C163="WARNING","Review warning",""))))</f>
        <v/>
      </c>
      <c r="G163" s="2" t="str">
        <f t="shared" si="3"/>
        <v>NO</v>
      </c>
      <c r="H163" s="2" t="str">
        <f>IF($A163="","",IF(Inventory_Master!R163&lt;&gt;"OK","Invalid Category",IF(Inventory_Master!J163="","Missing Price",IF(Inventory_Master!O163="","Missing Image",IF(Inventory_Master!S163&gt;0,"Size Price Review",IF(Inventory_Master!C163="ERROR","Validation Error",""))))))</f>
        <v/>
      </c>
      <c r="I163" s="2" t="str">
        <f t="shared" si="4"/>
        <v/>
      </c>
      <c r="J163" s="2" t="str">
        <f t="shared" si="5"/>
        <v/>
      </c>
    </row>
    <row r="164" spans="1:10" ht="12" customHeight="1" x14ac:dyDescent="0.3">
      <c r="A164" s="2" t="str">
        <f>Inventory_Master!D164</f>
        <v/>
      </c>
      <c r="B164" s="2" t="str">
        <f>Inventory_Master!E164</f>
        <v/>
      </c>
      <c r="C164" s="2" t="str">
        <f>Inventory_Master!C164</f>
        <v/>
      </c>
      <c r="D164" s="2" t="str">
        <f>Inventory_Master!R164</f>
        <v/>
      </c>
      <c r="E164" s="2" t="str">
        <f>Inventory_Master!W164</f>
        <v/>
      </c>
      <c r="F164" s="2" t="str">
        <f>IF($A164="","",TRIM(_xludf.textjoin("; ",TRUE(),IF(Inventory_Master!R164&lt;&gt;"OK","Invalid category",""),IF(Inventory_Master!J164="","Missing price_inr",""),IF(Inventory_Master!O164="","Missing image",""),IF(Inventory_Master!S164&gt;0,"Has size variants",""),IF(Inventory_Master!C164="ERROR","Validation error",""),IF(Inventory_Master!C164="WARNING","Review warning",""))))</f>
        <v/>
      </c>
      <c r="G164" s="2" t="str">
        <f t="shared" si="3"/>
        <v>NO</v>
      </c>
      <c r="H164" s="2" t="str">
        <f>IF($A164="","",IF(Inventory_Master!R164&lt;&gt;"OK","Invalid Category",IF(Inventory_Master!J164="","Missing Price",IF(Inventory_Master!O164="","Missing Image",IF(Inventory_Master!S164&gt;0,"Size Price Review",IF(Inventory_Master!C164="ERROR","Validation Error",""))))))</f>
        <v/>
      </c>
      <c r="I164" s="2" t="str">
        <f t="shared" si="4"/>
        <v/>
      </c>
      <c r="J164" s="2" t="str">
        <f t="shared" si="5"/>
        <v/>
      </c>
    </row>
    <row r="165" spans="1:10" ht="12" customHeight="1" x14ac:dyDescent="0.3">
      <c r="A165" s="2" t="str">
        <f>Inventory_Master!D165</f>
        <v/>
      </c>
      <c r="B165" s="2" t="str">
        <f>Inventory_Master!E165</f>
        <v/>
      </c>
      <c r="C165" s="2" t="str">
        <f>Inventory_Master!C165</f>
        <v/>
      </c>
      <c r="D165" s="2" t="str">
        <f>Inventory_Master!R165</f>
        <v/>
      </c>
      <c r="E165" s="2" t="str">
        <f>Inventory_Master!W165</f>
        <v/>
      </c>
      <c r="F165" s="2" t="str">
        <f>IF($A165="","",TRIM(_xludf.textjoin("; ",TRUE(),IF(Inventory_Master!R165&lt;&gt;"OK","Invalid category",""),IF(Inventory_Master!J165="","Missing price_inr",""),IF(Inventory_Master!O165="","Missing image",""),IF(Inventory_Master!S165&gt;0,"Has size variants",""),IF(Inventory_Master!C165="ERROR","Validation error",""),IF(Inventory_Master!C165="WARNING","Review warning",""))))</f>
        <v/>
      </c>
      <c r="G165" s="2" t="str">
        <f t="shared" si="3"/>
        <v>NO</v>
      </c>
      <c r="H165" s="2" t="str">
        <f>IF($A165="","",IF(Inventory_Master!R165&lt;&gt;"OK","Invalid Category",IF(Inventory_Master!J165="","Missing Price",IF(Inventory_Master!O165="","Missing Image",IF(Inventory_Master!S165&gt;0,"Size Price Review",IF(Inventory_Master!C165="ERROR","Validation Error",""))))))</f>
        <v/>
      </c>
      <c r="I165" s="2" t="str">
        <f t="shared" si="4"/>
        <v/>
      </c>
      <c r="J165" s="2" t="str">
        <f t="shared" si="5"/>
        <v/>
      </c>
    </row>
    <row r="166" spans="1:10" ht="12" customHeight="1" x14ac:dyDescent="0.3">
      <c r="A166" s="2" t="str">
        <f>Inventory_Master!D166</f>
        <v/>
      </c>
      <c r="B166" s="2" t="str">
        <f>Inventory_Master!E166</f>
        <v/>
      </c>
      <c r="C166" s="2" t="str">
        <f>Inventory_Master!C166</f>
        <v/>
      </c>
      <c r="D166" s="2" t="str">
        <f>Inventory_Master!R166</f>
        <v/>
      </c>
      <c r="E166" s="2" t="str">
        <f>Inventory_Master!W166</f>
        <v/>
      </c>
      <c r="F166" s="2" t="str">
        <f>IF($A166="","",TRIM(_xludf.textjoin("; ",TRUE(),IF(Inventory_Master!R166&lt;&gt;"OK","Invalid category",""),IF(Inventory_Master!J166="","Missing price_inr",""),IF(Inventory_Master!O166="","Missing image",""),IF(Inventory_Master!S166&gt;0,"Has size variants",""),IF(Inventory_Master!C166="ERROR","Validation error",""),IF(Inventory_Master!C166="WARNING","Review warning",""))))</f>
        <v/>
      </c>
      <c r="G166" s="2" t="str">
        <f t="shared" si="3"/>
        <v>NO</v>
      </c>
      <c r="H166" s="2" t="str">
        <f>IF($A166="","",IF(Inventory_Master!R166&lt;&gt;"OK","Invalid Category",IF(Inventory_Master!J166="","Missing Price",IF(Inventory_Master!O166="","Missing Image",IF(Inventory_Master!S166&gt;0,"Size Price Review",IF(Inventory_Master!C166="ERROR","Validation Error",""))))))</f>
        <v/>
      </c>
      <c r="I166" s="2" t="str">
        <f t="shared" si="4"/>
        <v/>
      </c>
      <c r="J166" s="2" t="str">
        <f t="shared" si="5"/>
        <v/>
      </c>
    </row>
    <row r="167" spans="1:10" ht="12" customHeight="1" x14ac:dyDescent="0.3">
      <c r="A167" s="2" t="str">
        <f>Inventory_Master!D167</f>
        <v/>
      </c>
      <c r="B167" s="2" t="str">
        <f>Inventory_Master!E167</f>
        <v/>
      </c>
      <c r="C167" s="2" t="str">
        <f>Inventory_Master!C167</f>
        <v/>
      </c>
      <c r="D167" s="2" t="str">
        <f>Inventory_Master!R167</f>
        <v/>
      </c>
      <c r="E167" s="2" t="str">
        <f>Inventory_Master!W167</f>
        <v/>
      </c>
      <c r="F167" s="2" t="str">
        <f>IF($A167="","",TRIM(_xludf.textjoin("; ",TRUE(),IF(Inventory_Master!R167&lt;&gt;"OK","Invalid category",""),IF(Inventory_Master!J167="","Missing price_inr",""),IF(Inventory_Master!O167="","Missing image",""),IF(Inventory_Master!S167&gt;0,"Has size variants",""),IF(Inventory_Master!C167="ERROR","Validation error",""),IF(Inventory_Master!C167="WARNING","Review warning",""))))</f>
        <v/>
      </c>
      <c r="G167" s="2" t="str">
        <f t="shared" si="3"/>
        <v>NO</v>
      </c>
      <c r="H167" s="2" t="str">
        <f>IF($A167="","",IF(Inventory_Master!R167&lt;&gt;"OK","Invalid Category",IF(Inventory_Master!J167="","Missing Price",IF(Inventory_Master!O167="","Missing Image",IF(Inventory_Master!S167&gt;0,"Size Price Review",IF(Inventory_Master!C167="ERROR","Validation Error",""))))))</f>
        <v/>
      </c>
      <c r="I167" s="2" t="str">
        <f t="shared" si="4"/>
        <v/>
      </c>
      <c r="J167" s="2" t="str">
        <f t="shared" si="5"/>
        <v/>
      </c>
    </row>
    <row r="168" spans="1:10" ht="12" customHeight="1" x14ac:dyDescent="0.3">
      <c r="A168" s="2" t="str">
        <f>Inventory_Master!D168</f>
        <v/>
      </c>
      <c r="B168" s="2" t="str">
        <f>Inventory_Master!E168</f>
        <v/>
      </c>
      <c r="C168" s="2" t="str">
        <f>Inventory_Master!C168</f>
        <v/>
      </c>
      <c r="D168" s="2" t="str">
        <f>Inventory_Master!R168</f>
        <v/>
      </c>
      <c r="E168" s="2" t="str">
        <f>Inventory_Master!W168</f>
        <v/>
      </c>
      <c r="F168" s="2" t="str">
        <f>IF($A168="","",TRIM(_xludf.textjoin("; ",TRUE(),IF(Inventory_Master!R168&lt;&gt;"OK","Invalid category",""),IF(Inventory_Master!J168="","Missing price_inr",""),IF(Inventory_Master!O168="","Missing image",""),IF(Inventory_Master!S168&gt;0,"Has size variants",""),IF(Inventory_Master!C168="ERROR","Validation error",""),IF(Inventory_Master!C168="WARNING","Review warning",""))))</f>
        <v/>
      </c>
      <c r="G168" s="2" t="str">
        <f t="shared" si="3"/>
        <v>NO</v>
      </c>
      <c r="H168" s="2" t="str">
        <f>IF($A168="","",IF(Inventory_Master!R168&lt;&gt;"OK","Invalid Category",IF(Inventory_Master!J168="","Missing Price",IF(Inventory_Master!O168="","Missing Image",IF(Inventory_Master!S168&gt;0,"Size Price Review",IF(Inventory_Master!C168="ERROR","Validation Error",""))))))</f>
        <v/>
      </c>
      <c r="I168" s="2" t="str">
        <f t="shared" si="4"/>
        <v/>
      </c>
      <c r="J168" s="2" t="str">
        <f t="shared" si="5"/>
        <v/>
      </c>
    </row>
    <row r="169" spans="1:10" ht="12" customHeight="1" x14ac:dyDescent="0.3">
      <c r="A169" s="2" t="str">
        <f>Inventory_Master!D169</f>
        <v/>
      </c>
      <c r="B169" s="2" t="str">
        <f>Inventory_Master!E169</f>
        <v/>
      </c>
      <c r="C169" s="2" t="str">
        <f>Inventory_Master!C169</f>
        <v/>
      </c>
      <c r="D169" s="2" t="str">
        <f>Inventory_Master!R169</f>
        <v/>
      </c>
      <c r="E169" s="2" t="str">
        <f>Inventory_Master!W169</f>
        <v/>
      </c>
      <c r="F169" s="2" t="str">
        <f>IF($A169="","",TRIM(_xludf.textjoin("; ",TRUE(),IF(Inventory_Master!R169&lt;&gt;"OK","Invalid category",""),IF(Inventory_Master!J169="","Missing price_inr",""),IF(Inventory_Master!O169="","Missing image",""),IF(Inventory_Master!S169&gt;0,"Has size variants",""),IF(Inventory_Master!C169="ERROR","Validation error",""),IF(Inventory_Master!C169="WARNING","Review warning",""))))</f>
        <v/>
      </c>
      <c r="G169" s="2" t="str">
        <f t="shared" si="3"/>
        <v>NO</v>
      </c>
      <c r="H169" s="2" t="str">
        <f>IF($A169="","",IF(Inventory_Master!R169&lt;&gt;"OK","Invalid Category",IF(Inventory_Master!J169="","Missing Price",IF(Inventory_Master!O169="","Missing Image",IF(Inventory_Master!S169&gt;0,"Size Price Review",IF(Inventory_Master!C169="ERROR","Validation Error",""))))))</f>
        <v/>
      </c>
      <c r="I169" s="2" t="str">
        <f t="shared" si="4"/>
        <v/>
      </c>
      <c r="J169" s="2" t="str">
        <f t="shared" si="5"/>
        <v/>
      </c>
    </row>
    <row r="170" spans="1:10" ht="12" customHeight="1" x14ac:dyDescent="0.3">
      <c r="A170" s="2" t="str">
        <f>Inventory_Master!D170</f>
        <v/>
      </c>
      <c r="B170" s="2" t="str">
        <f>Inventory_Master!E170</f>
        <v/>
      </c>
      <c r="C170" s="2" t="str">
        <f>Inventory_Master!C170</f>
        <v/>
      </c>
      <c r="D170" s="2" t="str">
        <f>Inventory_Master!R170</f>
        <v/>
      </c>
      <c r="E170" s="2" t="str">
        <f>Inventory_Master!W170</f>
        <v/>
      </c>
      <c r="F170" s="2" t="str">
        <f>IF($A170="","",TRIM(_xludf.textjoin("; ",TRUE(),IF(Inventory_Master!R170&lt;&gt;"OK","Invalid category",""),IF(Inventory_Master!J170="","Missing price_inr",""),IF(Inventory_Master!O170="","Missing image",""),IF(Inventory_Master!S170&gt;0,"Has size variants",""),IF(Inventory_Master!C170="ERROR","Validation error",""),IF(Inventory_Master!C170="WARNING","Review warning",""))))</f>
        <v/>
      </c>
      <c r="G170" s="2" t="str">
        <f t="shared" si="3"/>
        <v>NO</v>
      </c>
      <c r="H170" s="2" t="str">
        <f>IF($A170="","",IF(Inventory_Master!R170&lt;&gt;"OK","Invalid Category",IF(Inventory_Master!J170="","Missing Price",IF(Inventory_Master!O170="","Missing Image",IF(Inventory_Master!S170&gt;0,"Size Price Review",IF(Inventory_Master!C170="ERROR","Validation Error",""))))))</f>
        <v/>
      </c>
      <c r="I170" s="2" t="str">
        <f t="shared" si="4"/>
        <v/>
      </c>
      <c r="J170" s="2" t="str">
        <f t="shared" si="5"/>
        <v/>
      </c>
    </row>
    <row r="171" spans="1:10" ht="12" customHeight="1" x14ac:dyDescent="0.3">
      <c r="A171" s="2" t="str">
        <f>Inventory_Master!D171</f>
        <v/>
      </c>
      <c r="B171" s="2" t="str">
        <f>Inventory_Master!E171</f>
        <v/>
      </c>
      <c r="C171" s="2" t="str">
        <f>Inventory_Master!C171</f>
        <v/>
      </c>
      <c r="D171" s="2" t="str">
        <f>Inventory_Master!R171</f>
        <v/>
      </c>
      <c r="E171" s="2" t="str">
        <f>Inventory_Master!W171</f>
        <v/>
      </c>
      <c r="F171" s="2" t="str">
        <f>IF($A171="","",TRIM(_xludf.textjoin("; ",TRUE(),IF(Inventory_Master!R171&lt;&gt;"OK","Invalid category",""),IF(Inventory_Master!J171="","Missing price_inr",""),IF(Inventory_Master!O171="","Missing image",""),IF(Inventory_Master!S171&gt;0,"Has size variants",""),IF(Inventory_Master!C171="ERROR","Validation error",""),IF(Inventory_Master!C171="WARNING","Review warning",""))))</f>
        <v/>
      </c>
      <c r="G171" s="2" t="str">
        <f t="shared" si="3"/>
        <v>NO</v>
      </c>
      <c r="H171" s="2" t="str">
        <f>IF($A171="","",IF(Inventory_Master!R171&lt;&gt;"OK","Invalid Category",IF(Inventory_Master!J171="","Missing Price",IF(Inventory_Master!O171="","Missing Image",IF(Inventory_Master!S171&gt;0,"Size Price Review",IF(Inventory_Master!C171="ERROR","Validation Error",""))))))</f>
        <v/>
      </c>
      <c r="I171" s="2" t="str">
        <f t="shared" si="4"/>
        <v/>
      </c>
      <c r="J171" s="2" t="str">
        <f t="shared" si="5"/>
        <v/>
      </c>
    </row>
    <row r="172" spans="1:10" ht="12" customHeight="1" x14ac:dyDescent="0.3">
      <c r="A172" s="2" t="str">
        <f>Inventory_Master!D172</f>
        <v/>
      </c>
      <c r="B172" s="2" t="str">
        <f>Inventory_Master!E172</f>
        <v/>
      </c>
      <c r="C172" s="2" t="str">
        <f>Inventory_Master!C172</f>
        <v/>
      </c>
      <c r="D172" s="2" t="str">
        <f>Inventory_Master!R172</f>
        <v/>
      </c>
      <c r="E172" s="2" t="str">
        <f>Inventory_Master!W172</f>
        <v/>
      </c>
      <c r="F172" s="2" t="str">
        <f>IF($A172="","",TRIM(_xludf.textjoin("; ",TRUE(),IF(Inventory_Master!R172&lt;&gt;"OK","Invalid category",""),IF(Inventory_Master!J172="","Missing price_inr",""),IF(Inventory_Master!O172="","Missing image",""),IF(Inventory_Master!S172&gt;0,"Has size variants",""),IF(Inventory_Master!C172="ERROR","Validation error",""),IF(Inventory_Master!C172="WARNING","Review warning",""))))</f>
        <v/>
      </c>
      <c r="G172" s="2" t="str">
        <f t="shared" si="3"/>
        <v>NO</v>
      </c>
      <c r="H172" s="2" t="str">
        <f>IF($A172="","",IF(Inventory_Master!R172&lt;&gt;"OK","Invalid Category",IF(Inventory_Master!J172="","Missing Price",IF(Inventory_Master!O172="","Missing Image",IF(Inventory_Master!S172&gt;0,"Size Price Review",IF(Inventory_Master!C172="ERROR","Validation Error",""))))))</f>
        <v/>
      </c>
      <c r="I172" s="2" t="str">
        <f t="shared" si="4"/>
        <v/>
      </c>
      <c r="J172" s="2" t="str">
        <f t="shared" si="5"/>
        <v/>
      </c>
    </row>
    <row r="173" spans="1:10" ht="12" customHeight="1" x14ac:dyDescent="0.3">
      <c r="A173" s="2" t="str">
        <f>Inventory_Master!D173</f>
        <v/>
      </c>
      <c r="B173" s="2" t="str">
        <f>Inventory_Master!E173</f>
        <v/>
      </c>
      <c r="C173" s="2" t="str">
        <f>Inventory_Master!C173</f>
        <v/>
      </c>
      <c r="D173" s="2" t="str">
        <f>Inventory_Master!R173</f>
        <v/>
      </c>
      <c r="E173" s="2" t="str">
        <f>Inventory_Master!W173</f>
        <v/>
      </c>
      <c r="F173" s="2" t="str">
        <f>IF($A173="","",TRIM(_xludf.textjoin("; ",TRUE(),IF(Inventory_Master!R173&lt;&gt;"OK","Invalid category",""),IF(Inventory_Master!J173="","Missing price_inr",""),IF(Inventory_Master!O173="","Missing image",""),IF(Inventory_Master!S173&gt;0,"Has size variants",""),IF(Inventory_Master!C173="ERROR","Validation error",""),IF(Inventory_Master!C173="WARNING","Review warning",""))))</f>
        <v/>
      </c>
      <c r="G173" s="2" t="str">
        <f t="shared" si="3"/>
        <v>NO</v>
      </c>
      <c r="H173" s="2" t="str">
        <f>IF($A173="","",IF(Inventory_Master!R173&lt;&gt;"OK","Invalid Category",IF(Inventory_Master!J173="","Missing Price",IF(Inventory_Master!O173="","Missing Image",IF(Inventory_Master!S173&gt;0,"Size Price Review",IF(Inventory_Master!C173="ERROR","Validation Error",""))))))</f>
        <v/>
      </c>
      <c r="I173" s="2" t="str">
        <f t="shared" si="4"/>
        <v/>
      </c>
      <c r="J173" s="2" t="str">
        <f t="shared" si="5"/>
        <v/>
      </c>
    </row>
    <row r="174" spans="1:10" ht="12" customHeight="1" x14ac:dyDescent="0.3">
      <c r="A174" s="2" t="str">
        <f>Inventory_Master!D174</f>
        <v/>
      </c>
      <c r="B174" s="2" t="str">
        <f>Inventory_Master!E174</f>
        <v/>
      </c>
      <c r="C174" s="2" t="str">
        <f>Inventory_Master!C174</f>
        <v/>
      </c>
      <c r="D174" s="2" t="str">
        <f>Inventory_Master!R174</f>
        <v/>
      </c>
      <c r="E174" s="2" t="str">
        <f>Inventory_Master!W174</f>
        <v/>
      </c>
      <c r="F174" s="2" t="str">
        <f>IF($A174="","",TRIM(_xludf.textjoin("; ",TRUE(),IF(Inventory_Master!R174&lt;&gt;"OK","Invalid category",""),IF(Inventory_Master!J174="","Missing price_inr",""),IF(Inventory_Master!O174="","Missing image",""),IF(Inventory_Master!S174&gt;0,"Has size variants",""),IF(Inventory_Master!C174="ERROR","Validation error",""),IF(Inventory_Master!C174="WARNING","Review warning",""))))</f>
        <v/>
      </c>
      <c r="G174" s="2" t="str">
        <f t="shared" si="3"/>
        <v>NO</v>
      </c>
      <c r="H174" s="2" t="str">
        <f>IF($A174="","",IF(Inventory_Master!R174&lt;&gt;"OK","Invalid Category",IF(Inventory_Master!J174="","Missing Price",IF(Inventory_Master!O174="","Missing Image",IF(Inventory_Master!S174&gt;0,"Size Price Review",IF(Inventory_Master!C174="ERROR","Validation Error",""))))))</f>
        <v/>
      </c>
      <c r="I174" s="2" t="str">
        <f t="shared" si="4"/>
        <v/>
      </c>
      <c r="J174" s="2" t="str">
        <f t="shared" si="5"/>
        <v/>
      </c>
    </row>
    <row r="175" spans="1:10" ht="12" customHeight="1" x14ac:dyDescent="0.3">
      <c r="A175" s="2" t="str">
        <f>Inventory_Master!D175</f>
        <v/>
      </c>
      <c r="B175" s="2" t="str">
        <f>Inventory_Master!E175</f>
        <v/>
      </c>
      <c r="C175" s="2" t="str">
        <f>Inventory_Master!C175</f>
        <v/>
      </c>
      <c r="D175" s="2" t="str">
        <f>Inventory_Master!R175</f>
        <v/>
      </c>
      <c r="E175" s="2" t="str">
        <f>Inventory_Master!W175</f>
        <v/>
      </c>
      <c r="F175" s="2" t="str">
        <f>IF($A175="","",TRIM(_xludf.textjoin("; ",TRUE(),IF(Inventory_Master!R175&lt;&gt;"OK","Invalid category",""),IF(Inventory_Master!J175="","Missing price_inr",""),IF(Inventory_Master!O175="","Missing image",""),IF(Inventory_Master!S175&gt;0,"Has size variants",""),IF(Inventory_Master!C175="ERROR","Validation error",""),IF(Inventory_Master!C175="WARNING","Review warning",""))))</f>
        <v/>
      </c>
      <c r="G175" s="2" t="str">
        <f t="shared" si="3"/>
        <v>NO</v>
      </c>
      <c r="H175" s="2" t="str">
        <f>IF($A175="","",IF(Inventory_Master!R175&lt;&gt;"OK","Invalid Category",IF(Inventory_Master!J175="","Missing Price",IF(Inventory_Master!O175="","Missing Image",IF(Inventory_Master!S175&gt;0,"Size Price Review",IF(Inventory_Master!C175="ERROR","Validation Error",""))))))</f>
        <v/>
      </c>
      <c r="I175" s="2" t="str">
        <f t="shared" si="4"/>
        <v/>
      </c>
      <c r="J175" s="2" t="str">
        <f t="shared" si="5"/>
        <v/>
      </c>
    </row>
    <row r="176" spans="1:10" ht="12" customHeight="1" x14ac:dyDescent="0.3">
      <c r="A176" s="2" t="str">
        <f>Inventory_Master!D176</f>
        <v/>
      </c>
      <c r="B176" s="2" t="str">
        <f>Inventory_Master!E176</f>
        <v/>
      </c>
      <c r="C176" s="2" t="str">
        <f>Inventory_Master!C176</f>
        <v/>
      </c>
      <c r="D176" s="2" t="str">
        <f>Inventory_Master!R176</f>
        <v/>
      </c>
      <c r="E176" s="2" t="str">
        <f>Inventory_Master!W176</f>
        <v/>
      </c>
      <c r="F176" s="2" t="str">
        <f>IF($A176="","",TRIM(_xludf.textjoin("; ",TRUE(),IF(Inventory_Master!R176&lt;&gt;"OK","Invalid category",""),IF(Inventory_Master!J176="","Missing price_inr",""),IF(Inventory_Master!O176="","Missing image",""),IF(Inventory_Master!S176&gt;0,"Has size variants",""),IF(Inventory_Master!C176="ERROR","Validation error",""),IF(Inventory_Master!C176="WARNING","Review warning",""))))</f>
        <v/>
      </c>
      <c r="G176" s="2" t="str">
        <f t="shared" si="3"/>
        <v>NO</v>
      </c>
      <c r="H176" s="2" t="str">
        <f>IF($A176="","",IF(Inventory_Master!R176&lt;&gt;"OK","Invalid Category",IF(Inventory_Master!J176="","Missing Price",IF(Inventory_Master!O176="","Missing Image",IF(Inventory_Master!S176&gt;0,"Size Price Review",IF(Inventory_Master!C176="ERROR","Validation Error",""))))))</f>
        <v/>
      </c>
      <c r="I176" s="2" t="str">
        <f t="shared" si="4"/>
        <v/>
      </c>
      <c r="J176" s="2" t="str">
        <f t="shared" si="5"/>
        <v/>
      </c>
    </row>
    <row r="177" spans="1:10" ht="12" customHeight="1" x14ac:dyDescent="0.3">
      <c r="A177" s="2" t="str">
        <f>Inventory_Master!D177</f>
        <v/>
      </c>
      <c r="B177" s="2" t="str">
        <f>Inventory_Master!E177</f>
        <v/>
      </c>
      <c r="C177" s="2" t="str">
        <f>Inventory_Master!C177</f>
        <v/>
      </c>
      <c r="D177" s="2" t="str">
        <f>Inventory_Master!R177</f>
        <v/>
      </c>
      <c r="E177" s="2" t="str">
        <f>Inventory_Master!W177</f>
        <v/>
      </c>
      <c r="F177" s="2" t="str">
        <f>IF($A177="","",TRIM(_xludf.textjoin("; ",TRUE(),IF(Inventory_Master!R177&lt;&gt;"OK","Invalid category",""),IF(Inventory_Master!J177="","Missing price_inr",""),IF(Inventory_Master!O177="","Missing image",""),IF(Inventory_Master!S177&gt;0,"Has size variants",""),IF(Inventory_Master!C177="ERROR","Validation error",""),IF(Inventory_Master!C177="WARNING","Review warning",""))))</f>
        <v/>
      </c>
      <c r="G177" s="2" t="str">
        <f t="shared" si="3"/>
        <v>NO</v>
      </c>
      <c r="H177" s="2" t="str">
        <f>IF($A177="","",IF(Inventory_Master!R177&lt;&gt;"OK","Invalid Category",IF(Inventory_Master!J177="","Missing Price",IF(Inventory_Master!O177="","Missing Image",IF(Inventory_Master!S177&gt;0,"Size Price Review",IF(Inventory_Master!C177="ERROR","Validation Error",""))))))</f>
        <v/>
      </c>
      <c r="I177" s="2" t="str">
        <f t="shared" si="4"/>
        <v/>
      </c>
      <c r="J177" s="2" t="str">
        <f t="shared" si="5"/>
        <v/>
      </c>
    </row>
    <row r="178" spans="1:10" ht="12" customHeight="1" x14ac:dyDescent="0.3">
      <c r="A178" s="2" t="str">
        <f>Inventory_Master!D178</f>
        <v/>
      </c>
      <c r="B178" s="2" t="str">
        <f>Inventory_Master!E178</f>
        <v/>
      </c>
      <c r="C178" s="2" t="str">
        <f>Inventory_Master!C178</f>
        <v/>
      </c>
      <c r="D178" s="2" t="str">
        <f>Inventory_Master!R178</f>
        <v/>
      </c>
      <c r="E178" s="2" t="str">
        <f>Inventory_Master!W178</f>
        <v/>
      </c>
      <c r="F178" s="2" t="str">
        <f>IF($A178="","",TRIM(_xludf.textjoin("; ",TRUE(),IF(Inventory_Master!R178&lt;&gt;"OK","Invalid category",""),IF(Inventory_Master!J178="","Missing price_inr",""),IF(Inventory_Master!O178="","Missing image",""),IF(Inventory_Master!S178&gt;0,"Has size variants",""),IF(Inventory_Master!C178="ERROR","Validation error",""),IF(Inventory_Master!C178="WARNING","Review warning",""))))</f>
        <v/>
      </c>
      <c r="G178" s="2" t="str">
        <f t="shared" ref="G178:G241" si="6">IF($F178="","NO","YES")</f>
        <v>NO</v>
      </c>
      <c r="H178" s="2" t="str">
        <f>IF($A178="","",IF(Inventory_Master!R178&lt;&gt;"OK","Invalid Category",IF(Inventory_Master!J178="","Missing Price",IF(Inventory_Master!O178="","Missing Image",IF(Inventory_Master!S178&gt;0,"Size Price Review",IF(Inventory_Master!C178="ERROR","Validation Error",""))))))</f>
        <v/>
      </c>
      <c r="I178" s="2" t="str">
        <f t="shared" ref="I178:I241" si="7">IF($G178="NO","",IF(OR($H178="Invalid Category",$H178="Missing Price",$H178="Validation Error"),"HIGH","MEDIUM"))</f>
        <v/>
      </c>
      <c r="J178" s="2" t="str">
        <f t="shared" ref="J178:J241" si="8">IF($G178="NO","",IF($H178="Size Price Review","REVIEW",IF($H178="Missing Image","REVIEW","REVIEW")))</f>
        <v/>
      </c>
    </row>
    <row r="179" spans="1:10" ht="12" customHeight="1" x14ac:dyDescent="0.3">
      <c r="A179" s="2" t="str">
        <f>Inventory_Master!D179</f>
        <v/>
      </c>
      <c r="B179" s="2" t="str">
        <f>Inventory_Master!E179</f>
        <v/>
      </c>
      <c r="C179" s="2" t="str">
        <f>Inventory_Master!C179</f>
        <v/>
      </c>
      <c r="D179" s="2" t="str">
        <f>Inventory_Master!R179</f>
        <v/>
      </c>
      <c r="E179" s="2" t="str">
        <f>Inventory_Master!W179</f>
        <v/>
      </c>
      <c r="F179" s="2" t="str">
        <f>IF($A179="","",TRIM(_xludf.textjoin("; ",TRUE(),IF(Inventory_Master!R179&lt;&gt;"OK","Invalid category",""),IF(Inventory_Master!J179="","Missing price_inr",""),IF(Inventory_Master!O179="","Missing image",""),IF(Inventory_Master!S179&gt;0,"Has size variants",""),IF(Inventory_Master!C179="ERROR","Validation error",""),IF(Inventory_Master!C179="WARNING","Review warning",""))))</f>
        <v/>
      </c>
      <c r="G179" s="2" t="str">
        <f t="shared" si="6"/>
        <v>NO</v>
      </c>
      <c r="H179" s="2" t="str">
        <f>IF($A179="","",IF(Inventory_Master!R179&lt;&gt;"OK","Invalid Category",IF(Inventory_Master!J179="","Missing Price",IF(Inventory_Master!O179="","Missing Image",IF(Inventory_Master!S179&gt;0,"Size Price Review",IF(Inventory_Master!C179="ERROR","Validation Error",""))))))</f>
        <v/>
      </c>
      <c r="I179" s="2" t="str">
        <f t="shared" si="7"/>
        <v/>
      </c>
      <c r="J179" s="2" t="str">
        <f t="shared" si="8"/>
        <v/>
      </c>
    </row>
    <row r="180" spans="1:10" ht="12" customHeight="1" x14ac:dyDescent="0.3">
      <c r="A180" s="2" t="str">
        <f>Inventory_Master!D180</f>
        <v/>
      </c>
      <c r="B180" s="2" t="str">
        <f>Inventory_Master!E180</f>
        <v/>
      </c>
      <c r="C180" s="2" t="str">
        <f>Inventory_Master!C180</f>
        <v/>
      </c>
      <c r="D180" s="2" t="str">
        <f>Inventory_Master!R180</f>
        <v/>
      </c>
      <c r="E180" s="2" t="str">
        <f>Inventory_Master!W180</f>
        <v/>
      </c>
      <c r="F180" s="2" t="str">
        <f>IF($A180="","",TRIM(_xludf.textjoin("; ",TRUE(),IF(Inventory_Master!R180&lt;&gt;"OK","Invalid category",""),IF(Inventory_Master!J180="","Missing price_inr",""),IF(Inventory_Master!O180="","Missing image",""),IF(Inventory_Master!S180&gt;0,"Has size variants",""),IF(Inventory_Master!C180="ERROR","Validation error",""),IF(Inventory_Master!C180="WARNING","Review warning",""))))</f>
        <v/>
      </c>
      <c r="G180" s="2" t="str">
        <f t="shared" si="6"/>
        <v>NO</v>
      </c>
      <c r="H180" s="2" t="str">
        <f>IF($A180="","",IF(Inventory_Master!R180&lt;&gt;"OK","Invalid Category",IF(Inventory_Master!J180="","Missing Price",IF(Inventory_Master!O180="","Missing Image",IF(Inventory_Master!S180&gt;0,"Size Price Review",IF(Inventory_Master!C180="ERROR","Validation Error",""))))))</f>
        <v/>
      </c>
      <c r="I180" s="2" t="str">
        <f t="shared" si="7"/>
        <v/>
      </c>
      <c r="J180" s="2" t="str">
        <f t="shared" si="8"/>
        <v/>
      </c>
    </row>
    <row r="181" spans="1:10" ht="12" customHeight="1" x14ac:dyDescent="0.3">
      <c r="A181" s="2" t="str">
        <f>Inventory_Master!D181</f>
        <v/>
      </c>
      <c r="B181" s="2" t="str">
        <f>Inventory_Master!E181</f>
        <v/>
      </c>
      <c r="C181" s="2" t="str">
        <f>Inventory_Master!C181</f>
        <v/>
      </c>
      <c r="D181" s="2" t="str">
        <f>Inventory_Master!R181</f>
        <v/>
      </c>
      <c r="E181" s="2" t="str">
        <f>Inventory_Master!W181</f>
        <v/>
      </c>
      <c r="F181" s="2" t="str">
        <f>IF($A181="","",TRIM(_xludf.textjoin("; ",TRUE(),IF(Inventory_Master!R181&lt;&gt;"OK","Invalid category",""),IF(Inventory_Master!J181="","Missing price_inr",""),IF(Inventory_Master!O181="","Missing image",""),IF(Inventory_Master!S181&gt;0,"Has size variants",""),IF(Inventory_Master!C181="ERROR","Validation error",""),IF(Inventory_Master!C181="WARNING","Review warning",""))))</f>
        <v/>
      </c>
      <c r="G181" s="2" t="str">
        <f t="shared" si="6"/>
        <v>NO</v>
      </c>
      <c r="H181" s="2" t="str">
        <f>IF($A181="","",IF(Inventory_Master!R181&lt;&gt;"OK","Invalid Category",IF(Inventory_Master!J181="","Missing Price",IF(Inventory_Master!O181="","Missing Image",IF(Inventory_Master!S181&gt;0,"Size Price Review",IF(Inventory_Master!C181="ERROR","Validation Error",""))))))</f>
        <v/>
      </c>
      <c r="I181" s="2" t="str">
        <f t="shared" si="7"/>
        <v/>
      </c>
      <c r="J181" s="2" t="str">
        <f t="shared" si="8"/>
        <v/>
      </c>
    </row>
    <row r="182" spans="1:10" ht="12" customHeight="1" x14ac:dyDescent="0.3">
      <c r="A182" s="2" t="str">
        <f>Inventory_Master!D182</f>
        <v/>
      </c>
      <c r="B182" s="2" t="str">
        <f>Inventory_Master!E182</f>
        <v/>
      </c>
      <c r="C182" s="2" t="str">
        <f>Inventory_Master!C182</f>
        <v/>
      </c>
      <c r="D182" s="2" t="str">
        <f>Inventory_Master!R182</f>
        <v/>
      </c>
      <c r="E182" s="2" t="str">
        <f>Inventory_Master!W182</f>
        <v/>
      </c>
      <c r="F182" s="2" t="str">
        <f>IF($A182="","",TRIM(_xludf.textjoin("; ",TRUE(),IF(Inventory_Master!R182&lt;&gt;"OK","Invalid category",""),IF(Inventory_Master!J182="","Missing price_inr",""),IF(Inventory_Master!O182="","Missing image",""),IF(Inventory_Master!S182&gt;0,"Has size variants",""),IF(Inventory_Master!C182="ERROR","Validation error",""),IF(Inventory_Master!C182="WARNING","Review warning",""))))</f>
        <v/>
      </c>
      <c r="G182" s="2" t="str">
        <f t="shared" si="6"/>
        <v>NO</v>
      </c>
      <c r="H182" s="2" t="str">
        <f>IF($A182="","",IF(Inventory_Master!R182&lt;&gt;"OK","Invalid Category",IF(Inventory_Master!J182="","Missing Price",IF(Inventory_Master!O182="","Missing Image",IF(Inventory_Master!S182&gt;0,"Size Price Review",IF(Inventory_Master!C182="ERROR","Validation Error",""))))))</f>
        <v/>
      </c>
      <c r="I182" s="2" t="str">
        <f t="shared" si="7"/>
        <v/>
      </c>
      <c r="J182" s="2" t="str">
        <f t="shared" si="8"/>
        <v/>
      </c>
    </row>
    <row r="183" spans="1:10" ht="12" customHeight="1" x14ac:dyDescent="0.3">
      <c r="A183" s="2" t="str">
        <f>Inventory_Master!D183</f>
        <v/>
      </c>
      <c r="B183" s="2" t="str">
        <f>Inventory_Master!E183</f>
        <v/>
      </c>
      <c r="C183" s="2" t="str">
        <f>Inventory_Master!C183</f>
        <v/>
      </c>
      <c r="D183" s="2" t="str">
        <f>Inventory_Master!R183</f>
        <v/>
      </c>
      <c r="E183" s="2" t="str">
        <f>Inventory_Master!W183</f>
        <v/>
      </c>
      <c r="F183" s="2" t="str">
        <f>IF($A183="","",TRIM(_xludf.textjoin("; ",TRUE(),IF(Inventory_Master!R183&lt;&gt;"OK","Invalid category",""),IF(Inventory_Master!J183="","Missing price_inr",""),IF(Inventory_Master!O183="","Missing image",""),IF(Inventory_Master!S183&gt;0,"Has size variants",""),IF(Inventory_Master!C183="ERROR","Validation error",""),IF(Inventory_Master!C183="WARNING","Review warning",""))))</f>
        <v/>
      </c>
      <c r="G183" s="2" t="str">
        <f t="shared" si="6"/>
        <v>NO</v>
      </c>
      <c r="H183" s="2" t="str">
        <f>IF($A183="","",IF(Inventory_Master!R183&lt;&gt;"OK","Invalid Category",IF(Inventory_Master!J183="","Missing Price",IF(Inventory_Master!O183="","Missing Image",IF(Inventory_Master!S183&gt;0,"Size Price Review",IF(Inventory_Master!C183="ERROR","Validation Error",""))))))</f>
        <v/>
      </c>
      <c r="I183" s="2" t="str">
        <f t="shared" si="7"/>
        <v/>
      </c>
      <c r="J183" s="2" t="str">
        <f t="shared" si="8"/>
        <v/>
      </c>
    </row>
    <row r="184" spans="1:10" ht="12" customHeight="1" x14ac:dyDescent="0.3">
      <c r="A184" s="2" t="str">
        <f>Inventory_Master!D184</f>
        <v/>
      </c>
      <c r="B184" s="2" t="str">
        <f>Inventory_Master!E184</f>
        <v/>
      </c>
      <c r="C184" s="2" t="str">
        <f>Inventory_Master!C184</f>
        <v/>
      </c>
      <c r="D184" s="2" t="str">
        <f>Inventory_Master!R184</f>
        <v/>
      </c>
      <c r="E184" s="2" t="str">
        <f>Inventory_Master!W184</f>
        <v/>
      </c>
      <c r="F184" s="2" t="str">
        <f>IF($A184="","",TRIM(_xludf.textjoin("; ",TRUE(),IF(Inventory_Master!R184&lt;&gt;"OK","Invalid category",""),IF(Inventory_Master!J184="","Missing price_inr",""),IF(Inventory_Master!O184="","Missing image",""),IF(Inventory_Master!S184&gt;0,"Has size variants",""),IF(Inventory_Master!C184="ERROR","Validation error",""),IF(Inventory_Master!C184="WARNING","Review warning",""))))</f>
        <v/>
      </c>
      <c r="G184" s="2" t="str">
        <f t="shared" si="6"/>
        <v>NO</v>
      </c>
      <c r="H184" s="2" t="str">
        <f>IF($A184="","",IF(Inventory_Master!R184&lt;&gt;"OK","Invalid Category",IF(Inventory_Master!J184="","Missing Price",IF(Inventory_Master!O184="","Missing Image",IF(Inventory_Master!S184&gt;0,"Size Price Review",IF(Inventory_Master!C184="ERROR","Validation Error",""))))))</f>
        <v/>
      </c>
      <c r="I184" s="2" t="str">
        <f t="shared" si="7"/>
        <v/>
      </c>
      <c r="J184" s="2" t="str">
        <f t="shared" si="8"/>
        <v/>
      </c>
    </row>
    <row r="185" spans="1:10" ht="12" customHeight="1" x14ac:dyDescent="0.3">
      <c r="A185" s="2" t="str">
        <f>Inventory_Master!D185</f>
        <v/>
      </c>
      <c r="B185" s="2" t="str">
        <f>Inventory_Master!E185</f>
        <v/>
      </c>
      <c r="C185" s="2" t="str">
        <f>Inventory_Master!C185</f>
        <v/>
      </c>
      <c r="D185" s="2" t="str">
        <f>Inventory_Master!R185</f>
        <v/>
      </c>
      <c r="E185" s="2" t="str">
        <f>Inventory_Master!W185</f>
        <v/>
      </c>
      <c r="F185" s="2" t="str">
        <f>IF($A185="","",TRIM(_xludf.textjoin("; ",TRUE(),IF(Inventory_Master!R185&lt;&gt;"OK","Invalid category",""),IF(Inventory_Master!J185="","Missing price_inr",""),IF(Inventory_Master!O185="","Missing image",""),IF(Inventory_Master!S185&gt;0,"Has size variants",""),IF(Inventory_Master!C185="ERROR","Validation error",""),IF(Inventory_Master!C185="WARNING","Review warning",""))))</f>
        <v/>
      </c>
      <c r="G185" s="2" t="str">
        <f t="shared" si="6"/>
        <v>NO</v>
      </c>
      <c r="H185" s="2" t="str">
        <f>IF($A185="","",IF(Inventory_Master!R185&lt;&gt;"OK","Invalid Category",IF(Inventory_Master!J185="","Missing Price",IF(Inventory_Master!O185="","Missing Image",IF(Inventory_Master!S185&gt;0,"Size Price Review",IF(Inventory_Master!C185="ERROR","Validation Error",""))))))</f>
        <v/>
      </c>
      <c r="I185" s="2" t="str">
        <f t="shared" si="7"/>
        <v/>
      </c>
      <c r="J185" s="2" t="str">
        <f t="shared" si="8"/>
        <v/>
      </c>
    </row>
    <row r="186" spans="1:10" ht="12" customHeight="1" x14ac:dyDescent="0.3">
      <c r="A186" s="2" t="str">
        <f>Inventory_Master!D186</f>
        <v/>
      </c>
      <c r="B186" s="2" t="str">
        <f>Inventory_Master!E186</f>
        <v/>
      </c>
      <c r="C186" s="2" t="str">
        <f>Inventory_Master!C186</f>
        <v/>
      </c>
      <c r="D186" s="2" t="str">
        <f>Inventory_Master!R186</f>
        <v/>
      </c>
      <c r="E186" s="2" t="str">
        <f>Inventory_Master!W186</f>
        <v/>
      </c>
      <c r="F186" s="2" t="str">
        <f>IF($A186="","",TRIM(_xludf.textjoin("; ",TRUE(),IF(Inventory_Master!R186&lt;&gt;"OK","Invalid category",""),IF(Inventory_Master!J186="","Missing price_inr",""),IF(Inventory_Master!O186="","Missing image",""),IF(Inventory_Master!S186&gt;0,"Has size variants",""),IF(Inventory_Master!C186="ERROR","Validation error",""),IF(Inventory_Master!C186="WARNING","Review warning",""))))</f>
        <v/>
      </c>
      <c r="G186" s="2" t="str">
        <f t="shared" si="6"/>
        <v>NO</v>
      </c>
      <c r="H186" s="2" t="str">
        <f>IF($A186="","",IF(Inventory_Master!R186&lt;&gt;"OK","Invalid Category",IF(Inventory_Master!J186="","Missing Price",IF(Inventory_Master!O186="","Missing Image",IF(Inventory_Master!S186&gt;0,"Size Price Review",IF(Inventory_Master!C186="ERROR","Validation Error",""))))))</f>
        <v/>
      </c>
      <c r="I186" s="2" t="str">
        <f t="shared" si="7"/>
        <v/>
      </c>
      <c r="J186" s="2" t="str">
        <f t="shared" si="8"/>
        <v/>
      </c>
    </row>
    <row r="187" spans="1:10" ht="12" customHeight="1" x14ac:dyDescent="0.3">
      <c r="A187" s="2" t="str">
        <f>Inventory_Master!D187</f>
        <v/>
      </c>
      <c r="B187" s="2" t="str">
        <f>Inventory_Master!E187</f>
        <v/>
      </c>
      <c r="C187" s="2" t="str">
        <f>Inventory_Master!C187</f>
        <v/>
      </c>
      <c r="D187" s="2" t="str">
        <f>Inventory_Master!R187</f>
        <v/>
      </c>
      <c r="E187" s="2" t="str">
        <f>Inventory_Master!W187</f>
        <v/>
      </c>
      <c r="F187" s="2" t="str">
        <f>IF($A187="","",TRIM(_xludf.textjoin("; ",TRUE(),IF(Inventory_Master!R187&lt;&gt;"OK","Invalid category",""),IF(Inventory_Master!J187="","Missing price_inr",""),IF(Inventory_Master!O187="","Missing image",""),IF(Inventory_Master!S187&gt;0,"Has size variants",""),IF(Inventory_Master!C187="ERROR","Validation error",""),IF(Inventory_Master!C187="WARNING","Review warning",""))))</f>
        <v/>
      </c>
      <c r="G187" s="2" t="str">
        <f t="shared" si="6"/>
        <v>NO</v>
      </c>
      <c r="H187" s="2" t="str">
        <f>IF($A187="","",IF(Inventory_Master!R187&lt;&gt;"OK","Invalid Category",IF(Inventory_Master!J187="","Missing Price",IF(Inventory_Master!O187="","Missing Image",IF(Inventory_Master!S187&gt;0,"Size Price Review",IF(Inventory_Master!C187="ERROR","Validation Error",""))))))</f>
        <v/>
      </c>
      <c r="I187" s="2" t="str">
        <f t="shared" si="7"/>
        <v/>
      </c>
      <c r="J187" s="2" t="str">
        <f t="shared" si="8"/>
        <v/>
      </c>
    </row>
    <row r="188" spans="1:10" ht="12" customHeight="1" x14ac:dyDescent="0.3">
      <c r="A188" s="2" t="str">
        <f>Inventory_Master!D188</f>
        <v/>
      </c>
      <c r="B188" s="2" t="str">
        <f>Inventory_Master!E188</f>
        <v/>
      </c>
      <c r="C188" s="2" t="str">
        <f>Inventory_Master!C188</f>
        <v/>
      </c>
      <c r="D188" s="2" t="str">
        <f>Inventory_Master!R188</f>
        <v/>
      </c>
      <c r="E188" s="2" t="str">
        <f>Inventory_Master!W188</f>
        <v/>
      </c>
      <c r="F188" s="2" t="str">
        <f>IF($A188="","",TRIM(_xludf.textjoin("; ",TRUE(),IF(Inventory_Master!R188&lt;&gt;"OK","Invalid category",""),IF(Inventory_Master!J188="","Missing price_inr",""),IF(Inventory_Master!O188="","Missing image",""),IF(Inventory_Master!S188&gt;0,"Has size variants",""),IF(Inventory_Master!C188="ERROR","Validation error",""),IF(Inventory_Master!C188="WARNING","Review warning",""))))</f>
        <v/>
      </c>
      <c r="G188" s="2" t="str">
        <f t="shared" si="6"/>
        <v>NO</v>
      </c>
      <c r="H188" s="2" t="str">
        <f>IF($A188="","",IF(Inventory_Master!R188&lt;&gt;"OK","Invalid Category",IF(Inventory_Master!J188="","Missing Price",IF(Inventory_Master!O188="","Missing Image",IF(Inventory_Master!S188&gt;0,"Size Price Review",IF(Inventory_Master!C188="ERROR","Validation Error",""))))))</f>
        <v/>
      </c>
      <c r="I188" s="2" t="str">
        <f t="shared" si="7"/>
        <v/>
      </c>
      <c r="J188" s="2" t="str">
        <f t="shared" si="8"/>
        <v/>
      </c>
    </row>
    <row r="189" spans="1:10" ht="12" customHeight="1" x14ac:dyDescent="0.3">
      <c r="A189" s="2" t="str">
        <f>Inventory_Master!D189</f>
        <v/>
      </c>
      <c r="B189" s="2" t="str">
        <f>Inventory_Master!E189</f>
        <v/>
      </c>
      <c r="C189" s="2" t="str">
        <f>Inventory_Master!C189</f>
        <v/>
      </c>
      <c r="D189" s="2" t="str">
        <f>Inventory_Master!R189</f>
        <v/>
      </c>
      <c r="E189" s="2" t="str">
        <f>Inventory_Master!W189</f>
        <v/>
      </c>
      <c r="F189" s="2" t="str">
        <f>IF($A189="","",TRIM(_xludf.textjoin("; ",TRUE(),IF(Inventory_Master!R189&lt;&gt;"OK","Invalid category",""),IF(Inventory_Master!J189="","Missing price_inr",""),IF(Inventory_Master!O189="","Missing image",""),IF(Inventory_Master!S189&gt;0,"Has size variants",""),IF(Inventory_Master!C189="ERROR","Validation error",""),IF(Inventory_Master!C189="WARNING","Review warning",""))))</f>
        <v/>
      </c>
      <c r="G189" s="2" t="str">
        <f t="shared" si="6"/>
        <v>NO</v>
      </c>
      <c r="H189" s="2" t="str">
        <f>IF($A189="","",IF(Inventory_Master!R189&lt;&gt;"OK","Invalid Category",IF(Inventory_Master!J189="","Missing Price",IF(Inventory_Master!O189="","Missing Image",IF(Inventory_Master!S189&gt;0,"Size Price Review",IF(Inventory_Master!C189="ERROR","Validation Error",""))))))</f>
        <v/>
      </c>
      <c r="I189" s="2" t="str">
        <f t="shared" si="7"/>
        <v/>
      </c>
      <c r="J189" s="2" t="str">
        <f t="shared" si="8"/>
        <v/>
      </c>
    </row>
    <row r="190" spans="1:10" ht="12" customHeight="1" x14ac:dyDescent="0.3">
      <c r="A190" s="2" t="str">
        <f>Inventory_Master!D190</f>
        <v/>
      </c>
      <c r="B190" s="2" t="str">
        <f>Inventory_Master!E190</f>
        <v/>
      </c>
      <c r="C190" s="2" t="str">
        <f>Inventory_Master!C190</f>
        <v/>
      </c>
      <c r="D190" s="2" t="str">
        <f>Inventory_Master!R190</f>
        <v/>
      </c>
      <c r="E190" s="2" t="str">
        <f>Inventory_Master!W190</f>
        <v/>
      </c>
      <c r="F190" s="2" t="str">
        <f>IF($A190="","",TRIM(_xludf.textjoin("; ",TRUE(),IF(Inventory_Master!R190&lt;&gt;"OK","Invalid category",""),IF(Inventory_Master!J190="","Missing price_inr",""),IF(Inventory_Master!O190="","Missing image",""),IF(Inventory_Master!S190&gt;0,"Has size variants",""),IF(Inventory_Master!C190="ERROR","Validation error",""),IF(Inventory_Master!C190="WARNING","Review warning",""))))</f>
        <v/>
      </c>
      <c r="G190" s="2" t="str">
        <f t="shared" si="6"/>
        <v>NO</v>
      </c>
      <c r="H190" s="2" t="str">
        <f>IF($A190="","",IF(Inventory_Master!R190&lt;&gt;"OK","Invalid Category",IF(Inventory_Master!J190="","Missing Price",IF(Inventory_Master!O190="","Missing Image",IF(Inventory_Master!S190&gt;0,"Size Price Review",IF(Inventory_Master!C190="ERROR","Validation Error",""))))))</f>
        <v/>
      </c>
      <c r="I190" s="2" t="str">
        <f t="shared" si="7"/>
        <v/>
      </c>
      <c r="J190" s="2" t="str">
        <f t="shared" si="8"/>
        <v/>
      </c>
    </row>
    <row r="191" spans="1:10" ht="12" customHeight="1" x14ac:dyDescent="0.3">
      <c r="A191" s="2" t="str">
        <f>Inventory_Master!D191</f>
        <v/>
      </c>
      <c r="B191" s="2" t="str">
        <f>Inventory_Master!E191</f>
        <v/>
      </c>
      <c r="C191" s="2" t="str">
        <f>Inventory_Master!C191</f>
        <v/>
      </c>
      <c r="D191" s="2" t="str">
        <f>Inventory_Master!R191</f>
        <v/>
      </c>
      <c r="E191" s="2" t="str">
        <f>Inventory_Master!W191</f>
        <v/>
      </c>
      <c r="F191" s="2" t="str">
        <f>IF($A191="","",TRIM(_xludf.textjoin("; ",TRUE(),IF(Inventory_Master!R191&lt;&gt;"OK","Invalid category",""),IF(Inventory_Master!J191="","Missing price_inr",""),IF(Inventory_Master!O191="","Missing image",""),IF(Inventory_Master!S191&gt;0,"Has size variants",""),IF(Inventory_Master!C191="ERROR","Validation error",""),IF(Inventory_Master!C191="WARNING","Review warning",""))))</f>
        <v/>
      </c>
      <c r="G191" s="2" t="str">
        <f t="shared" si="6"/>
        <v>NO</v>
      </c>
      <c r="H191" s="2" t="str">
        <f>IF($A191="","",IF(Inventory_Master!R191&lt;&gt;"OK","Invalid Category",IF(Inventory_Master!J191="","Missing Price",IF(Inventory_Master!O191="","Missing Image",IF(Inventory_Master!S191&gt;0,"Size Price Review",IF(Inventory_Master!C191="ERROR","Validation Error",""))))))</f>
        <v/>
      </c>
      <c r="I191" s="2" t="str">
        <f t="shared" si="7"/>
        <v/>
      </c>
      <c r="J191" s="2" t="str">
        <f t="shared" si="8"/>
        <v/>
      </c>
    </row>
    <row r="192" spans="1:10" ht="12" customHeight="1" x14ac:dyDescent="0.3">
      <c r="A192" s="2" t="str">
        <f>Inventory_Master!D192</f>
        <v/>
      </c>
      <c r="B192" s="2" t="str">
        <f>Inventory_Master!E192</f>
        <v/>
      </c>
      <c r="C192" s="2" t="str">
        <f>Inventory_Master!C192</f>
        <v/>
      </c>
      <c r="D192" s="2" t="str">
        <f>Inventory_Master!R192</f>
        <v/>
      </c>
      <c r="E192" s="2" t="str">
        <f>Inventory_Master!W192</f>
        <v/>
      </c>
      <c r="F192" s="2" t="str">
        <f>IF($A192="","",TRIM(_xludf.textjoin("; ",TRUE(),IF(Inventory_Master!R192&lt;&gt;"OK","Invalid category",""),IF(Inventory_Master!J192="","Missing price_inr",""),IF(Inventory_Master!O192="","Missing image",""),IF(Inventory_Master!S192&gt;0,"Has size variants",""),IF(Inventory_Master!C192="ERROR","Validation error",""),IF(Inventory_Master!C192="WARNING","Review warning",""))))</f>
        <v/>
      </c>
      <c r="G192" s="2" t="str">
        <f t="shared" si="6"/>
        <v>NO</v>
      </c>
      <c r="H192" s="2" t="str">
        <f>IF($A192="","",IF(Inventory_Master!R192&lt;&gt;"OK","Invalid Category",IF(Inventory_Master!J192="","Missing Price",IF(Inventory_Master!O192="","Missing Image",IF(Inventory_Master!S192&gt;0,"Size Price Review",IF(Inventory_Master!C192="ERROR","Validation Error",""))))))</f>
        <v/>
      </c>
      <c r="I192" s="2" t="str">
        <f t="shared" si="7"/>
        <v/>
      </c>
      <c r="J192" s="2" t="str">
        <f t="shared" si="8"/>
        <v/>
      </c>
    </row>
    <row r="193" spans="1:10" ht="12" customHeight="1" x14ac:dyDescent="0.3">
      <c r="A193" s="2" t="str">
        <f>Inventory_Master!D193</f>
        <v/>
      </c>
      <c r="B193" s="2" t="str">
        <f>Inventory_Master!E193</f>
        <v/>
      </c>
      <c r="C193" s="2" t="str">
        <f>Inventory_Master!C193</f>
        <v/>
      </c>
      <c r="D193" s="2" t="str">
        <f>Inventory_Master!R193</f>
        <v/>
      </c>
      <c r="E193" s="2" t="str">
        <f>Inventory_Master!W193</f>
        <v/>
      </c>
      <c r="F193" s="2" t="str">
        <f>IF($A193="","",TRIM(_xludf.textjoin("; ",TRUE(),IF(Inventory_Master!R193&lt;&gt;"OK","Invalid category",""),IF(Inventory_Master!J193="","Missing price_inr",""),IF(Inventory_Master!O193="","Missing image",""),IF(Inventory_Master!S193&gt;0,"Has size variants",""),IF(Inventory_Master!C193="ERROR","Validation error",""),IF(Inventory_Master!C193="WARNING","Review warning",""))))</f>
        <v/>
      </c>
      <c r="G193" s="2" t="str">
        <f t="shared" si="6"/>
        <v>NO</v>
      </c>
      <c r="H193" s="2" t="str">
        <f>IF($A193="","",IF(Inventory_Master!R193&lt;&gt;"OK","Invalid Category",IF(Inventory_Master!J193="","Missing Price",IF(Inventory_Master!O193="","Missing Image",IF(Inventory_Master!S193&gt;0,"Size Price Review",IF(Inventory_Master!C193="ERROR","Validation Error",""))))))</f>
        <v/>
      </c>
      <c r="I193" s="2" t="str">
        <f t="shared" si="7"/>
        <v/>
      </c>
      <c r="J193" s="2" t="str">
        <f t="shared" si="8"/>
        <v/>
      </c>
    </row>
    <row r="194" spans="1:10" ht="12" customHeight="1" x14ac:dyDescent="0.3">
      <c r="A194" s="2" t="str">
        <f>Inventory_Master!D194</f>
        <v/>
      </c>
      <c r="B194" s="2" t="str">
        <f>Inventory_Master!E194</f>
        <v/>
      </c>
      <c r="C194" s="2" t="str">
        <f>Inventory_Master!C194</f>
        <v/>
      </c>
      <c r="D194" s="2" t="str">
        <f>Inventory_Master!R194</f>
        <v/>
      </c>
      <c r="E194" s="2" t="str">
        <f>Inventory_Master!W194</f>
        <v/>
      </c>
      <c r="F194" s="2" t="str">
        <f>IF($A194="","",TRIM(_xludf.textjoin("; ",TRUE(),IF(Inventory_Master!R194&lt;&gt;"OK","Invalid category",""),IF(Inventory_Master!J194="","Missing price_inr",""),IF(Inventory_Master!O194="","Missing image",""),IF(Inventory_Master!S194&gt;0,"Has size variants",""),IF(Inventory_Master!C194="ERROR","Validation error",""),IF(Inventory_Master!C194="WARNING","Review warning",""))))</f>
        <v/>
      </c>
      <c r="G194" s="2" t="str">
        <f t="shared" si="6"/>
        <v>NO</v>
      </c>
      <c r="H194" s="2" t="str">
        <f>IF($A194="","",IF(Inventory_Master!R194&lt;&gt;"OK","Invalid Category",IF(Inventory_Master!J194="","Missing Price",IF(Inventory_Master!O194="","Missing Image",IF(Inventory_Master!S194&gt;0,"Size Price Review",IF(Inventory_Master!C194="ERROR","Validation Error",""))))))</f>
        <v/>
      </c>
      <c r="I194" s="2" t="str">
        <f t="shared" si="7"/>
        <v/>
      </c>
      <c r="J194" s="2" t="str">
        <f t="shared" si="8"/>
        <v/>
      </c>
    </row>
    <row r="195" spans="1:10" ht="12" customHeight="1" x14ac:dyDescent="0.3">
      <c r="A195" s="2" t="str">
        <f>Inventory_Master!D195</f>
        <v/>
      </c>
      <c r="B195" s="2" t="str">
        <f>Inventory_Master!E195</f>
        <v/>
      </c>
      <c r="C195" s="2" t="str">
        <f>Inventory_Master!C195</f>
        <v/>
      </c>
      <c r="D195" s="2" t="str">
        <f>Inventory_Master!R195</f>
        <v/>
      </c>
      <c r="E195" s="2" t="str">
        <f>Inventory_Master!W195</f>
        <v/>
      </c>
      <c r="F195" s="2" t="str">
        <f>IF($A195="","",TRIM(_xludf.textjoin("; ",TRUE(),IF(Inventory_Master!R195&lt;&gt;"OK","Invalid category",""),IF(Inventory_Master!J195="","Missing price_inr",""),IF(Inventory_Master!O195="","Missing image",""),IF(Inventory_Master!S195&gt;0,"Has size variants",""),IF(Inventory_Master!C195="ERROR","Validation error",""),IF(Inventory_Master!C195="WARNING","Review warning",""))))</f>
        <v/>
      </c>
      <c r="G195" s="2" t="str">
        <f t="shared" si="6"/>
        <v>NO</v>
      </c>
      <c r="H195" s="2" t="str">
        <f>IF($A195="","",IF(Inventory_Master!R195&lt;&gt;"OK","Invalid Category",IF(Inventory_Master!J195="","Missing Price",IF(Inventory_Master!O195="","Missing Image",IF(Inventory_Master!S195&gt;0,"Size Price Review",IF(Inventory_Master!C195="ERROR","Validation Error",""))))))</f>
        <v/>
      </c>
      <c r="I195" s="2" t="str">
        <f t="shared" si="7"/>
        <v/>
      </c>
      <c r="J195" s="2" t="str">
        <f t="shared" si="8"/>
        <v/>
      </c>
    </row>
    <row r="196" spans="1:10" ht="12" customHeight="1" x14ac:dyDescent="0.3">
      <c r="A196" s="2" t="str">
        <f>Inventory_Master!D196</f>
        <v/>
      </c>
      <c r="B196" s="2" t="str">
        <f>Inventory_Master!E196</f>
        <v/>
      </c>
      <c r="C196" s="2" t="str">
        <f>Inventory_Master!C196</f>
        <v/>
      </c>
      <c r="D196" s="2" t="str">
        <f>Inventory_Master!R196</f>
        <v/>
      </c>
      <c r="E196" s="2" t="str">
        <f>Inventory_Master!W196</f>
        <v/>
      </c>
      <c r="F196" s="2" t="str">
        <f>IF($A196="","",TRIM(_xludf.textjoin("; ",TRUE(),IF(Inventory_Master!R196&lt;&gt;"OK","Invalid category",""),IF(Inventory_Master!J196="","Missing price_inr",""),IF(Inventory_Master!O196="","Missing image",""),IF(Inventory_Master!S196&gt;0,"Has size variants",""),IF(Inventory_Master!C196="ERROR","Validation error",""),IF(Inventory_Master!C196="WARNING","Review warning",""))))</f>
        <v/>
      </c>
      <c r="G196" s="2" t="str">
        <f t="shared" si="6"/>
        <v>NO</v>
      </c>
      <c r="H196" s="2" t="str">
        <f>IF($A196="","",IF(Inventory_Master!R196&lt;&gt;"OK","Invalid Category",IF(Inventory_Master!J196="","Missing Price",IF(Inventory_Master!O196="","Missing Image",IF(Inventory_Master!S196&gt;0,"Size Price Review",IF(Inventory_Master!C196="ERROR","Validation Error",""))))))</f>
        <v/>
      </c>
      <c r="I196" s="2" t="str">
        <f t="shared" si="7"/>
        <v/>
      </c>
      <c r="J196" s="2" t="str">
        <f t="shared" si="8"/>
        <v/>
      </c>
    </row>
    <row r="197" spans="1:10" ht="12" customHeight="1" x14ac:dyDescent="0.3">
      <c r="A197" s="2" t="str">
        <f>Inventory_Master!D197</f>
        <v/>
      </c>
      <c r="B197" s="2" t="str">
        <f>Inventory_Master!E197</f>
        <v/>
      </c>
      <c r="C197" s="2" t="str">
        <f>Inventory_Master!C197</f>
        <v/>
      </c>
      <c r="D197" s="2" t="str">
        <f>Inventory_Master!R197</f>
        <v/>
      </c>
      <c r="E197" s="2" t="str">
        <f>Inventory_Master!W197</f>
        <v/>
      </c>
      <c r="F197" s="2" t="str">
        <f>IF($A197="","",TRIM(_xludf.textjoin("; ",TRUE(),IF(Inventory_Master!R197&lt;&gt;"OK","Invalid category",""),IF(Inventory_Master!J197="","Missing price_inr",""),IF(Inventory_Master!O197="","Missing image",""),IF(Inventory_Master!S197&gt;0,"Has size variants",""),IF(Inventory_Master!C197="ERROR","Validation error",""),IF(Inventory_Master!C197="WARNING","Review warning",""))))</f>
        <v/>
      </c>
      <c r="G197" s="2" t="str">
        <f t="shared" si="6"/>
        <v>NO</v>
      </c>
      <c r="H197" s="2" t="str">
        <f>IF($A197="","",IF(Inventory_Master!R197&lt;&gt;"OK","Invalid Category",IF(Inventory_Master!J197="","Missing Price",IF(Inventory_Master!O197="","Missing Image",IF(Inventory_Master!S197&gt;0,"Size Price Review",IF(Inventory_Master!C197="ERROR","Validation Error",""))))))</f>
        <v/>
      </c>
      <c r="I197" s="2" t="str">
        <f t="shared" si="7"/>
        <v/>
      </c>
      <c r="J197" s="2" t="str">
        <f t="shared" si="8"/>
        <v/>
      </c>
    </row>
    <row r="198" spans="1:10" ht="12" customHeight="1" x14ac:dyDescent="0.3">
      <c r="A198" s="2" t="str">
        <f>Inventory_Master!D198</f>
        <v/>
      </c>
      <c r="B198" s="2" t="str">
        <f>Inventory_Master!E198</f>
        <v/>
      </c>
      <c r="C198" s="2" t="str">
        <f>Inventory_Master!C198</f>
        <v/>
      </c>
      <c r="D198" s="2" t="str">
        <f>Inventory_Master!R198</f>
        <v/>
      </c>
      <c r="E198" s="2" t="str">
        <f>Inventory_Master!W198</f>
        <v/>
      </c>
      <c r="F198" s="2" t="str">
        <f>IF($A198="","",TRIM(_xludf.textjoin("; ",TRUE(),IF(Inventory_Master!R198&lt;&gt;"OK","Invalid category",""),IF(Inventory_Master!J198="","Missing price_inr",""),IF(Inventory_Master!O198="","Missing image",""),IF(Inventory_Master!S198&gt;0,"Has size variants",""),IF(Inventory_Master!C198="ERROR","Validation error",""),IF(Inventory_Master!C198="WARNING","Review warning",""))))</f>
        <v/>
      </c>
      <c r="G198" s="2" t="str">
        <f t="shared" si="6"/>
        <v>NO</v>
      </c>
      <c r="H198" s="2" t="str">
        <f>IF($A198="","",IF(Inventory_Master!R198&lt;&gt;"OK","Invalid Category",IF(Inventory_Master!J198="","Missing Price",IF(Inventory_Master!O198="","Missing Image",IF(Inventory_Master!S198&gt;0,"Size Price Review",IF(Inventory_Master!C198="ERROR","Validation Error",""))))))</f>
        <v/>
      </c>
      <c r="I198" s="2" t="str">
        <f t="shared" si="7"/>
        <v/>
      </c>
      <c r="J198" s="2" t="str">
        <f t="shared" si="8"/>
        <v/>
      </c>
    </row>
    <row r="199" spans="1:10" ht="12" customHeight="1" x14ac:dyDescent="0.3">
      <c r="A199" s="2" t="str">
        <f>Inventory_Master!D199</f>
        <v/>
      </c>
      <c r="B199" s="2" t="str">
        <f>Inventory_Master!E199</f>
        <v/>
      </c>
      <c r="C199" s="2" t="str">
        <f>Inventory_Master!C199</f>
        <v/>
      </c>
      <c r="D199" s="2" t="str">
        <f>Inventory_Master!R199</f>
        <v/>
      </c>
      <c r="E199" s="2" t="str">
        <f>Inventory_Master!W199</f>
        <v/>
      </c>
      <c r="F199" s="2" t="str">
        <f>IF($A199="","",TRIM(_xludf.textjoin("; ",TRUE(),IF(Inventory_Master!R199&lt;&gt;"OK","Invalid category",""),IF(Inventory_Master!J199="","Missing price_inr",""),IF(Inventory_Master!O199="","Missing image",""),IF(Inventory_Master!S199&gt;0,"Has size variants",""),IF(Inventory_Master!C199="ERROR","Validation error",""),IF(Inventory_Master!C199="WARNING","Review warning",""))))</f>
        <v/>
      </c>
      <c r="G199" s="2" t="str">
        <f t="shared" si="6"/>
        <v>NO</v>
      </c>
      <c r="H199" s="2" t="str">
        <f>IF($A199="","",IF(Inventory_Master!R199&lt;&gt;"OK","Invalid Category",IF(Inventory_Master!J199="","Missing Price",IF(Inventory_Master!O199="","Missing Image",IF(Inventory_Master!S199&gt;0,"Size Price Review",IF(Inventory_Master!C199="ERROR","Validation Error",""))))))</f>
        <v/>
      </c>
      <c r="I199" s="2" t="str">
        <f t="shared" si="7"/>
        <v/>
      </c>
      <c r="J199" s="2" t="str">
        <f t="shared" si="8"/>
        <v/>
      </c>
    </row>
    <row r="200" spans="1:10" ht="12" customHeight="1" x14ac:dyDescent="0.3">
      <c r="A200" s="2" t="str">
        <f>Inventory_Master!D200</f>
        <v/>
      </c>
      <c r="B200" s="2" t="str">
        <f>Inventory_Master!E200</f>
        <v/>
      </c>
      <c r="C200" s="2" t="str">
        <f>Inventory_Master!C200</f>
        <v/>
      </c>
      <c r="D200" s="2" t="str">
        <f>Inventory_Master!R200</f>
        <v/>
      </c>
      <c r="E200" s="2" t="str">
        <f>Inventory_Master!W200</f>
        <v/>
      </c>
      <c r="F200" s="2" t="str">
        <f>IF($A200="","",TRIM(_xludf.textjoin("; ",TRUE(),IF(Inventory_Master!R200&lt;&gt;"OK","Invalid category",""),IF(Inventory_Master!J200="","Missing price_inr",""),IF(Inventory_Master!O200="","Missing image",""),IF(Inventory_Master!S200&gt;0,"Has size variants",""),IF(Inventory_Master!C200="ERROR","Validation error",""),IF(Inventory_Master!C200="WARNING","Review warning",""))))</f>
        <v/>
      </c>
      <c r="G200" s="2" t="str">
        <f t="shared" si="6"/>
        <v>NO</v>
      </c>
      <c r="H200" s="2" t="str">
        <f>IF($A200="","",IF(Inventory_Master!R200&lt;&gt;"OK","Invalid Category",IF(Inventory_Master!J200="","Missing Price",IF(Inventory_Master!O200="","Missing Image",IF(Inventory_Master!S200&gt;0,"Size Price Review",IF(Inventory_Master!C200="ERROR","Validation Error",""))))))</f>
        <v/>
      </c>
      <c r="I200" s="2" t="str">
        <f t="shared" si="7"/>
        <v/>
      </c>
      <c r="J200" s="2" t="str">
        <f t="shared" si="8"/>
        <v/>
      </c>
    </row>
    <row r="201" spans="1:10" ht="12" customHeight="1" x14ac:dyDescent="0.3">
      <c r="A201" s="2" t="str">
        <f>Inventory_Master!D201</f>
        <v/>
      </c>
      <c r="B201" s="2" t="str">
        <f>Inventory_Master!E201</f>
        <v/>
      </c>
      <c r="C201" s="2" t="str">
        <f>Inventory_Master!C201</f>
        <v/>
      </c>
      <c r="D201" s="2" t="str">
        <f>Inventory_Master!R201</f>
        <v/>
      </c>
      <c r="E201" s="2" t="str">
        <f>Inventory_Master!W201</f>
        <v/>
      </c>
      <c r="F201" s="2" t="str">
        <f>IF($A201="","",TRIM(_xludf.textjoin("; ",TRUE(),IF(Inventory_Master!R201&lt;&gt;"OK","Invalid category",""),IF(Inventory_Master!J201="","Missing price_inr",""),IF(Inventory_Master!O201="","Missing image",""),IF(Inventory_Master!S201&gt;0,"Has size variants",""),IF(Inventory_Master!C201="ERROR","Validation error",""),IF(Inventory_Master!C201="WARNING","Review warning",""))))</f>
        <v/>
      </c>
      <c r="G201" s="2" t="str">
        <f t="shared" si="6"/>
        <v>NO</v>
      </c>
      <c r="H201" s="2" t="str">
        <f>IF($A201="","",IF(Inventory_Master!R201&lt;&gt;"OK","Invalid Category",IF(Inventory_Master!J201="","Missing Price",IF(Inventory_Master!O201="","Missing Image",IF(Inventory_Master!S201&gt;0,"Size Price Review",IF(Inventory_Master!C201="ERROR","Validation Error",""))))))</f>
        <v/>
      </c>
      <c r="I201" s="2" t="str">
        <f t="shared" si="7"/>
        <v/>
      </c>
      <c r="J201" s="2" t="str">
        <f t="shared" si="8"/>
        <v/>
      </c>
    </row>
    <row r="202" spans="1:10" ht="12" customHeight="1" x14ac:dyDescent="0.3">
      <c r="A202" s="2" t="str">
        <f>Inventory_Master!D202</f>
        <v/>
      </c>
      <c r="B202" s="2" t="str">
        <f>Inventory_Master!E202</f>
        <v/>
      </c>
      <c r="C202" s="2" t="str">
        <f>Inventory_Master!C202</f>
        <v/>
      </c>
      <c r="D202" s="2" t="str">
        <f>Inventory_Master!R202</f>
        <v/>
      </c>
      <c r="E202" s="2" t="str">
        <f>Inventory_Master!W202</f>
        <v/>
      </c>
      <c r="F202" s="2" t="str">
        <f>IF($A202="","",TRIM(_xludf.textjoin("; ",TRUE(),IF(Inventory_Master!R202&lt;&gt;"OK","Invalid category",""),IF(Inventory_Master!J202="","Missing price_inr",""),IF(Inventory_Master!O202="","Missing image",""),IF(Inventory_Master!S202&gt;0,"Has size variants",""),IF(Inventory_Master!C202="ERROR","Validation error",""),IF(Inventory_Master!C202="WARNING","Review warning",""))))</f>
        <v/>
      </c>
      <c r="G202" s="2" t="str">
        <f t="shared" si="6"/>
        <v>NO</v>
      </c>
      <c r="H202" s="2" t="str">
        <f>IF($A202="","",IF(Inventory_Master!R202&lt;&gt;"OK","Invalid Category",IF(Inventory_Master!J202="","Missing Price",IF(Inventory_Master!O202="","Missing Image",IF(Inventory_Master!S202&gt;0,"Size Price Review",IF(Inventory_Master!C202="ERROR","Validation Error",""))))))</f>
        <v/>
      </c>
      <c r="I202" s="2" t="str">
        <f t="shared" si="7"/>
        <v/>
      </c>
      <c r="J202" s="2" t="str">
        <f t="shared" si="8"/>
        <v/>
      </c>
    </row>
    <row r="203" spans="1:10" ht="12" customHeight="1" x14ac:dyDescent="0.3">
      <c r="A203" s="2" t="str">
        <f>Inventory_Master!D203</f>
        <v/>
      </c>
      <c r="B203" s="2" t="str">
        <f>Inventory_Master!E203</f>
        <v/>
      </c>
      <c r="C203" s="2" t="str">
        <f>Inventory_Master!C203</f>
        <v/>
      </c>
      <c r="D203" s="2" t="str">
        <f>Inventory_Master!R203</f>
        <v/>
      </c>
      <c r="E203" s="2" t="str">
        <f>Inventory_Master!W203</f>
        <v/>
      </c>
      <c r="F203" s="2" t="str">
        <f>IF($A203="","",TRIM(_xludf.textjoin("; ",TRUE(),IF(Inventory_Master!R203&lt;&gt;"OK","Invalid category",""),IF(Inventory_Master!J203="","Missing price_inr",""),IF(Inventory_Master!O203="","Missing image",""),IF(Inventory_Master!S203&gt;0,"Has size variants",""),IF(Inventory_Master!C203="ERROR","Validation error",""),IF(Inventory_Master!C203="WARNING","Review warning",""))))</f>
        <v/>
      </c>
      <c r="G203" s="2" t="str">
        <f t="shared" si="6"/>
        <v>NO</v>
      </c>
      <c r="H203" s="2" t="str">
        <f>IF($A203="","",IF(Inventory_Master!R203&lt;&gt;"OK","Invalid Category",IF(Inventory_Master!J203="","Missing Price",IF(Inventory_Master!O203="","Missing Image",IF(Inventory_Master!S203&gt;0,"Size Price Review",IF(Inventory_Master!C203="ERROR","Validation Error",""))))))</f>
        <v/>
      </c>
      <c r="I203" s="2" t="str">
        <f t="shared" si="7"/>
        <v/>
      </c>
      <c r="J203" s="2" t="str">
        <f t="shared" si="8"/>
        <v/>
      </c>
    </row>
    <row r="204" spans="1:10" ht="12" customHeight="1" x14ac:dyDescent="0.3">
      <c r="A204" s="2" t="str">
        <f>Inventory_Master!D204</f>
        <v/>
      </c>
      <c r="B204" s="2" t="str">
        <f>Inventory_Master!E204</f>
        <v/>
      </c>
      <c r="C204" s="2" t="str">
        <f>Inventory_Master!C204</f>
        <v/>
      </c>
      <c r="D204" s="2" t="str">
        <f>Inventory_Master!R204</f>
        <v/>
      </c>
      <c r="E204" s="2" t="str">
        <f>Inventory_Master!W204</f>
        <v/>
      </c>
      <c r="F204" s="2" t="str">
        <f>IF($A204="","",TRIM(_xludf.textjoin("; ",TRUE(),IF(Inventory_Master!R204&lt;&gt;"OK","Invalid category",""),IF(Inventory_Master!J204="","Missing price_inr",""),IF(Inventory_Master!O204="","Missing image",""),IF(Inventory_Master!S204&gt;0,"Has size variants",""),IF(Inventory_Master!C204="ERROR","Validation error",""),IF(Inventory_Master!C204="WARNING","Review warning",""))))</f>
        <v/>
      </c>
      <c r="G204" s="2" t="str">
        <f t="shared" si="6"/>
        <v>NO</v>
      </c>
      <c r="H204" s="2" t="str">
        <f>IF($A204="","",IF(Inventory_Master!R204&lt;&gt;"OK","Invalid Category",IF(Inventory_Master!J204="","Missing Price",IF(Inventory_Master!O204="","Missing Image",IF(Inventory_Master!S204&gt;0,"Size Price Review",IF(Inventory_Master!C204="ERROR","Validation Error",""))))))</f>
        <v/>
      </c>
      <c r="I204" s="2" t="str">
        <f t="shared" si="7"/>
        <v/>
      </c>
      <c r="J204" s="2" t="str">
        <f t="shared" si="8"/>
        <v/>
      </c>
    </row>
    <row r="205" spans="1:10" ht="12" customHeight="1" x14ac:dyDescent="0.3">
      <c r="A205" s="2" t="str">
        <f>Inventory_Master!D205</f>
        <v/>
      </c>
      <c r="B205" s="2" t="str">
        <f>Inventory_Master!E205</f>
        <v/>
      </c>
      <c r="C205" s="2" t="str">
        <f>Inventory_Master!C205</f>
        <v/>
      </c>
      <c r="D205" s="2" t="str">
        <f>Inventory_Master!R205</f>
        <v/>
      </c>
      <c r="E205" s="2" t="str">
        <f>Inventory_Master!W205</f>
        <v/>
      </c>
      <c r="F205" s="2" t="str">
        <f>IF($A205="","",TRIM(_xludf.textjoin("; ",TRUE(),IF(Inventory_Master!R205&lt;&gt;"OK","Invalid category",""),IF(Inventory_Master!J205="","Missing price_inr",""),IF(Inventory_Master!O205="","Missing image",""),IF(Inventory_Master!S205&gt;0,"Has size variants",""),IF(Inventory_Master!C205="ERROR","Validation error",""),IF(Inventory_Master!C205="WARNING","Review warning",""))))</f>
        <v/>
      </c>
      <c r="G205" s="2" t="str">
        <f t="shared" si="6"/>
        <v>NO</v>
      </c>
      <c r="H205" s="2" t="str">
        <f>IF($A205="","",IF(Inventory_Master!R205&lt;&gt;"OK","Invalid Category",IF(Inventory_Master!J205="","Missing Price",IF(Inventory_Master!O205="","Missing Image",IF(Inventory_Master!S205&gt;0,"Size Price Review",IF(Inventory_Master!C205="ERROR","Validation Error",""))))))</f>
        <v/>
      </c>
      <c r="I205" s="2" t="str">
        <f t="shared" si="7"/>
        <v/>
      </c>
      <c r="J205" s="2" t="str">
        <f t="shared" si="8"/>
        <v/>
      </c>
    </row>
    <row r="206" spans="1:10" ht="12" customHeight="1" x14ac:dyDescent="0.3">
      <c r="A206" s="2" t="str">
        <f>Inventory_Master!D206</f>
        <v/>
      </c>
      <c r="B206" s="2" t="str">
        <f>Inventory_Master!E206</f>
        <v/>
      </c>
      <c r="C206" s="2" t="str">
        <f>Inventory_Master!C206</f>
        <v/>
      </c>
      <c r="D206" s="2" t="str">
        <f>Inventory_Master!R206</f>
        <v/>
      </c>
      <c r="E206" s="2" t="str">
        <f>Inventory_Master!W206</f>
        <v/>
      </c>
      <c r="F206" s="2" t="str">
        <f>IF($A206="","",TRIM(_xludf.textjoin("; ",TRUE(),IF(Inventory_Master!R206&lt;&gt;"OK","Invalid category",""),IF(Inventory_Master!J206="","Missing price_inr",""),IF(Inventory_Master!O206="","Missing image",""),IF(Inventory_Master!S206&gt;0,"Has size variants",""),IF(Inventory_Master!C206="ERROR","Validation error",""),IF(Inventory_Master!C206="WARNING","Review warning",""))))</f>
        <v/>
      </c>
      <c r="G206" s="2" t="str">
        <f t="shared" si="6"/>
        <v>NO</v>
      </c>
      <c r="H206" s="2" t="str">
        <f>IF($A206="","",IF(Inventory_Master!R206&lt;&gt;"OK","Invalid Category",IF(Inventory_Master!J206="","Missing Price",IF(Inventory_Master!O206="","Missing Image",IF(Inventory_Master!S206&gt;0,"Size Price Review",IF(Inventory_Master!C206="ERROR","Validation Error",""))))))</f>
        <v/>
      </c>
      <c r="I206" s="2" t="str">
        <f t="shared" si="7"/>
        <v/>
      </c>
      <c r="J206" s="2" t="str">
        <f t="shared" si="8"/>
        <v/>
      </c>
    </row>
    <row r="207" spans="1:10" ht="12" customHeight="1" x14ac:dyDescent="0.3">
      <c r="A207" s="2" t="str">
        <f>Inventory_Master!D207</f>
        <v/>
      </c>
      <c r="B207" s="2" t="str">
        <f>Inventory_Master!E207</f>
        <v/>
      </c>
      <c r="C207" s="2" t="str">
        <f>Inventory_Master!C207</f>
        <v/>
      </c>
      <c r="D207" s="2" t="str">
        <f>Inventory_Master!R207</f>
        <v/>
      </c>
      <c r="E207" s="2" t="str">
        <f>Inventory_Master!W207</f>
        <v/>
      </c>
      <c r="F207" s="2" t="str">
        <f>IF($A207="","",TRIM(_xludf.textjoin("; ",TRUE(),IF(Inventory_Master!R207&lt;&gt;"OK","Invalid category",""),IF(Inventory_Master!J207="","Missing price_inr",""),IF(Inventory_Master!O207="","Missing image",""),IF(Inventory_Master!S207&gt;0,"Has size variants",""),IF(Inventory_Master!C207="ERROR","Validation error",""),IF(Inventory_Master!C207="WARNING","Review warning",""))))</f>
        <v/>
      </c>
      <c r="G207" s="2" t="str">
        <f t="shared" si="6"/>
        <v>NO</v>
      </c>
      <c r="H207" s="2" t="str">
        <f>IF($A207="","",IF(Inventory_Master!R207&lt;&gt;"OK","Invalid Category",IF(Inventory_Master!J207="","Missing Price",IF(Inventory_Master!O207="","Missing Image",IF(Inventory_Master!S207&gt;0,"Size Price Review",IF(Inventory_Master!C207="ERROR","Validation Error",""))))))</f>
        <v/>
      </c>
      <c r="I207" s="2" t="str">
        <f t="shared" si="7"/>
        <v/>
      </c>
      <c r="J207" s="2" t="str">
        <f t="shared" si="8"/>
        <v/>
      </c>
    </row>
    <row r="208" spans="1:10" ht="12" customHeight="1" x14ac:dyDescent="0.3">
      <c r="A208" s="2" t="str">
        <f>Inventory_Master!D208</f>
        <v/>
      </c>
      <c r="B208" s="2" t="str">
        <f>Inventory_Master!E208</f>
        <v/>
      </c>
      <c r="C208" s="2" t="str">
        <f>Inventory_Master!C208</f>
        <v/>
      </c>
      <c r="D208" s="2" t="str">
        <f>Inventory_Master!R208</f>
        <v/>
      </c>
      <c r="E208" s="2" t="str">
        <f>Inventory_Master!W208</f>
        <v/>
      </c>
      <c r="F208" s="2" t="str">
        <f>IF($A208="","",TRIM(_xludf.textjoin("; ",TRUE(),IF(Inventory_Master!R208&lt;&gt;"OK","Invalid category",""),IF(Inventory_Master!J208="","Missing price_inr",""),IF(Inventory_Master!O208="","Missing image",""),IF(Inventory_Master!S208&gt;0,"Has size variants",""),IF(Inventory_Master!C208="ERROR","Validation error",""),IF(Inventory_Master!C208="WARNING","Review warning",""))))</f>
        <v/>
      </c>
      <c r="G208" s="2" t="str">
        <f t="shared" si="6"/>
        <v>NO</v>
      </c>
      <c r="H208" s="2" t="str">
        <f>IF($A208="","",IF(Inventory_Master!R208&lt;&gt;"OK","Invalid Category",IF(Inventory_Master!J208="","Missing Price",IF(Inventory_Master!O208="","Missing Image",IF(Inventory_Master!S208&gt;0,"Size Price Review",IF(Inventory_Master!C208="ERROR","Validation Error",""))))))</f>
        <v/>
      </c>
      <c r="I208" s="2" t="str">
        <f t="shared" si="7"/>
        <v/>
      </c>
      <c r="J208" s="2" t="str">
        <f t="shared" si="8"/>
        <v/>
      </c>
    </row>
    <row r="209" spans="1:10" ht="12" customHeight="1" x14ac:dyDescent="0.3">
      <c r="A209" s="2" t="str">
        <f>Inventory_Master!D209</f>
        <v/>
      </c>
      <c r="B209" s="2" t="str">
        <f>Inventory_Master!E209</f>
        <v/>
      </c>
      <c r="C209" s="2" t="str">
        <f>Inventory_Master!C209</f>
        <v/>
      </c>
      <c r="D209" s="2" t="str">
        <f>Inventory_Master!R209</f>
        <v/>
      </c>
      <c r="E209" s="2" t="str">
        <f>Inventory_Master!W209</f>
        <v/>
      </c>
      <c r="F209" s="2" t="str">
        <f>IF($A209="","",TRIM(_xludf.textjoin("; ",TRUE(),IF(Inventory_Master!R209&lt;&gt;"OK","Invalid category",""),IF(Inventory_Master!J209="","Missing price_inr",""),IF(Inventory_Master!O209="","Missing image",""),IF(Inventory_Master!S209&gt;0,"Has size variants",""),IF(Inventory_Master!C209="ERROR","Validation error",""),IF(Inventory_Master!C209="WARNING","Review warning",""))))</f>
        <v/>
      </c>
      <c r="G209" s="2" t="str">
        <f t="shared" si="6"/>
        <v>NO</v>
      </c>
      <c r="H209" s="2" t="str">
        <f>IF($A209="","",IF(Inventory_Master!R209&lt;&gt;"OK","Invalid Category",IF(Inventory_Master!J209="","Missing Price",IF(Inventory_Master!O209="","Missing Image",IF(Inventory_Master!S209&gt;0,"Size Price Review",IF(Inventory_Master!C209="ERROR","Validation Error",""))))))</f>
        <v/>
      </c>
      <c r="I209" s="2" t="str">
        <f t="shared" si="7"/>
        <v/>
      </c>
      <c r="J209" s="2" t="str">
        <f t="shared" si="8"/>
        <v/>
      </c>
    </row>
    <row r="210" spans="1:10" ht="12" customHeight="1" x14ac:dyDescent="0.3">
      <c r="A210" s="2" t="str">
        <f>Inventory_Master!D210</f>
        <v/>
      </c>
      <c r="B210" s="2" t="str">
        <f>Inventory_Master!E210</f>
        <v/>
      </c>
      <c r="C210" s="2" t="str">
        <f>Inventory_Master!C210</f>
        <v/>
      </c>
      <c r="D210" s="2" t="str">
        <f>Inventory_Master!R210</f>
        <v/>
      </c>
      <c r="E210" s="2" t="str">
        <f>Inventory_Master!W210</f>
        <v/>
      </c>
      <c r="F210" s="2" t="str">
        <f>IF($A210="","",TRIM(_xludf.textjoin("; ",TRUE(),IF(Inventory_Master!R210&lt;&gt;"OK","Invalid category",""),IF(Inventory_Master!J210="","Missing price_inr",""),IF(Inventory_Master!O210="","Missing image",""),IF(Inventory_Master!S210&gt;0,"Has size variants",""),IF(Inventory_Master!C210="ERROR","Validation error",""),IF(Inventory_Master!C210="WARNING","Review warning",""))))</f>
        <v/>
      </c>
      <c r="G210" s="2" t="str">
        <f t="shared" si="6"/>
        <v>NO</v>
      </c>
      <c r="H210" s="2" t="str">
        <f>IF($A210="","",IF(Inventory_Master!R210&lt;&gt;"OK","Invalid Category",IF(Inventory_Master!J210="","Missing Price",IF(Inventory_Master!O210="","Missing Image",IF(Inventory_Master!S210&gt;0,"Size Price Review",IF(Inventory_Master!C210="ERROR","Validation Error",""))))))</f>
        <v/>
      </c>
      <c r="I210" s="2" t="str">
        <f t="shared" si="7"/>
        <v/>
      </c>
      <c r="J210" s="2" t="str">
        <f t="shared" si="8"/>
        <v/>
      </c>
    </row>
    <row r="211" spans="1:10" ht="12" customHeight="1" x14ac:dyDescent="0.3">
      <c r="A211" s="2" t="str">
        <f>Inventory_Master!D211</f>
        <v/>
      </c>
      <c r="B211" s="2" t="str">
        <f>Inventory_Master!E211</f>
        <v/>
      </c>
      <c r="C211" s="2" t="str">
        <f>Inventory_Master!C211</f>
        <v/>
      </c>
      <c r="D211" s="2" t="str">
        <f>Inventory_Master!R211</f>
        <v/>
      </c>
      <c r="E211" s="2" t="str">
        <f>Inventory_Master!W211</f>
        <v/>
      </c>
      <c r="F211" s="2" t="str">
        <f>IF($A211="","",TRIM(_xludf.textjoin("; ",TRUE(),IF(Inventory_Master!R211&lt;&gt;"OK","Invalid category",""),IF(Inventory_Master!J211="","Missing price_inr",""),IF(Inventory_Master!O211="","Missing image",""),IF(Inventory_Master!S211&gt;0,"Has size variants",""),IF(Inventory_Master!C211="ERROR","Validation error",""),IF(Inventory_Master!C211="WARNING","Review warning",""))))</f>
        <v/>
      </c>
      <c r="G211" s="2" t="str">
        <f t="shared" si="6"/>
        <v>NO</v>
      </c>
      <c r="H211" s="2" t="str">
        <f>IF($A211="","",IF(Inventory_Master!R211&lt;&gt;"OK","Invalid Category",IF(Inventory_Master!J211="","Missing Price",IF(Inventory_Master!O211="","Missing Image",IF(Inventory_Master!S211&gt;0,"Size Price Review",IF(Inventory_Master!C211="ERROR","Validation Error",""))))))</f>
        <v/>
      </c>
      <c r="I211" s="2" t="str">
        <f t="shared" si="7"/>
        <v/>
      </c>
      <c r="J211" s="2" t="str">
        <f t="shared" si="8"/>
        <v/>
      </c>
    </row>
    <row r="212" spans="1:10" ht="12" customHeight="1" x14ac:dyDescent="0.3">
      <c r="A212" s="2" t="str">
        <f>Inventory_Master!D212</f>
        <v/>
      </c>
      <c r="B212" s="2" t="str">
        <f>Inventory_Master!E212</f>
        <v/>
      </c>
      <c r="C212" s="2" t="str">
        <f>Inventory_Master!C212</f>
        <v/>
      </c>
      <c r="D212" s="2" t="str">
        <f>Inventory_Master!R212</f>
        <v/>
      </c>
      <c r="E212" s="2" t="str">
        <f>Inventory_Master!W212</f>
        <v/>
      </c>
      <c r="F212" s="2" t="str">
        <f>IF($A212="","",TRIM(_xludf.textjoin("; ",TRUE(),IF(Inventory_Master!R212&lt;&gt;"OK","Invalid category",""),IF(Inventory_Master!J212="","Missing price_inr",""),IF(Inventory_Master!O212="","Missing image",""),IF(Inventory_Master!S212&gt;0,"Has size variants",""),IF(Inventory_Master!C212="ERROR","Validation error",""),IF(Inventory_Master!C212="WARNING","Review warning",""))))</f>
        <v/>
      </c>
      <c r="G212" s="2" t="str">
        <f t="shared" si="6"/>
        <v>NO</v>
      </c>
      <c r="H212" s="2" t="str">
        <f>IF($A212="","",IF(Inventory_Master!R212&lt;&gt;"OK","Invalid Category",IF(Inventory_Master!J212="","Missing Price",IF(Inventory_Master!O212="","Missing Image",IF(Inventory_Master!S212&gt;0,"Size Price Review",IF(Inventory_Master!C212="ERROR","Validation Error",""))))))</f>
        <v/>
      </c>
      <c r="I212" s="2" t="str">
        <f t="shared" si="7"/>
        <v/>
      </c>
      <c r="J212" s="2" t="str">
        <f t="shared" si="8"/>
        <v/>
      </c>
    </row>
    <row r="213" spans="1:10" ht="12" customHeight="1" x14ac:dyDescent="0.3">
      <c r="A213" s="2" t="str">
        <f>Inventory_Master!D213</f>
        <v/>
      </c>
      <c r="B213" s="2" t="str">
        <f>Inventory_Master!E213</f>
        <v/>
      </c>
      <c r="C213" s="2" t="str">
        <f>Inventory_Master!C213</f>
        <v/>
      </c>
      <c r="D213" s="2" t="str">
        <f>Inventory_Master!R213</f>
        <v/>
      </c>
      <c r="E213" s="2" t="str">
        <f>Inventory_Master!W213</f>
        <v/>
      </c>
      <c r="F213" s="2" t="str">
        <f>IF($A213="","",TRIM(_xludf.textjoin("; ",TRUE(),IF(Inventory_Master!R213&lt;&gt;"OK","Invalid category",""),IF(Inventory_Master!J213="","Missing price_inr",""),IF(Inventory_Master!O213="","Missing image",""),IF(Inventory_Master!S213&gt;0,"Has size variants",""),IF(Inventory_Master!C213="ERROR","Validation error",""),IF(Inventory_Master!C213="WARNING","Review warning",""))))</f>
        <v/>
      </c>
      <c r="G213" s="2" t="str">
        <f t="shared" si="6"/>
        <v>NO</v>
      </c>
      <c r="H213" s="2" t="str">
        <f>IF($A213="","",IF(Inventory_Master!R213&lt;&gt;"OK","Invalid Category",IF(Inventory_Master!J213="","Missing Price",IF(Inventory_Master!O213="","Missing Image",IF(Inventory_Master!S213&gt;0,"Size Price Review",IF(Inventory_Master!C213="ERROR","Validation Error",""))))))</f>
        <v/>
      </c>
      <c r="I213" s="2" t="str">
        <f t="shared" si="7"/>
        <v/>
      </c>
      <c r="J213" s="2" t="str">
        <f t="shared" si="8"/>
        <v/>
      </c>
    </row>
    <row r="214" spans="1:10" ht="12" customHeight="1" x14ac:dyDescent="0.3">
      <c r="A214" s="2" t="str">
        <f>Inventory_Master!D214</f>
        <v/>
      </c>
      <c r="B214" s="2" t="str">
        <f>Inventory_Master!E214</f>
        <v/>
      </c>
      <c r="C214" s="2" t="str">
        <f>Inventory_Master!C214</f>
        <v/>
      </c>
      <c r="D214" s="2" t="str">
        <f>Inventory_Master!R214</f>
        <v/>
      </c>
      <c r="E214" s="2" t="str">
        <f>Inventory_Master!W214</f>
        <v/>
      </c>
      <c r="F214" s="2" t="str">
        <f>IF($A214="","",TRIM(_xludf.textjoin("; ",TRUE(),IF(Inventory_Master!R214&lt;&gt;"OK","Invalid category",""),IF(Inventory_Master!J214="","Missing price_inr",""),IF(Inventory_Master!O214="","Missing image",""),IF(Inventory_Master!S214&gt;0,"Has size variants",""),IF(Inventory_Master!C214="ERROR","Validation error",""),IF(Inventory_Master!C214="WARNING","Review warning",""))))</f>
        <v/>
      </c>
      <c r="G214" s="2" t="str">
        <f t="shared" si="6"/>
        <v>NO</v>
      </c>
      <c r="H214" s="2" t="str">
        <f>IF($A214="","",IF(Inventory_Master!R214&lt;&gt;"OK","Invalid Category",IF(Inventory_Master!J214="","Missing Price",IF(Inventory_Master!O214="","Missing Image",IF(Inventory_Master!S214&gt;0,"Size Price Review",IF(Inventory_Master!C214="ERROR","Validation Error",""))))))</f>
        <v/>
      </c>
      <c r="I214" s="2" t="str">
        <f t="shared" si="7"/>
        <v/>
      </c>
      <c r="J214" s="2" t="str">
        <f t="shared" si="8"/>
        <v/>
      </c>
    </row>
    <row r="215" spans="1:10" ht="12" customHeight="1" x14ac:dyDescent="0.3">
      <c r="A215" s="2" t="str">
        <f>Inventory_Master!D215</f>
        <v/>
      </c>
      <c r="B215" s="2" t="str">
        <f>Inventory_Master!E215</f>
        <v/>
      </c>
      <c r="C215" s="2" t="str">
        <f>Inventory_Master!C215</f>
        <v/>
      </c>
      <c r="D215" s="2" t="str">
        <f>Inventory_Master!R215</f>
        <v/>
      </c>
      <c r="E215" s="2" t="str">
        <f>Inventory_Master!W215</f>
        <v/>
      </c>
      <c r="F215" s="2" t="str">
        <f>IF($A215="","",TRIM(_xludf.textjoin("; ",TRUE(),IF(Inventory_Master!R215&lt;&gt;"OK","Invalid category",""),IF(Inventory_Master!J215="","Missing price_inr",""),IF(Inventory_Master!O215="","Missing image",""),IF(Inventory_Master!S215&gt;0,"Has size variants",""),IF(Inventory_Master!C215="ERROR","Validation error",""),IF(Inventory_Master!C215="WARNING","Review warning",""))))</f>
        <v/>
      </c>
      <c r="G215" s="2" t="str">
        <f t="shared" si="6"/>
        <v>NO</v>
      </c>
      <c r="H215" s="2" t="str">
        <f>IF($A215="","",IF(Inventory_Master!R215&lt;&gt;"OK","Invalid Category",IF(Inventory_Master!J215="","Missing Price",IF(Inventory_Master!O215="","Missing Image",IF(Inventory_Master!S215&gt;0,"Size Price Review",IF(Inventory_Master!C215="ERROR","Validation Error",""))))))</f>
        <v/>
      </c>
      <c r="I215" s="2" t="str">
        <f t="shared" si="7"/>
        <v/>
      </c>
      <c r="J215" s="2" t="str">
        <f t="shared" si="8"/>
        <v/>
      </c>
    </row>
    <row r="216" spans="1:10" ht="12" customHeight="1" x14ac:dyDescent="0.3">
      <c r="A216" s="2" t="str">
        <f>Inventory_Master!D216</f>
        <v/>
      </c>
      <c r="B216" s="2" t="str">
        <f>Inventory_Master!E216</f>
        <v/>
      </c>
      <c r="C216" s="2" t="str">
        <f>Inventory_Master!C216</f>
        <v/>
      </c>
      <c r="D216" s="2" t="str">
        <f>Inventory_Master!R216</f>
        <v/>
      </c>
      <c r="E216" s="2" t="str">
        <f>Inventory_Master!W216</f>
        <v/>
      </c>
      <c r="F216" s="2" t="str">
        <f>IF($A216="","",TRIM(_xludf.textjoin("; ",TRUE(),IF(Inventory_Master!R216&lt;&gt;"OK","Invalid category",""),IF(Inventory_Master!J216="","Missing price_inr",""),IF(Inventory_Master!O216="","Missing image",""),IF(Inventory_Master!S216&gt;0,"Has size variants",""),IF(Inventory_Master!C216="ERROR","Validation error",""),IF(Inventory_Master!C216="WARNING","Review warning",""))))</f>
        <v/>
      </c>
      <c r="G216" s="2" t="str">
        <f t="shared" si="6"/>
        <v>NO</v>
      </c>
      <c r="H216" s="2" t="str">
        <f>IF($A216="","",IF(Inventory_Master!R216&lt;&gt;"OK","Invalid Category",IF(Inventory_Master!J216="","Missing Price",IF(Inventory_Master!O216="","Missing Image",IF(Inventory_Master!S216&gt;0,"Size Price Review",IF(Inventory_Master!C216="ERROR","Validation Error",""))))))</f>
        <v/>
      </c>
      <c r="I216" s="2" t="str">
        <f t="shared" si="7"/>
        <v/>
      </c>
      <c r="J216" s="2" t="str">
        <f t="shared" si="8"/>
        <v/>
      </c>
    </row>
    <row r="217" spans="1:10" ht="12" customHeight="1" x14ac:dyDescent="0.3">
      <c r="A217" s="2" t="str">
        <f>Inventory_Master!D217</f>
        <v/>
      </c>
      <c r="B217" s="2" t="str">
        <f>Inventory_Master!E217</f>
        <v/>
      </c>
      <c r="C217" s="2" t="str">
        <f>Inventory_Master!C217</f>
        <v/>
      </c>
      <c r="D217" s="2" t="str">
        <f>Inventory_Master!R217</f>
        <v/>
      </c>
      <c r="E217" s="2" t="str">
        <f>Inventory_Master!W217</f>
        <v/>
      </c>
      <c r="F217" s="2" t="str">
        <f>IF($A217="","",TRIM(_xludf.textjoin("; ",TRUE(),IF(Inventory_Master!R217&lt;&gt;"OK","Invalid category",""),IF(Inventory_Master!J217="","Missing price_inr",""),IF(Inventory_Master!O217="","Missing image",""),IF(Inventory_Master!S217&gt;0,"Has size variants",""),IF(Inventory_Master!C217="ERROR","Validation error",""),IF(Inventory_Master!C217="WARNING","Review warning",""))))</f>
        <v/>
      </c>
      <c r="G217" s="2" t="str">
        <f t="shared" si="6"/>
        <v>NO</v>
      </c>
      <c r="H217" s="2" t="str">
        <f>IF($A217="","",IF(Inventory_Master!R217&lt;&gt;"OK","Invalid Category",IF(Inventory_Master!J217="","Missing Price",IF(Inventory_Master!O217="","Missing Image",IF(Inventory_Master!S217&gt;0,"Size Price Review",IF(Inventory_Master!C217="ERROR","Validation Error",""))))))</f>
        <v/>
      </c>
      <c r="I217" s="2" t="str">
        <f t="shared" si="7"/>
        <v/>
      </c>
      <c r="J217" s="2" t="str">
        <f t="shared" si="8"/>
        <v/>
      </c>
    </row>
    <row r="218" spans="1:10" ht="12" customHeight="1" x14ac:dyDescent="0.3">
      <c r="A218" s="2" t="str">
        <f>Inventory_Master!D218</f>
        <v/>
      </c>
      <c r="B218" s="2" t="str">
        <f>Inventory_Master!E218</f>
        <v/>
      </c>
      <c r="C218" s="2" t="str">
        <f>Inventory_Master!C218</f>
        <v/>
      </c>
      <c r="D218" s="2" t="str">
        <f>Inventory_Master!R218</f>
        <v/>
      </c>
      <c r="E218" s="2" t="str">
        <f>Inventory_Master!W218</f>
        <v/>
      </c>
      <c r="F218" s="2" t="str">
        <f>IF($A218="","",TRIM(_xludf.textjoin("; ",TRUE(),IF(Inventory_Master!R218&lt;&gt;"OK","Invalid category",""),IF(Inventory_Master!J218="","Missing price_inr",""),IF(Inventory_Master!O218="","Missing image",""),IF(Inventory_Master!S218&gt;0,"Has size variants",""),IF(Inventory_Master!C218="ERROR","Validation error",""),IF(Inventory_Master!C218="WARNING","Review warning",""))))</f>
        <v/>
      </c>
      <c r="G218" s="2" t="str">
        <f t="shared" si="6"/>
        <v>NO</v>
      </c>
      <c r="H218" s="2" t="str">
        <f>IF($A218="","",IF(Inventory_Master!R218&lt;&gt;"OK","Invalid Category",IF(Inventory_Master!J218="","Missing Price",IF(Inventory_Master!O218="","Missing Image",IF(Inventory_Master!S218&gt;0,"Size Price Review",IF(Inventory_Master!C218="ERROR","Validation Error",""))))))</f>
        <v/>
      </c>
      <c r="I218" s="2" t="str">
        <f t="shared" si="7"/>
        <v/>
      </c>
      <c r="J218" s="2" t="str">
        <f t="shared" si="8"/>
        <v/>
      </c>
    </row>
    <row r="219" spans="1:10" ht="12" customHeight="1" x14ac:dyDescent="0.3">
      <c r="A219" s="2" t="str">
        <f>Inventory_Master!D219</f>
        <v/>
      </c>
      <c r="B219" s="2" t="str">
        <f>Inventory_Master!E219</f>
        <v/>
      </c>
      <c r="C219" s="2" t="str">
        <f>Inventory_Master!C219</f>
        <v/>
      </c>
      <c r="D219" s="2" t="str">
        <f>Inventory_Master!R219</f>
        <v/>
      </c>
      <c r="E219" s="2" t="str">
        <f>Inventory_Master!W219</f>
        <v/>
      </c>
      <c r="F219" s="2" t="str">
        <f>IF($A219="","",TRIM(_xludf.textjoin("; ",TRUE(),IF(Inventory_Master!R219&lt;&gt;"OK","Invalid category",""),IF(Inventory_Master!J219="","Missing price_inr",""),IF(Inventory_Master!O219="","Missing image",""),IF(Inventory_Master!S219&gt;0,"Has size variants",""),IF(Inventory_Master!C219="ERROR","Validation error",""),IF(Inventory_Master!C219="WARNING","Review warning",""))))</f>
        <v/>
      </c>
      <c r="G219" s="2" t="str">
        <f t="shared" si="6"/>
        <v>NO</v>
      </c>
      <c r="H219" s="2" t="str">
        <f>IF($A219="","",IF(Inventory_Master!R219&lt;&gt;"OK","Invalid Category",IF(Inventory_Master!J219="","Missing Price",IF(Inventory_Master!O219="","Missing Image",IF(Inventory_Master!S219&gt;0,"Size Price Review",IF(Inventory_Master!C219="ERROR","Validation Error",""))))))</f>
        <v/>
      </c>
      <c r="I219" s="2" t="str">
        <f t="shared" si="7"/>
        <v/>
      </c>
      <c r="J219" s="2" t="str">
        <f t="shared" si="8"/>
        <v/>
      </c>
    </row>
    <row r="220" spans="1:10" ht="12" customHeight="1" x14ac:dyDescent="0.3">
      <c r="A220" s="2" t="str">
        <f>Inventory_Master!D220</f>
        <v/>
      </c>
      <c r="B220" s="2" t="str">
        <f>Inventory_Master!E220</f>
        <v/>
      </c>
      <c r="C220" s="2" t="str">
        <f>Inventory_Master!C220</f>
        <v/>
      </c>
      <c r="D220" s="2" t="str">
        <f>Inventory_Master!R220</f>
        <v/>
      </c>
      <c r="E220" s="2" t="str">
        <f>Inventory_Master!W220</f>
        <v/>
      </c>
      <c r="F220" s="2" t="str">
        <f>IF($A220="","",TRIM(_xludf.textjoin("; ",TRUE(),IF(Inventory_Master!R220&lt;&gt;"OK","Invalid category",""),IF(Inventory_Master!J220="","Missing price_inr",""),IF(Inventory_Master!O220="","Missing image",""),IF(Inventory_Master!S220&gt;0,"Has size variants",""),IF(Inventory_Master!C220="ERROR","Validation error",""),IF(Inventory_Master!C220="WARNING","Review warning",""))))</f>
        <v/>
      </c>
      <c r="G220" s="2" t="str">
        <f t="shared" si="6"/>
        <v>NO</v>
      </c>
      <c r="H220" s="2" t="str">
        <f>IF($A220="","",IF(Inventory_Master!R220&lt;&gt;"OK","Invalid Category",IF(Inventory_Master!J220="","Missing Price",IF(Inventory_Master!O220="","Missing Image",IF(Inventory_Master!S220&gt;0,"Size Price Review",IF(Inventory_Master!C220="ERROR","Validation Error",""))))))</f>
        <v/>
      </c>
      <c r="I220" s="2" t="str">
        <f t="shared" si="7"/>
        <v/>
      </c>
      <c r="J220" s="2" t="str">
        <f t="shared" si="8"/>
        <v/>
      </c>
    </row>
    <row r="221" spans="1:10" ht="12" customHeight="1" x14ac:dyDescent="0.3">
      <c r="A221" s="2" t="str">
        <f>Inventory_Master!D221</f>
        <v/>
      </c>
      <c r="B221" s="2" t="str">
        <f>Inventory_Master!E221</f>
        <v/>
      </c>
      <c r="C221" s="2" t="str">
        <f>Inventory_Master!C221</f>
        <v/>
      </c>
      <c r="D221" s="2" t="str">
        <f>Inventory_Master!R221</f>
        <v/>
      </c>
      <c r="E221" s="2" t="str">
        <f>Inventory_Master!W221</f>
        <v/>
      </c>
      <c r="F221" s="2" t="str">
        <f>IF($A221="","",TRIM(_xludf.textjoin("; ",TRUE(),IF(Inventory_Master!R221&lt;&gt;"OK","Invalid category",""),IF(Inventory_Master!J221="","Missing price_inr",""),IF(Inventory_Master!O221="","Missing image",""),IF(Inventory_Master!S221&gt;0,"Has size variants",""),IF(Inventory_Master!C221="ERROR","Validation error",""),IF(Inventory_Master!C221="WARNING","Review warning",""))))</f>
        <v/>
      </c>
      <c r="G221" s="2" t="str">
        <f t="shared" si="6"/>
        <v>NO</v>
      </c>
      <c r="H221" s="2" t="str">
        <f>IF($A221="","",IF(Inventory_Master!R221&lt;&gt;"OK","Invalid Category",IF(Inventory_Master!J221="","Missing Price",IF(Inventory_Master!O221="","Missing Image",IF(Inventory_Master!S221&gt;0,"Size Price Review",IF(Inventory_Master!C221="ERROR","Validation Error",""))))))</f>
        <v/>
      </c>
      <c r="I221" s="2" t="str">
        <f t="shared" si="7"/>
        <v/>
      </c>
      <c r="J221" s="2" t="str">
        <f t="shared" si="8"/>
        <v/>
      </c>
    </row>
    <row r="222" spans="1:10" ht="12" customHeight="1" x14ac:dyDescent="0.3">
      <c r="A222" s="2" t="str">
        <f>Inventory_Master!D222</f>
        <v/>
      </c>
      <c r="B222" s="2" t="str">
        <f>Inventory_Master!E222</f>
        <v/>
      </c>
      <c r="C222" s="2" t="str">
        <f>Inventory_Master!C222</f>
        <v/>
      </c>
      <c r="D222" s="2" t="str">
        <f>Inventory_Master!R222</f>
        <v/>
      </c>
      <c r="E222" s="2" t="str">
        <f>Inventory_Master!W222</f>
        <v/>
      </c>
      <c r="F222" s="2" t="str">
        <f>IF($A222="","",TRIM(_xludf.textjoin("; ",TRUE(),IF(Inventory_Master!R222&lt;&gt;"OK","Invalid category",""),IF(Inventory_Master!J222="","Missing price_inr",""),IF(Inventory_Master!O222="","Missing image",""),IF(Inventory_Master!S222&gt;0,"Has size variants",""),IF(Inventory_Master!C222="ERROR","Validation error",""),IF(Inventory_Master!C222="WARNING","Review warning",""))))</f>
        <v/>
      </c>
      <c r="G222" s="2" t="str">
        <f t="shared" si="6"/>
        <v>NO</v>
      </c>
      <c r="H222" s="2" t="str">
        <f>IF($A222="","",IF(Inventory_Master!R222&lt;&gt;"OK","Invalid Category",IF(Inventory_Master!J222="","Missing Price",IF(Inventory_Master!O222="","Missing Image",IF(Inventory_Master!S222&gt;0,"Size Price Review",IF(Inventory_Master!C222="ERROR","Validation Error",""))))))</f>
        <v/>
      </c>
      <c r="I222" s="2" t="str">
        <f t="shared" si="7"/>
        <v/>
      </c>
      <c r="J222" s="2" t="str">
        <f t="shared" si="8"/>
        <v/>
      </c>
    </row>
    <row r="223" spans="1:10" ht="12" customHeight="1" x14ac:dyDescent="0.3">
      <c r="A223" s="2" t="str">
        <f>Inventory_Master!D223</f>
        <v/>
      </c>
      <c r="B223" s="2" t="str">
        <f>Inventory_Master!E223</f>
        <v/>
      </c>
      <c r="C223" s="2" t="str">
        <f>Inventory_Master!C223</f>
        <v/>
      </c>
      <c r="D223" s="2" t="str">
        <f>Inventory_Master!R223</f>
        <v/>
      </c>
      <c r="E223" s="2" t="str">
        <f>Inventory_Master!W223</f>
        <v/>
      </c>
      <c r="F223" s="2" t="str">
        <f>IF($A223="","",TRIM(_xludf.textjoin("; ",TRUE(),IF(Inventory_Master!R223&lt;&gt;"OK","Invalid category",""),IF(Inventory_Master!J223="","Missing price_inr",""),IF(Inventory_Master!O223="","Missing image",""),IF(Inventory_Master!S223&gt;0,"Has size variants",""),IF(Inventory_Master!C223="ERROR","Validation error",""),IF(Inventory_Master!C223="WARNING","Review warning",""))))</f>
        <v/>
      </c>
      <c r="G223" s="2" t="str">
        <f t="shared" si="6"/>
        <v>NO</v>
      </c>
      <c r="H223" s="2" t="str">
        <f>IF($A223="","",IF(Inventory_Master!R223&lt;&gt;"OK","Invalid Category",IF(Inventory_Master!J223="","Missing Price",IF(Inventory_Master!O223="","Missing Image",IF(Inventory_Master!S223&gt;0,"Size Price Review",IF(Inventory_Master!C223="ERROR","Validation Error",""))))))</f>
        <v/>
      </c>
      <c r="I223" s="2" t="str">
        <f t="shared" si="7"/>
        <v/>
      </c>
      <c r="J223" s="2" t="str">
        <f t="shared" si="8"/>
        <v/>
      </c>
    </row>
    <row r="224" spans="1:10" ht="12" customHeight="1" x14ac:dyDescent="0.3">
      <c r="A224" s="2" t="str">
        <f>Inventory_Master!D224</f>
        <v/>
      </c>
      <c r="B224" s="2" t="str">
        <f>Inventory_Master!E224</f>
        <v/>
      </c>
      <c r="C224" s="2" t="str">
        <f>Inventory_Master!C224</f>
        <v/>
      </c>
      <c r="D224" s="2" t="str">
        <f>Inventory_Master!R224</f>
        <v/>
      </c>
      <c r="E224" s="2" t="str">
        <f>Inventory_Master!W224</f>
        <v/>
      </c>
      <c r="F224" s="2" t="str">
        <f>IF($A224="","",TRIM(_xludf.textjoin("; ",TRUE(),IF(Inventory_Master!R224&lt;&gt;"OK","Invalid category",""),IF(Inventory_Master!J224="","Missing price_inr",""),IF(Inventory_Master!O224="","Missing image",""),IF(Inventory_Master!S224&gt;0,"Has size variants",""),IF(Inventory_Master!C224="ERROR","Validation error",""),IF(Inventory_Master!C224="WARNING","Review warning",""))))</f>
        <v/>
      </c>
      <c r="G224" s="2" t="str">
        <f t="shared" si="6"/>
        <v>NO</v>
      </c>
      <c r="H224" s="2" t="str">
        <f>IF($A224="","",IF(Inventory_Master!R224&lt;&gt;"OK","Invalid Category",IF(Inventory_Master!J224="","Missing Price",IF(Inventory_Master!O224="","Missing Image",IF(Inventory_Master!S224&gt;0,"Size Price Review",IF(Inventory_Master!C224="ERROR","Validation Error",""))))))</f>
        <v/>
      </c>
      <c r="I224" s="2" t="str">
        <f t="shared" si="7"/>
        <v/>
      </c>
      <c r="J224" s="2" t="str">
        <f t="shared" si="8"/>
        <v/>
      </c>
    </row>
    <row r="225" spans="1:10" ht="12" customHeight="1" x14ac:dyDescent="0.3">
      <c r="A225" s="2" t="str">
        <f>Inventory_Master!D225</f>
        <v/>
      </c>
      <c r="B225" s="2" t="str">
        <f>Inventory_Master!E225</f>
        <v/>
      </c>
      <c r="C225" s="2" t="str">
        <f>Inventory_Master!C225</f>
        <v/>
      </c>
      <c r="D225" s="2" t="str">
        <f>Inventory_Master!R225</f>
        <v/>
      </c>
      <c r="E225" s="2" t="str">
        <f>Inventory_Master!W225</f>
        <v/>
      </c>
      <c r="F225" s="2" t="str">
        <f>IF($A225="","",TRIM(_xludf.textjoin("; ",TRUE(),IF(Inventory_Master!R225&lt;&gt;"OK","Invalid category",""),IF(Inventory_Master!J225="","Missing price_inr",""),IF(Inventory_Master!O225="","Missing image",""),IF(Inventory_Master!S225&gt;0,"Has size variants",""),IF(Inventory_Master!C225="ERROR","Validation error",""),IF(Inventory_Master!C225="WARNING","Review warning",""))))</f>
        <v/>
      </c>
      <c r="G225" s="2" t="str">
        <f t="shared" si="6"/>
        <v>NO</v>
      </c>
      <c r="H225" s="2" t="str">
        <f>IF($A225="","",IF(Inventory_Master!R225&lt;&gt;"OK","Invalid Category",IF(Inventory_Master!J225="","Missing Price",IF(Inventory_Master!O225="","Missing Image",IF(Inventory_Master!S225&gt;0,"Size Price Review",IF(Inventory_Master!C225="ERROR","Validation Error",""))))))</f>
        <v/>
      </c>
      <c r="I225" s="2" t="str">
        <f t="shared" si="7"/>
        <v/>
      </c>
      <c r="J225" s="2" t="str">
        <f t="shared" si="8"/>
        <v/>
      </c>
    </row>
    <row r="226" spans="1:10" ht="12" customHeight="1" x14ac:dyDescent="0.3">
      <c r="A226" s="2" t="str">
        <f>Inventory_Master!D226</f>
        <v/>
      </c>
      <c r="B226" s="2" t="str">
        <f>Inventory_Master!E226</f>
        <v/>
      </c>
      <c r="C226" s="2" t="str">
        <f>Inventory_Master!C226</f>
        <v/>
      </c>
      <c r="D226" s="2" t="str">
        <f>Inventory_Master!R226</f>
        <v/>
      </c>
      <c r="E226" s="2" t="str">
        <f>Inventory_Master!W226</f>
        <v/>
      </c>
      <c r="F226" s="2" t="str">
        <f>IF($A226="","",TRIM(_xludf.textjoin("; ",TRUE(),IF(Inventory_Master!R226&lt;&gt;"OK","Invalid category",""),IF(Inventory_Master!J226="","Missing price_inr",""),IF(Inventory_Master!O226="","Missing image",""),IF(Inventory_Master!S226&gt;0,"Has size variants",""),IF(Inventory_Master!C226="ERROR","Validation error",""),IF(Inventory_Master!C226="WARNING","Review warning",""))))</f>
        <v/>
      </c>
      <c r="G226" s="2" t="str">
        <f t="shared" si="6"/>
        <v>NO</v>
      </c>
      <c r="H226" s="2" t="str">
        <f>IF($A226="","",IF(Inventory_Master!R226&lt;&gt;"OK","Invalid Category",IF(Inventory_Master!J226="","Missing Price",IF(Inventory_Master!O226="","Missing Image",IF(Inventory_Master!S226&gt;0,"Size Price Review",IF(Inventory_Master!C226="ERROR","Validation Error",""))))))</f>
        <v/>
      </c>
      <c r="I226" s="2" t="str">
        <f t="shared" si="7"/>
        <v/>
      </c>
      <c r="J226" s="2" t="str">
        <f t="shared" si="8"/>
        <v/>
      </c>
    </row>
    <row r="227" spans="1:10" ht="12" customHeight="1" x14ac:dyDescent="0.3">
      <c r="A227" s="2" t="str">
        <f>Inventory_Master!D227</f>
        <v/>
      </c>
      <c r="B227" s="2" t="str">
        <f>Inventory_Master!E227</f>
        <v/>
      </c>
      <c r="C227" s="2" t="str">
        <f>Inventory_Master!C227</f>
        <v/>
      </c>
      <c r="D227" s="2" t="str">
        <f>Inventory_Master!R227</f>
        <v/>
      </c>
      <c r="E227" s="2" t="str">
        <f>Inventory_Master!W227</f>
        <v/>
      </c>
      <c r="F227" s="2" t="str">
        <f>IF($A227="","",TRIM(_xludf.textjoin("; ",TRUE(),IF(Inventory_Master!R227&lt;&gt;"OK","Invalid category",""),IF(Inventory_Master!J227="","Missing price_inr",""),IF(Inventory_Master!O227="","Missing image",""),IF(Inventory_Master!S227&gt;0,"Has size variants",""),IF(Inventory_Master!C227="ERROR","Validation error",""),IF(Inventory_Master!C227="WARNING","Review warning",""))))</f>
        <v/>
      </c>
      <c r="G227" s="2" t="str">
        <f t="shared" si="6"/>
        <v>NO</v>
      </c>
      <c r="H227" s="2" t="str">
        <f>IF($A227="","",IF(Inventory_Master!R227&lt;&gt;"OK","Invalid Category",IF(Inventory_Master!J227="","Missing Price",IF(Inventory_Master!O227="","Missing Image",IF(Inventory_Master!S227&gt;0,"Size Price Review",IF(Inventory_Master!C227="ERROR","Validation Error",""))))))</f>
        <v/>
      </c>
      <c r="I227" s="2" t="str">
        <f t="shared" si="7"/>
        <v/>
      </c>
      <c r="J227" s="2" t="str">
        <f t="shared" si="8"/>
        <v/>
      </c>
    </row>
    <row r="228" spans="1:10" ht="12" customHeight="1" x14ac:dyDescent="0.3">
      <c r="A228" s="2" t="str">
        <f>Inventory_Master!D228</f>
        <v/>
      </c>
      <c r="B228" s="2" t="str">
        <f>Inventory_Master!E228</f>
        <v/>
      </c>
      <c r="C228" s="2" t="str">
        <f>Inventory_Master!C228</f>
        <v/>
      </c>
      <c r="D228" s="2" t="str">
        <f>Inventory_Master!R228</f>
        <v/>
      </c>
      <c r="E228" s="2" t="str">
        <f>Inventory_Master!W228</f>
        <v/>
      </c>
      <c r="F228" s="2" t="str">
        <f>IF($A228="","",TRIM(_xludf.textjoin("; ",TRUE(),IF(Inventory_Master!R228&lt;&gt;"OK","Invalid category",""),IF(Inventory_Master!J228="","Missing price_inr",""),IF(Inventory_Master!O228="","Missing image",""),IF(Inventory_Master!S228&gt;0,"Has size variants",""),IF(Inventory_Master!C228="ERROR","Validation error",""),IF(Inventory_Master!C228="WARNING","Review warning",""))))</f>
        <v/>
      </c>
      <c r="G228" s="2" t="str">
        <f t="shared" si="6"/>
        <v>NO</v>
      </c>
      <c r="H228" s="2" t="str">
        <f>IF($A228="","",IF(Inventory_Master!R228&lt;&gt;"OK","Invalid Category",IF(Inventory_Master!J228="","Missing Price",IF(Inventory_Master!O228="","Missing Image",IF(Inventory_Master!S228&gt;0,"Size Price Review",IF(Inventory_Master!C228="ERROR","Validation Error",""))))))</f>
        <v/>
      </c>
      <c r="I228" s="2" t="str">
        <f t="shared" si="7"/>
        <v/>
      </c>
      <c r="J228" s="2" t="str">
        <f t="shared" si="8"/>
        <v/>
      </c>
    </row>
    <row r="229" spans="1:10" ht="12" customHeight="1" x14ac:dyDescent="0.3">
      <c r="A229" s="2" t="str">
        <f>Inventory_Master!D229</f>
        <v/>
      </c>
      <c r="B229" s="2" t="str">
        <f>Inventory_Master!E229</f>
        <v/>
      </c>
      <c r="C229" s="2" t="str">
        <f>Inventory_Master!C229</f>
        <v/>
      </c>
      <c r="D229" s="2" t="str">
        <f>Inventory_Master!R229</f>
        <v/>
      </c>
      <c r="E229" s="2" t="str">
        <f>Inventory_Master!W229</f>
        <v/>
      </c>
      <c r="F229" s="2" t="str">
        <f>IF($A229="","",TRIM(_xludf.textjoin("; ",TRUE(),IF(Inventory_Master!R229&lt;&gt;"OK","Invalid category",""),IF(Inventory_Master!J229="","Missing price_inr",""),IF(Inventory_Master!O229="","Missing image",""),IF(Inventory_Master!S229&gt;0,"Has size variants",""),IF(Inventory_Master!C229="ERROR","Validation error",""),IF(Inventory_Master!C229="WARNING","Review warning",""))))</f>
        <v/>
      </c>
      <c r="G229" s="2" t="str">
        <f t="shared" si="6"/>
        <v>NO</v>
      </c>
      <c r="H229" s="2" t="str">
        <f>IF($A229="","",IF(Inventory_Master!R229&lt;&gt;"OK","Invalid Category",IF(Inventory_Master!J229="","Missing Price",IF(Inventory_Master!O229="","Missing Image",IF(Inventory_Master!S229&gt;0,"Size Price Review",IF(Inventory_Master!C229="ERROR","Validation Error",""))))))</f>
        <v/>
      </c>
      <c r="I229" s="2" t="str">
        <f t="shared" si="7"/>
        <v/>
      </c>
      <c r="J229" s="2" t="str">
        <f t="shared" si="8"/>
        <v/>
      </c>
    </row>
    <row r="230" spans="1:10" ht="12" customHeight="1" x14ac:dyDescent="0.3">
      <c r="A230" s="2" t="str">
        <f>Inventory_Master!D230</f>
        <v/>
      </c>
      <c r="B230" s="2" t="str">
        <f>Inventory_Master!E230</f>
        <v/>
      </c>
      <c r="C230" s="2" t="str">
        <f>Inventory_Master!C230</f>
        <v/>
      </c>
      <c r="D230" s="2" t="str">
        <f>Inventory_Master!R230</f>
        <v/>
      </c>
      <c r="E230" s="2" t="str">
        <f>Inventory_Master!W230</f>
        <v/>
      </c>
      <c r="F230" s="2" t="str">
        <f>IF($A230="","",TRIM(_xludf.textjoin("; ",TRUE(),IF(Inventory_Master!R230&lt;&gt;"OK","Invalid category",""),IF(Inventory_Master!J230="","Missing price_inr",""),IF(Inventory_Master!O230="","Missing image",""),IF(Inventory_Master!S230&gt;0,"Has size variants",""),IF(Inventory_Master!C230="ERROR","Validation error",""),IF(Inventory_Master!C230="WARNING","Review warning",""))))</f>
        <v/>
      </c>
      <c r="G230" s="2" t="str">
        <f t="shared" si="6"/>
        <v>NO</v>
      </c>
      <c r="H230" s="2" t="str">
        <f>IF($A230="","",IF(Inventory_Master!R230&lt;&gt;"OK","Invalid Category",IF(Inventory_Master!J230="","Missing Price",IF(Inventory_Master!O230="","Missing Image",IF(Inventory_Master!S230&gt;0,"Size Price Review",IF(Inventory_Master!C230="ERROR","Validation Error",""))))))</f>
        <v/>
      </c>
      <c r="I230" s="2" t="str">
        <f t="shared" si="7"/>
        <v/>
      </c>
      <c r="J230" s="2" t="str">
        <f t="shared" si="8"/>
        <v/>
      </c>
    </row>
    <row r="231" spans="1:10" ht="12" customHeight="1" x14ac:dyDescent="0.3">
      <c r="A231" s="2" t="str">
        <f>Inventory_Master!D231</f>
        <v/>
      </c>
      <c r="B231" s="2" t="str">
        <f>Inventory_Master!E231</f>
        <v/>
      </c>
      <c r="C231" s="2" t="str">
        <f>Inventory_Master!C231</f>
        <v/>
      </c>
      <c r="D231" s="2" t="str">
        <f>Inventory_Master!R231</f>
        <v/>
      </c>
      <c r="E231" s="2" t="str">
        <f>Inventory_Master!W231</f>
        <v/>
      </c>
      <c r="F231" s="2" t="str">
        <f>IF($A231="","",TRIM(_xludf.textjoin("; ",TRUE(),IF(Inventory_Master!R231&lt;&gt;"OK","Invalid category",""),IF(Inventory_Master!J231="","Missing price_inr",""),IF(Inventory_Master!O231="","Missing image",""),IF(Inventory_Master!S231&gt;0,"Has size variants",""),IF(Inventory_Master!C231="ERROR","Validation error",""),IF(Inventory_Master!C231="WARNING","Review warning",""))))</f>
        <v/>
      </c>
      <c r="G231" s="2" t="str">
        <f t="shared" si="6"/>
        <v>NO</v>
      </c>
      <c r="H231" s="2" t="str">
        <f>IF($A231="","",IF(Inventory_Master!R231&lt;&gt;"OK","Invalid Category",IF(Inventory_Master!J231="","Missing Price",IF(Inventory_Master!O231="","Missing Image",IF(Inventory_Master!S231&gt;0,"Size Price Review",IF(Inventory_Master!C231="ERROR","Validation Error",""))))))</f>
        <v/>
      </c>
      <c r="I231" s="2" t="str">
        <f t="shared" si="7"/>
        <v/>
      </c>
      <c r="J231" s="2" t="str">
        <f t="shared" si="8"/>
        <v/>
      </c>
    </row>
    <row r="232" spans="1:10" ht="12" customHeight="1" x14ac:dyDescent="0.3">
      <c r="A232" s="2" t="str">
        <f>Inventory_Master!D232</f>
        <v/>
      </c>
      <c r="B232" s="2" t="str">
        <f>Inventory_Master!E232</f>
        <v/>
      </c>
      <c r="C232" s="2" t="str">
        <f>Inventory_Master!C232</f>
        <v/>
      </c>
      <c r="D232" s="2" t="str">
        <f>Inventory_Master!R232</f>
        <v/>
      </c>
      <c r="E232" s="2" t="str">
        <f>Inventory_Master!W232</f>
        <v/>
      </c>
      <c r="F232" s="2" t="str">
        <f>IF($A232="","",TRIM(_xludf.textjoin("; ",TRUE(),IF(Inventory_Master!R232&lt;&gt;"OK","Invalid category",""),IF(Inventory_Master!J232="","Missing price_inr",""),IF(Inventory_Master!O232="","Missing image",""),IF(Inventory_Master!S232&gt;0,"Has size variants",""),IF(Inventory_Master!C232="ERROR","Validation error",""),IF(Inventory_Master!C232="WARNING","Review warning",""))))</f>
        <v/>
      </c>
      <c r="G232" s="2" t="str">
        <f t="shared" si="6"/>
        <v>NO</v>
      </c>
      <c r="H232" s="2" t="str">
        <f>IF($A232="","",IF(Inventory_Master!R232&lt;&gt;"OK","Invalid Category",IF(Inventory_Master!J232="","Missing Price",IF(Inventory_Master!O232="","Missing Image",IF(Inventory_Master!S232&gt;0,"Size Price Review",IF(Inventory_Master!C232="ERROR","Validation Error",""))))))</f>
        <v/>
      </c>
      <c r="I232" s="2" t="str">
        <f t="shared" si="7"/>
        <v/>
      </c>
      <c r="J232" s="2" t="str">
        <f t="shared" si="8"/>
        <v/>
      </c>
    </row>
    <row r="233" spans="1:10" ht="12" customHeight="1" x14ac:dyDescent="0.3">
      <c r="A233" s="2" t="str">
        <f>Inventory_Master!D233</f>
        <v/>
      </c>
      <c r="B233" s="2" t="str">
        <f>Inventory_Master!E233</f>
        <v/>
      </c>
      <c r="C233" s="2" t="str">
        <f>Inventory_Master!C233</f>
        <v/>
      </c>
      <c r="D233" s="2" t="str">
        <f>Inventory_Master!R233</f>
        <v/>
      </c>
      <c r="E233" s="2" t="str">
        <f>Inventory_Master!W233</f>
        <v/>
      </c>
      <c r="F233" s="2" t="str">
        <f>IF($A233="","",TRIM(_xludf.textjoin("; ",TRUE(),IF(Inventory_Master!R233&lt;&gt;"OK","Invalid category",""),IF(Inventory_Master!J233="","Missing price_inr",""),IF(Inventory_Master!O233="","Missing image",""),IF(Inventory_Master!S233&gt;0,"Has size variants",""),IF(Inventory_Master!C233="ERROR","Validation error",""),IF(Inventory_Master!C233="WARNING","Review warning",""))))</f>
        <v/>
      </c>
      <c r="G233" s="2" t="str">
        <f t="shared" si="6"/>
        <v>NO</v>
      </c>
      <c r="H233" s="2" t="str">
        <f>IF($A233="","",IF(Inventory_Master!R233&lt;&gt;"OK","Invalid Category",IF(Inventory_Master!J233="","Missing Price",IF(Inventory_Master!O233="","Missing Image",IF(Inventory_Master!S233&gt;0,"Size Price Review",IF(Inventory_Master!C233="ERROR","Validation Error",""))))))</f>
        <v/>
      </c>
      <c r="I233" s="2" t="str">
        <f t="shared" si="7"/>
        <v/>
      </c>
      <c r="J233" s="2" t="str">
        <f t="shared" si="8"/>
        <v/>
      </c>
    </row>
    <row r="234" spans="1:10" ht="12" customHeight="1" x14ac:dyDescent="0.3">
      <c r="A234" s="2" t="str">
        <f>Inventory_Master!D234</f>
        <v/>
      </c>
      <c r="B234" s="2" t="str">
        <f>Inventory_Master!E234</f>
        <v/>
      </c>
      <c r="C234" s="2" t="str">
        <f>Inventory_Master!C234</f>
        <v/>
      </c>
      <c r="D234" s="2" t="str">
        <f>Inventory_Master!R234</f>
        <v/>
      </c>
      <c r="E234" s="2" t="str">
        <f>Inventory_Master!W234</f>
        <v/>
      </c>
      <c r="F234" s="2" t="str">
        <f>IF($A234="","",TRIM(_xludf.textjoin("; ",TRUE(),IF(Inventory_Master!R234&lt;&gt;"OK","Invalid category",""),IF(Inventory_Master!J234="","Missing price_inr",""),IF(Inventory_Master!O234="","Missing image",""),IF(Inventory_Master!S234&gt;0,"Has size variants",""),IF(Inventory_Master!C234="ERROR","Validation error",""),IF(Inventory_Master!C234="WARNING","Review warning",""))))</f>
        <v/>
      </c>
      <c r="G234" s="2" t="str">
        <f t="shared" si="6"/>
        <v>NO</v>
      </c>
      <c r="H234" s="2" t="str">
        <f>IF($A234="","",IF(Inventory_Master!R234&lt;&gt;"OK","Invalid Category",IF(Inventory_Master!J234="","Missing Price",IF(Inventory_Master!O234="","Missing Image",IF(Inventory_Master!S234&gt;0,"Size Price Review",IF(Inventory_Master!C234="ERROR","Validation Error",""))))))</f>
        <v/>
      </c>
      <c r="I234" s="2" t="str">
        <f t="shared" si="7"/>
        <v/>
      </c>
      <c r="J234" s="2" t="str">
        <f t="shared" si="8"/>
        <v/>
      </c>
    </row>
    <row r="235" spans="1:10" ht="12" customHeight="1" x14ac:dyDescent="0.3">
      <c r="A235" s="2" t="str">
        <f>Inventory_Master!D235</f>
        <v/>
      </c>
      <c r="B235" s="2" t="str">
        <f>Inventory_Master!E235</f>
        <v/>
      </c>
      <c r="C235" s="2" t="str">
        <f>Inventory_Master!C235</f>
        <v/>
      </c>
      <c r="D235" s="2" t="str">
        <f>Inventory_Master!R235</f>
        <v/>
      </c>
      <c r="E235" s="2" t="str">
        <f>Inventory_Master!W235</f>
        <v/>
      </c>
      <c r="F235" s="2" t="str">
        <f>IF($A235="","",TRIM(_xludf.textjoin("; ",TRUE(),IF(Inventory_Master!R235&lt;&gt;"OK","Invalid category",""),IF(Inventory_Master!J235="","Missing price_inr",""),IF(Inventory_Master!O235="","Missing image",""),IF(Inventory_Master!S235&gt;0,"Has size variants",""),IF(Inventory_Master!C235="ERROR","Validation error",""),IF(Inventory_Master!C235="WARNING","Review warning",""))))</f>
        <v/>
      </c>
      <c r="G235" s="2" t="str">
        <f t="shared" si="6"/>
        <v>NO</v>
      </c>
      <c r="H235" s="2" t="str">
        <f>IF($A235="","",IF(Inventory_Master!R235&lt;&gt;"OK","Invalid Category",IF(Inventory_Master!J235="","Missing Price",IF(Inventory_Master!O235="","Missing Image",IF(Inventory_Master!S235&gt;0,"Size Price Review",IF(Inventory_Master!C235="ERROR","Validation Error",""))))))</f>
        <v/>
      </c>
      <c r="I235" s="2" t="str">
        <f t="shared" si="7"/>
        <v/>
      </c>
      <c r="J235" s="2" t="str">
        <f t="shared" si="8"/>
        <v/>
      </c>
    </row>
    <row r="236" spans="1:10" ht="12" customHeight="1" x14ac:dyDescent="0.3">
      <c r="A236" s="2" t="str">
        <f>Inventory_Master!D236</f>
        <v/>
      </c>
      <c r="B236" s="2" t="str">
        <f>Inventory_Master!E236</f>
        <v/>
      </c>
      <c r="C236" s="2" t="str">
        <f>Inventory_Master!C236</f>
        <v/>
      </c>
      <c r="D236" s="2" t="str">
        <f>Inventory_Master!R236</f>
        <v/>
      </c>
      <c r="E236" s="2" t="str">
        <f>Inventory_Master!W236</f>
        <v/>
      </c>
      <c r="F236" s="2" t="str">
        <f>IF($A236="","",TRIM(_xludf.textjoin("; ",TRUE(),IF(Inventory_Master!R236&lt;&gt;"OK","Invalid category",""),IF(Inventory_Master!J236="","Missing price_inr",""),IF(Inventory_Master!O236="","Missing image",""),IF(Inventory_Master!S236&gt;0,"Has size variants",""),IF(Inventory_Master!C236="ERROR","Validation error",""),IF(Inventory_Master!C236="WARNING","Review warning",""))))</f>
        <v/>
      </c>
      <c r="G236" s="2" t="str">
        <f t="shared" si="6"/>
        <v>NO</v>
      </c>
      <c r="H236" s="2" t="str">
        <f>IF($A236="","",IF(Inventory_Master!R236&lt;&gt;"OK","Invalid Category",IF(Inventory_Master!J236="","Missing Price",IF(Inventory_Master!O236="","Missing Image",IF(Inventory_Master!S236&gt;0,"Size Price Review",IF(Inventory_Master!C236="ERROR","Validation Error",""))))))</f>
        <v/>
      </c>
      <c r="I236" s="2" t="str">
        <f t="shared" si="7"/>
        <v/>
      </c>
      <c r="J236" s="2" t="str">
        <f t="shared" si="8"/>
        <v/>
      </c>
    </row>
    <row r="237" spans="1:10" ht="12" customHeight="1" x14ac:dyDescent="0.3">
      <c r="A237" s="2" t="str">
        <f>Inventory_Master!D237</f>
        <v/>
      </c>
      <c r="B237" s="2" t="str">
        <f>Inventory_Master!E237</f>
        <v/>
      </c>
      <c r="C237" s="2" t="str">
        <f>Inventory_Master!C237</f>
        <v/>
      </c>
      <c r="D237" s="2" t="str">
        <f>Inventory_Master!R237</f>
        <v/>
      </c>
      <c r="E237" s="2" t="str">
        <f>Inventory_Master!W237</f>
        <v/>
      </c>
      <c r="F237" s="2" t="str">
        <f>IF($A237="","",TRIM(_xludf.textjoin("; ",TRUE(),IF(Inventory_Master!R237&lt;&gt;"OK","Invalid category",""),IF(Inventory_Master!J237="","Missing price_inr",""),IF(Inventory_Master!O237="","Missing image",""),IF(Inventory_Master!S237&gt;0,"Has size variants",""),IF(Inventory_Master!C237="ERROR","Validation error",""),IF(Inventory_Master!C237="WARNING","Review warning",""))))</f>
        <v/>
      </c>
      <c r="G237" s="2" t="str">
        <f t="shared" si="6"/>
        <v>NO</v>
      </c>
      <c r="H237" s="2" t="str">
        <f>IF($A237="","",IF(Inventory_Master!R237&lt;&gt;"OK","Invalid Category",IF(Inventory_Master!J237="","Missing Price",IF(Inventory_Master!O237="","Missing Image",IF(Inventory_Master!S237&gt;0,"Size Price Review",IF(Inventory_Master!C237="ERROR","Validation Error",""))))))</f>
        <v/>
      </c>
      <c r="I237" s="2" t="str">
        <f t="shared" si="7"/>
        <v/>
      </c>
      <c r="J237" s="2" t="str">
        <f t="shared" si="8"/>
        <v/>
      </c>
    </row>
    <row r="238" spans="1:10" ht="12" customHeight="1" x14ac:dyDescent="0.3">
      <c r="A238" s="2" t="str">
        <f>Inventory_Master!D238</f>
        <v/>
      </c>
      <c r="B238" s="2" t="str">
        <f>Inventory_Master!E238</f>
        <v/>
      </c>
      <c r="C238" s="2" t="str">
        <f>Inventory_Master!C238</f>
        <v/>
      </c>
      <c r="D238" s="2" t="str">
        <f>Inventory_Master!R238</f>
        <v/>
      </c>
      <c r="E238" s="2" t="str">
        <f>Inventory_Master!W238</f>
        <v/>
      </c>
      <c r="F238" s="2" t="str">
        <f>IF($A238="","",TRIM(_xludf.textjoin("; ",TRUE(),IF(Inventory_Master!R238&lt;&gt;"OK","Invalid category",""),IF(Inventory_Master!J238="","Missing price_inr",""),IF(Inventory_Master!O238="","Missing image",""),IF(Inventory_Master!S238&gt;0,"Has size variants",""),IF(Inventory_Master!C238="ERROR","Validation error",""),IF(Inventory_Master!C238="WARNING","Review warning",""))))</f>
        <v/>
      </c>
      <c r="G238" s="2" t="str">
        <f t="shared" si="6"/>
        <v>NO</v>
      </c>
      <c r="H238" s="2" t="str">
        <f>IF($A238="","",IF(Inventory_Master!R238&lt;&gt;"OK","Invalid Category",IF(Inventory_Master!J238="","Missing Price",IF(Inventory_Master!O238="","Missing Image",IF(Inventory_Master!S238&gt;0,"Size Price Review",IF(Inventory_Master!C238="ERROR","Validation Error",""))))))</f>
        <v/>
      </c>
      <c r="I238" s="2" t="str">
        <f t="shared" si="7"/>
        <v/>
      </c>
      <c r="J238" s="2" t="str">
        <f t="shared" si="8"/>
        <v/>
      </c>
    </row>
    <row r="239" spans="1:10" ht="12" customHeight="1" x14ac:dyDescent="0.3">
      <c r="A239" s="2" t="str">
        <f>Inventory_Master!D239</f>
        <v/>
      </c>
      <c r="B239" s="2" t="str">
        <f>Inventory_Master!E239</f>
        <v/>
      </c>
      <c r="C239" s="2" t="str">
        <f>Inventory_Master!C239</f>
        <v/>
      </c>
      <c r="D239" s="2" t="str">
        <f>Inventory_Master!R239</f>
        <v/>
      </c>
      <c r="E239" s="2" t="str">
        <f>Inventory_Master!W239</f>
        <v/>
      </c>
      <c r="F239" s="2" t="str">
        <f>IF($A239="","",TRIM(_xludf.textjoin("; ",TRUE(),IF(Inventory_Master!R239&lt;&gt;"OK","Invalid category",""),IF(Inventory_Master!J239="","Missing price_inr",""),IF(Inventory_Master!O239="","Missing image",""),IF(Inventory_Master!S239&gt;0,"Has size variants",""),IF(Inventory_Master!C239="ERROR","Validation error",""),IF(Inventory_Master!C239="WARNING","Review warning",""))))</f>
        <v/>
      </c>
      <c r="G239" s="2" t="str">
        <f t="shared" si="6"/>
        <v>NO</v>
      </c>
      <c r="H239" s="2" t="str">
        <f>IF($A239="","",IF(Inventory_Master!R239&lt;&gt;"OK","Invalid Category",IF(Inventory_Master!J239="","Missing Price",IF(Inventory_Master!O239="","Missing Image",IF(Inventory_Master!S239&gt;0,"Size Price Review",IF(Inventory_Master!C239="ERROR","Validation Error",""))))))</f>
        <v/>
      </c>
      <c r="I239" s="2" t="str">
        <f t="shared" si="7"/>
        <v/>
      </c>
      <c r="J239" s="2" t="str">
        <f t="shared" si="8"/>
        <v/>
      </c>
    </row>
    <row r="240" spans="1:10" ht="12" customHeight="1" x14ac:dyDescent="0.3">
      <c r="A240" s="2" t="str">
        <f>Inventory_Master!D240</f>
        <v/>
      </c>
      <c r="B240" s="2" t="str">
        <f>Inventory_Master!E240</f>
        <v/>
      </c>
      <c r="C240" s="2" t="str">
        <f>Inventory_Master!C240</f>
        <v/>
      </c>
      <c r="D240" s="2" t="str">
        <f>Inventory_Master!R240</f>
        <v/>
      </c>
      <c r="E240" s="2" t="str">
        <f>Inventory_Master!W240</f>
        <v/>
      </c>
      <c r="F240" s="2" t="str">
        <f>IF($A240="","",TRIM(_xludf.textjoin("; ",TRUE(),IF(Inventory_Master!R240&lt;&gt;"OK","Invalid category",""),IF(Inventory_Master!J240="","Missing price_inr",""),IF(Inventory_Master!O240="","Missing image",""),IF(Inventory_Master!S240&gt;0,"Has size variants",""),IF(Inventory_Master!C240="ERROR","Validation error",""),IF(Inventory_Master!C240="WARNING","Review warning",""))))</f>
        <v/>
      </c>
      <c r="G240" s="2" t="str">
        <f t="shared" si="6"/>
        <v>NO</v>
      </c>
      <c r="H240" s="2" t="str">
        <f>IF($A240="","",IF(Inventory_Master!R240&lt;&gt;"OK","Invalid Category",IF(Inventory_Master!J240="","Missing Price",IF(Inventory_Master!O240="","Missing Image",IF(Inventory_Master!S240&gt;0,"Size Price Review",IF(Inventory_Master!C240="ERROR","Validation Error",""))))))</f>
        <v/>
      </c>
      <c r="I240" s="2" t="str">
        <f t="shared" si="7"/>
        <v/>
      </c>
      <c r="J240" s="2" t="str">
        <f t="shared" si="8"/>
        <v/>
      </c>
    </row>
    <row r="241" spans="1:10" ht="12" customHeight="1" x14ac:dyDescent="0.3">
      <c r="A241" s="2" t="str">
        <f>Inventory_Master!D241</f>
        <v/>
      </c>
      <c r="B241" s="2" t="str">
        <f>Inventory_Master!E241</f>
        <v/>
      </c>
      <c r="C241" s="2" t="str">
        <f>Inventory_Master!C241</f>
        <v/>
      </c>
      <c r="D241" s="2" t="str">
        <f>Inventory_Master!R241</f>
        <v/>
      </c>
      <c r="E241" s="2" t="str">
        <f>Inventory_Master!W241</f>
        <v/>
      </c>
      <c r="F241" s="2" t="str">
        <f>IF($A241="","",TRIM(_xludf.textjoin("; ",TRUE(),IF(Inventory_Master!R241&lt;&gt;"OK","Invalid category",""),IF(Inventory_Master!J241="","Missing price_inr",""),IF(Inventory_Master!O241="","Missing image",""),IF(Inventory_Master!S241&gt;0,"Has size variants",""),IF(Inventory_Master!C241="ERROR","Validation error",""),IF(Inventory_Master!C241="WARNING","Review warning",""))))</f>
        <v/>
      </c>
      <c r="G241" s="2" t="str">
        <f t="shared" si="6"/>
        <v>NO</v>
      </c>
      <c r="H241" s="2" t="str">
        <f>IF($A241="","",IF(Inventory_Master!R241&lt;&gt;"OK","Invalid Category",IF(Inventory_Master!J241="","Missing Price",IF(Inventory_Master!O241="","Missing Image",IF(Inventory_Master!S241&gt;0,"Size Price Review",IF(Inventory_Master!C241="ERROR","Validation Error",""))))))</f>
        <v/>
      </c>
      <c r="I241" s="2" t="str">
        <f t="shared" si="7"/>
        <v/>
      </c>
      <c r="J241" s="2" t="str">
        <f t="shared" si="8"/>
        <v/>
      </c>
    </row>
    <row r="242" spans="1:10" ht="12" customHeight="1" x14ac:dyDescent="0.3">
      <c r="A242" s="2" t="str">
        <f>Inventory_Master!D242</f>
        <v/>
      </c>
      <c r="B242" s="2" t="str">
        <f>Inventory_Master!E242</f>
        <v/>
      </c>
      <c r="C242" s="2" t="str">
        <f>Inventory_Master!C242</f>
        <v/>
      </c>
      <c r="D242" s="2" t="str">
        <f>Inventory_Master!R242</f>
        <v/>
      </c>
      <c r="E242" s="2" t="str">
        <f>Inventory_Master!W242</f>
        <v/>
      </c>
      <c r="F242" s="2" t="str">
        <f>IF($A242="","",TRIM(_xludf.textjoin("; ",TRUE(),IF(Inventory_Master!R242&lt;&gt;"OK","Invalid category",""),IF(Inventory_Master!J242="","Missing price_inr",""),IF(Inventory_Master!O242="","Missing image",""),IF(Inventory_Master!S242&gt;0,"Has size variants",""),IF(Inventory_Master!C242="ERROR","Validation error",""),IF(Inventory_Master!C242="WARNING","Review warning",""))))</f>
        <v/>
      </c>
      <c r="G242" s="2" t="str">
        <f t="shared" ref="G242:G305" si="9">IF($F242="","NO","YES")</f>
        <v>NO</v>
      </c>
      <c r="H242" s="2" t="str">
        <f>IF($A242="","",IF(Inventory_Master!R242&lt;&gt;"OK","Invalid Category",IF(Inventory_Master!J242="","Missing Price",IF(Inventory_Master!O242="","Missing Image",IF(Inventory_Master!S242&gt;0,"Size Price Review",IF(Inventory_Master!C242="ERROR","Validation Error",""))))))</f>
        <v/>
      </c>
      <c r="I242" s="2" t="str">
        <f t="shared" ref="I242:I305" si="10">IF($G242="NO","",IF(OR($H242="Invalid Category",$H242="Missing Price",$H242="Validation Error"),"HIGH","MEDIUM"))</f>
        <v/>
      </c>
      <c r="J242" s="2" t="str">
        <f t="shared" ref="J242:J305" si="11">IF($G242="NO","",IF($H242="Size Price Review","REVIEW",IF($H242="Missing Image","REVIEW","REVIEW")))</f>
        <v/>
      </c>
    </row>
    <row r="243" spans="1:10" ht="12" customHeight="1" x14ac:dyDescent="0.3">
      <c r="A243" s="2" t="str">
        <f>Inventory_Master!D243</f>
        <v/>
      </c>
      <c r="B243" s="2" t="str">
        <f>Inventory_Master!E243</f>
        <v/>
      </c>
      <c r="C243" s="2" t="str">
        <f>Inventory_Master!C243</f>
        <v/>
      </c>
      <c r="D243" s="2" t="str">
        <f>Inventory_Master!R243</f>
        <v/>
      </c>
      <c r="E243" s="2" t="str">
        <f>Inventory_Master!W243</f>
        <v/>
      </c>
      <c r="F243" s="2" t="str">
        <f>IF($A243="","",TRIM(_xludf.textjoin("; ",TRUE(),IF(Inventory_Master!R243&lt;&gt;"OK","Invalid category",""),IF(Inventory_Master!J243="","Missing price_inr",""),IF(Inventory_Master!O243="","Missing image",""),IF(Inventory_Master!S243&gt;0,"Has size variants",""),IF(Inventory_Master!C243="ERROR","Validation error",""),IF(Inventory_Master!C243="WARNING","Review warning",""))))</f>
        <v/>
      </c>
      <c r="G243" s="2" t="str">
        <f t="shared" si="9"/>
        <v>NO</v>
      </c>
      <c r="H243" s="2" t="str">
        <f>IF($A243="","",IF(Inventory_Master!R243&lt;&gt;"OK","Invalid Category",IF(Inventory_Master!J243="","Missing Price",IF(Inventory_Master!O243="","Missing Image",IF(Inventory_Master!S243&gt;0,"Size Price Review",IF(Inventory_Master!C243="ERROR","Validation Error",""))))))</f>
        <v/>
      </c>
      <c r="I243" s="2" t="str">
        <f t="shared" si="10"/>
        <v/>
      </c>
      <c r="J243" s="2" t="str">
        <f t="shared" si="11"/>
        <v/>
      </c>
    </row>
    <row r="244" spans="1:10" ht="12" customHeight="1" x14ac:dyDescent="0.3">
      <c r="A244" s="2" t="str">
        <f>Inventory_Master!D244</f>
        <v/>
      </c>
      <c r="B244" s="2" t="str">
        <f>Inventory_Master!E244</f>
        <v/>
      </c>
      <c r="C244" s="2" t="str">
        <f>Inventory_Master!C244</f>
        <v/>
      </c>
      <c r="D244" s="2" t="str">
        <f>Inventory_Master!R244</f>
        <v/>
      </c>
      <c r="E244" s="2" t="str">
        <f>Inventory_Master!W244</f>
        <v/>
      </c>
      <c r="F244" s="2" t="str">
        <f>IF($A244="","",TRIM(_xludf.textjoin("; ",TRUE(),IF(Inventory_Master!R244&lt;&gt;"OK","Invalid category",""),IF(Inventory_Master!J244="","Missing price_inr",""),IF(Inventory_Master!O244="","Missing image",""),IF(Inventory_Master!S244&gt;0,"Has size variants",""),IF(Inventory_Master!C244="ERROR","Validation error",""),IF(Inventory_Master!C244="WARNING","Review warning",""))))</f>
        <v/>
      </c>
      <c r="G244" s="2" t="str">
        <f t="shared" si="9"/>
        <v>NO</v>
      </c>
      <c r="H244" s="2" t="str">
        <f>IF($A244="","",IF(Inventory_Master!R244&lt;&gt;"OK","Invalid Category",IF(Inventory_Master!J244="","Missing Price",IF(Inventory_Master!O244="","Missing Image",IF(Inventory_Master!S244&gt;0,"Size Price Review",IF(Inventory_Master!C244="ERROR","Validation Error",""))))))</f>
        <v/>
      </c>
      <c r="I244" s="2" t="str">
        <f t="shared" si="10"/>
        <v/>
      </c>
      <c r="J244" s="2" t="str">
        <f t="shared" si="11"/>
        <v/>
      </c>
    </row>
    <row r="245" spans="1:10" ht="12" customHeight="1" x14ac:dyDescent="0.3">
      <c r="A245" s="2" t="str">
        <f>Inventory_Master!D245</f>
        <v/>
      </c>
      <c r="B245" s="2" t="str">
        <f>Inventory_Master!E245</f>
        <v/>
      </c>
      <c r="C245" s="2" t="str">
        <f>Inventory_Master!C245</f>
        <v/>
      </c>
      <c r="D245" s="2" t="str">
        <f>Inventory_Master!R245</f>
        <v/>
      </c>
      <c r="E245" s="2" t="str">
        <f>Inventory_Master!W245</f>
        <v/>
      </c>
      <c r="F245" s="2" t="str">
        <f>IF($A245="","",TRIM(_xludf.textjoin("; ",TRUE(),IF(Inventory_Master!R245&lt;&gt;"OK","Invalid category",""),IF(Inventory_Master!J245="","Missing price_inr",""),IF(Inventory_Master!O245="","Missing image",""),IF(Inventory_Master!S245&gt;0,"Has size variants",""),IF(Inventory_Master!C245="ERROR","Validation error",""),IF(Inventory_Master!C245="WARNING","Review warning",""))))</f>
        <v/>
      </c>
      <c r="G245" s="2" t="str">
        <f t="shared" si="9"/>
        <v>NO</v>
      </c>
      <c r="H245" s="2" t="str">
        <f>IF($A245="","",IF(Inventory_Master!R245&lt;&gt;"OK","Invalid Category",IF(Inventory_Master!J245="","Missing Price",IF(Inventory_Master!O245="","Missing Image",IF(Inventory_Master!S245&gt;0,"Size Price Review",IF(Inventory_Master!C245="ERROR","Validation Error",""))))))</f>
        <v/>
      </c>
      <c r="I245" s="2" t="str">
        <f t="shared" si="10"/>
        <v/>
      </c>
      <c r="J245" s="2" t="str">
        <f t="shared" si="11"/>
        <v/>
      </c>
    </row>
    <row r="246" spans="1:10" ht="12" customHeight="1" x14ac:dyDescent="0.3">
      <c r="A246" s="2" t="str">
        <f>Inventory_Master!D246</f>
        <v/>
      </c>
      <c r="B246" s="2" t="str">
        <f>Inventory_Master!E246</f>
        <v/>
      </c>
      <c r="C246" s="2" t="str">
        <f>Inventory_Master!C246</f>
        <v/>
      </c>
      <c r="D246" s="2" t="str">
        <f>Inventory_Master!R246</f>
        <v/>
      </c>
      <c r="E246" s="2" t="str">
        <f>Inventory_Master!W246</f>
        <v/>
      </c>
      <c r="F246" s="2" t="str">
        <f>IF($A246="","",TRIM(_xludf.textjoin("; ",TRUE(),IF(Inventory_Master!R246&lt;&gt;"OK","Invalid category",""),IF(Inventory_Master!J246="","Missing price_inr",""),IF(Inventory_Master!O246="","Missing image",""),IF(Inventory_Master!S246&gt;0,"Has size variants",""),IF(Inventory_Master!C246="ERROR","Validation error",""),IF(Inventory_Master!C246="WARNING","Review warning",""))))</f>
        <v/>
      </c>
      <c r="G246" s="2" t="str">
        <f t="shared" si="9"/>
        <v>NO</v>
      </c>
      <c r="H246" s="2" t="str">
        <f>IF($A246="","",IF(Inventory_Master!R246&lt;&gt;"OK","Invalid Category",IF(Inventory_Master!J246="","Missing Price",IF(Inventory_Master!O246="","Missing Image",IF(Inventory_Master!S246&gt;0,"Size Price Review",IF(Inventory_Master!C246="ERROR","Validation Error",""))))))</f>
        <v/>
      </c>
      <c r="I246" s="2" t="str">
        <f t="shared" si="10"/>
        <v/>
      </c>
      <c r="J246" s="2" t="str">
        <f t="shared" si="11"/>
        <v/>
      </c>
    </row>
    <row r="247" spans="1:10" ht="12" customHeight="1" x14ac:dyDescent="0.3">
      <c r="A247" s="2" t="str">
        <f>Inventory_Master!D247</f>
        <v/>
      </c>
      <c r="B247" s="2" t="str">
        <f>Inventory_Master!E247</f>
        <v/>
      </c>
      <c r="C247" s="2" t="str">
        <f>Inventory_Master!C247</f>
        <v/>
      </c>
      <c r="D247" s="2" t="str">
        <f>Inventory_Master!R247</f>
        <v/>
      </c>
      <c r="E247" s="2" t="str">
        <f>Inventory_Master!W247</f>
        <v/>
      </c>
      <c r="F247" s="2" t="str">
        <f>IF($A247="","",TRIM(_xludf.textjoin("; ",TRUE(),IF(Inventory_Master!R247&lt;&gt;"OK","Invalid category",""),IF(Inventory_Master!J247="","Missing price_inr",""),IF(Inventory_Master!O247="","Missing image",""),IF(Inventory_Master!S247&gt;0,"Has size variants",""),IF(Inventory_Master!C247="ERROR","Validation error",""),IF(Inventory_Master!C247="WARNING","Review warning",""))))</f>
        <v/>
      </c>
      <c r="G247" s="2" t="str">
        <f t="shared" si="9"/>
        <v>NO</v>
      </c>
      <c r="H247" s="2" t="str">
        <f>IF($A247="","",IF(Inventory_Master!R247&lt;&gt;"OK","Invalid Category",IF(Inventory_Master!J247="","Missing Price",IF(Inventory_Master!O247="","Missing Image",IF(Inventory_Master!S247&gt;0,"Size Price Review",IF(Inventory_Master!C247="ERROR","Validation Error",""))))))</f>
        <v/>
      </c>
      <c r="I247" s="2" t="str">
        <f t="shared" si="10"/>
        <v/>
      </c>
      <c r="J247" s="2" t="str">
        <f t="shared" si="11"/>
        <v/>
      </c>
    </row>
    <row r="248" spans="1:10" ht="12" customHeight="1" x14ac:dyDescent="0.3">
      <c r="A248" s="2" t="str">
        <f>Inventory_Master!D248</f>
        <v/>
      </c>
      <c r="B248" s="2" t="str">
        <f>Inventory_Master!E248</f>
        <v/>
      </c>
      <c r="C248" s="2" t="str">
        <f>Inventory_Master!C248</f>
        <v/>
      </c>
      <c r="D248" s="2" t="str">
        <f>Inventory_Master!R248</f>
        <v/>
      </c>
      <c r="E248" s="2" t="str">
        <f>Inventory_Master!W248</f>
        <v/>
      </c>
      <c r="F248" s="2" t="str">
        <f>IF($A248="","",TRIM(_xludf.textjoin("; ",TRUE(),IF(Inventory_Master!R248&lt;&gt;"OK","Invalid category",""),IF(Inventory_Master!J248="","Missing price_inr",""),IF(Inventory_Master!O248="","Missing image",""),IF(Inventory_Master!S248&gt;0,"Has size variants",""),IF(Inventory_Master!C248="ERROR","Validation error",""),IF(Inventory_Master!C248="WARNING","Review warning",""))))</f>
        <v/>
      </c>
      <c r="G248" s="2" t="str">
        <f t="shared" si="9"/>
        <v>NO</v>
      </c>
      <c r="H248" s="2" t="str">
        <f>IF($A248="","",IF(Inventory_Master!R248&lt;&gt;"OK","Invalid Category",IF(Inventory_Master!J248="","Missing Price",IF(Inventory_Master!O248="","Missing Image",IF(Inventory_Master!S248&gt;0,"Size Price Review",IF(Inventory_Master!C248="ERROR","Validation Error",""))))))</f>
        <v/>
      </c>
      <c r="I248" s="2" t="str">
        <f t="shared" si="10"/>
        <v/>
      </c>
      <c r="J248" s="2" t="str">
        <f t="shared" si="11"/>
        <v/>
      </c>
    </row>
    <row r="249" spans="1:10" ht="12" customHeight="1" x14ac:dyDescent="0.3">
      <c r="A249" s="2" t="str">
        <f>Inventory_Master!D249</f>
        <v/>
      </c>
      <c r="B249" s="2" t="str">
        <f>Inventory_Master!E249</f>
        <v/>
      </c>
      <c r="C249" s="2" t="str">
        <f>Inventory_Master!C249</f>
        <v/>
      </c>
      <c r="D249" s="2" t="str">
        <f>Inventory_Master!R249</f>
        <v/>
      </c>
      <c r="E249" s="2" t="str">
        <f>Inventory_Master!W249</f>
        <v/>
      </c>
      <c r="F249" s="2" t="str">
        <f>IF($A249="","",TRIM(_xludf.textjoin("; ",TRUE(),IF(Inventory_Master!R249&lt;&gt;"OK","Invalid category",""),IF(Inventory_Master!J249="","Missing price_inr",""),IF(Inventory_Master!O249="","Missing image",""),IF(Inventory_Master!S249&gt;0,"Has size variants",""),IF(Inventory_Master!C249="ERROR","Validation error",""),IF(Inventory_Master!C249="WARNING","Review warning",""))))</f>
        <v/>
      </c>
      <c r="G249" s="2" t="str">
        <f t="shared" si="9"/>
        <v>NO</v>
      </c>
      <c r="H249" s="2" t="str">
        <f>IF($A249="","",IF(Inventory_Master!R249&lt;&gt;"OK","Invalid Category",IF(Inventory_Master!J249="","Missing Price",IF(Inventory_Master!O249="","Missing Image",IF(Inventory_Master!S249&gt;0,"Size Price Review",IF(Inventory_Master!C249="ERROR","Validation Error",""))))))</f>
        <v/>
      </c>
      <c r="I249" s="2" t="str">
        <f t="shared" si="10"/>
        <v/>
      </c>
      <c r="J249" s="2" t="str">
        <f t="shared" si="11"/>
        <v/>
      </c>
    </row>
    <row r="250" spans="1:10" ht="12" customHeight="1" x14ac:dyDescent="0.3">
      <c r="A250" s="2" t="str">
        <f>Inventory_Master!D250</f>
        <v/>
      </c>
      <c r="B250" s="2" t="str">
        <f>Inventory_Master!E250</f>
        <v/>
      </c>
      <c r="C250" s="2" t="str">
        <f>Inventory_Master!C250</f>
        <v/>
      </c>
      <c r="D250" s="2" t="str">
        <f>Inventory_Master!R250</f>
        <v/>
      </c>
      <c r="E250" s="2" t="str">
        <f>Inventory_Master!W250</f>
        <v/>
      </c>
      <c r="F250" s="2" t="str">
        <f>IF($A250="","",TRIM(_xludf.textjoin("; ",TRUE(),IF(Inventory_Master!R250&lt;&gt;"OK","Invalid category",""),IF(Inventory_Master!J250="","Missing price_inr",""),IF(Inventory_Master!O250="","Missing image",""),IF(Inventory_Master!S250&gt;0,"Has size variants",""),IF(Inventory_Master!C250="ERROR","Validation error",""),IF(Inventory_Master!C250="WARNING","Review warning",""))))</f>
        <v/>
      </c>
      <c r="G250" s="2" t="str">
        <f t="shared" si="9"/>
        <v>NO</v>
      </c>
      <c r="H250" s="2" t="str">
        <f>IF($A250="","",IF(Inventory_Master!R250&lt;&gt;"OK","Invalid Category",IF(Inventory_Master!J250="","Missing Price",IF(Inventory_Master!O250="","Missing Image",IF(Inventory_Master!S250&gt;0,"Size Price Review",IF(Inventory_Master!C250="ERROR","Validation Error",""))))))</f>
        <v/>
      </c>
      <c r="I250" s="2" t="str">
        <f t="shared" si="10"/>
        <v/>
      </c>
      <c r="J250" s="2" t="str">
        <f t="shared" si="11"/>
        <v/>
      </c>
    </row>
    <row r="251" spans="1:10" ht="12" customHeight="1" x14ac:dyDescent="0.3">
      <c r="A251" s="2" t="str">
        <f>Inventory_Master!D251</f>
        <v/>
      </c>
      <c r="B251" s="2" t="str">
        <f>Inventory_Master!E251</f>
        <v/>
      </c>
      <c r="C251" s="2" t="str">
        <f>Inventory_Master!C251</f>
        <v/>
      </c>
      <c r="D251" s="2" t="str">
        <f>Inventory_Master!R251</f>
        <v/>
      </c>
      <c r="E251" s="2" t="str">
        <f>Inventory_Master!W251</f>
        <v/>
      </c>
      <c r="F251" s="2" t="str">
        <f>IF($A251="","",TRIM(_xludf.textjoin("; ",TRUE(),IF(Inventory_Master!R251&lt;&gt;"OK","Invalid category",""),IF(Inventory_Master!J251="","Missing price_inr",""),IF(Inventory_Master!O251="","Missing image",""),IF(Inventory_Master!S251&gt;0,"Has size variants",""),IF(Inventory_Master!C251="ERROR","Validation error",""),IF(Inventory_Master!C251="WARNING","Review warning",""))))</f>
        <v/>
      </c>
      <c r="G251" s="2" t="str">
        <f t="shared" si="9"/>
        <v>NO</v>
      </c>
      <c r="H251" s="2" t="str">
        <f>IF($A251="","",IF(Inventory_Master!R251&lt;&gt;"OK","Invalid Category",IF(Inventory_Master!J251="","Missing Price",IF(Inventory_Master!O251="","Missing Image",IF(Inventory_Master!S251&gt;0,"Size Price Review",IF(Inventory_Master!C251="ERROR","Validation Error",""))))))</f>
        <v/>
      </c>
      <c r="I251" s="2" t="str">
        <f t="shared" si="10"/>
        <v/>
      </c>
      <c r="J251" s="2" t="str">
        <f t="shared" si="11"/>
        <v/>
      </c>
    </row>
    <row r="252" spans="1:10" ht="12" customHeight="1" x14ac:dyDescent="0.3">
      <c r="A252" s="2" t="str">
        <f>Inventory_Master!D252</f>
        <v/>
      </c>
      <c r="B252" s="2" t="str">
        <f>Inventory_Master!E252</f>
        <v/>
      </c>
      <c r="C252" s="2" t="str">
        <f>Inventory_Master!C252</f>
        <v/>
      </c>
      <c r="D252" s="2" t="str">
        <f>Inventory_Master!R252</f>
        <v/>
      </c>
      <c r="E252" s="2" t="str">
        <f>Inventory_Master!W252</f>
        <v/>
      </c>
      <c r="F252" s="2" t="str">
        <f>IF($A252="","",TRIM(_xludf.textjoin("; ",TRUE(),IF(Inventory_Master!R252&lt;&gt;"OK","Invalid category",""),IF(Inventory_Master!J252="","Missing price_inr",""),IF(Inventory_Master!O252="","Missing image",""),IF(Inventory_Master!S252&gt;0,"Has size variants",""),IF(Inventory_Master!C252="ERROR","Validation error",""),IF(Inventory_Master!C252="WARNING","Review warning",""))))</f>
        <v/>
      </c>
      <c r="G252" s="2" t="str">
        <f t="shared" si="9"/>
        <v>NO</v>
      </c>
      <c r="H252" s="2" t="str">
        <f>IF($A252="","",IF(Inventory_Master!R252&lt;&gt;"OK","Invalid Category",IF(Inventory_Master!J252="","Missing Price",IF(Inventory_Master!O252="","Missing Image",IF(Inventory_Master!S252&gt;0,"Size Price Review",IF(Inventory_Master!C252="ERROR","Validation Error",""))))))</f>
        <v/>
      </c>
      <c r="I252" s="2" t="str">
        <f t="shared" si="10"/>
        <v/>
      </c>
      <c r="J252" s="2" t="str">
        <f t="shared" si="11"/>
        <v/>
      </c>
    </row>
    <row r="253" spans="1:10" ht="12" customHeight="1" x14ac:dyDescent="0.3">
      <c r="A253" s="2" t="str">
        <f>Inventory_Master!D253</f>
        <v/>
      </c>
      <c r="B253" s="2" t="str">
        <f>Inventory_Master!E253</f>
        <v/>
      </c>
      <c r="C253" s="2" t="str">
        <f>Inventory_Master!C253</f>
        <v/>
      </c>
      <c r="D253" s="2" t="str">
        <f>Inventory_Master!R253</f>
        <v/>
      </c>
      <c r="E253" s="2" t="str">
        <f>Inventory_Master!W253</f>
        <v/>
      </c>
      <c r="F253" s="2" t="str">
        <f>IF($A253="","",TRIM(_xludf.textjoin("; ",TRUE(),IF(Inventory_Master!R253&lt;&gt;"OK","Invalid category",""),IF(Inventory_Master!J253="","Missing price_inr",""),IF(Inventory_Master!O253="","Missing image",""),IF(Inventory_Master!S253&gt;0,"Has size variants",""),IF(Inventory_Master!C253="ERROR","Validation error",""),IF(Inventory_Master!C253="WARNING","Review warning",""))))</f>
        <v/>
      </c>
      <c r="G253" s="2" t="str">
        <f t="shared" si="9"/>
        <v>NO</v>
      </c>
      <c r="H253" s="2" t="str">
        <f>IF($A253="","",IF(Inventory_Master!R253&lt;&gt;"OK","Invalid Category",IF(Inventory_Master!J253="","Missing Price",IF(Inventory_Master!O253="","Missing Image",IF(Inventory_Master!S253&gt;0,"Size Price Review",IF(Inventory_Master!C253="ERROR","Validation Error",""))))))</f>
        <v/>
      </c>
      <c r="I253" s="2" t="str">
        <f t="shared" si="10"/>
        <v/>
      </c>
      <c r="J253" s="2" t="str">
        <f t="shared" si="11"/>
        <v/>
      </c>
    </row>
    <row r="254" spans="1:10" ht="12" customHeight="1" x14ac:dyDescent="0.3">
      <c r="A254" s="2" t="str">
        <f>Inventory_Master!D254</f>
        <v/>
      </c>
      <c r="B254" s="2" t="str">
        <f>Inventory_Master!E254</f>
        <v/>
      </c>
      <c r="C254" s="2" t="str">
        <f>Inventory_Master!C254</f>
        <v/>
      </c>
      <c r="D254" s="2" t="str">
        <f>Inventory_Master!R254</f>
        <v/>
      </c>
      <c r="E254" s="2" t="str">
        <f>Inventory_Master!W254</f>
        <v/>
      </c>
      <c r="F254" s="2" t="str">
        <f>IF($A254="","",TRIM(_xludf.textjoin("; ",TRUE(),IF(Inventory_Master!R254&lt;&gt;"OK","Invalid category",""),IF(Inventory_Master!J254="","Missing price_inr",""),IF(Inventory_Master!O254="","Missing image",""),IF(Inventory_Master!S254&gt;0,"Has size variants",""),IF(Inventory_Master!C254="ERROR","Validation error",""),IF(Inventory_Master!C254="WARNING","Review warning",""))))</f>
        <v/>
      </c>
      <c r="G254" s="2" t="str">
        <f t="shared" si="9"/>
        <v>NO</v>
      </c>
      <c r="H254" s="2" t="str">
        <f>IF($A254="","",IF(Inventory_Master!R254&lt;&gt;"OK","Invalid Category",IF(Inventory_Master!J254="","Missing Price",IF(Inventory_Master!O254="","Missing Image",IF(Inventory_Master!S254&gt;0,"Size Price Review",IF(Inventory_Master!C254="ERROR","Validation Error",""))))))</f>
        <v/>
      </c>
      <c r="I254" s="2" t="str">
        <f t="shared" si="10"/>
        <v/>
      </c>
      <c r="J254" s="2" t="str">
        <f t="shared" si="11"/>
        <v/>
      </c>
    </row>
    <row r="255" spans="1:10" ht="12" customHeight="1" x14ac:dyDescent="0.3">
      <c r="A255" s="2" t="str">
        <f>Inventory_Master!D255</f>
        <v/>
      </c>
      <c r="B255" s="2" t="str">
        <f>Inventory_Master!E255</f>
        <v/>
      </c>
      <c r="C255" s="2" t="str">
        <f>Inventory_Master!C255</f>
        <v/>
      </c>
      <c r="D255" s="2" t="str">
        <f>Inventory_Master!R255</f>
        <v/>
      </c>
      <c r="E255" s="2" t="str">
        <f>Inventory_Master!W255</f>
        <v/>
      </c>
      <c r="F255" s="2" t="str">
        <f>IF($A255="","",TRIM(_xludf.textjoin("; ",TRUE(),IF(Inventory_Master!R255&lt;&gt;"OK","Invalid category",""),IF(Inventory_Master!J255="","Missing price_inr",""),IF(Inventory_Master!O255="","Missing image",""),IF(Inventory_Master!S255&gt;0,"Has size variants",""),IF(Inventory_Master!C255="ERROR","Validation error",""),IF(Inventory_Master!C255="WARNING","Review warning",""))))</f>
        <v/>
      </c>
      <c r="G255" s="2" t="str">
        <f t="shared" si="9"/>
        <v>NO</v>
      </c>
      <c r="H255" s="2" t="str">
        <f>IF($A255="","",IF(Inventory_Master!R255&lt;&gt;"OK","Invalid Category",IF(Inventory_Master!J255="","Missing Price",IF(Inventory_Master!O255="","Missing Image",IF(Inventory_Master!S255&gt;0,"Size Price Review",IF(Inventory_Master!C255="ERROR","Validation Error",""))))))</f>
        <v/>
      </c>
      <c r="I255" s="2" t="str">
        <f t="shared" si="10"/>
        <v/>
      </c>
      <c r="J255" s="2" t="str">
        <f t="shared" si="11"/>
        <v/>
      </c>
    </row>
    <row r="256" spans="1:10" ht="12" customHeight="1" x14ac:dyDescent="0.3">
      <c r="A256" s="2" t="str">
        <f>Inventory_Master!D256</f>
        <v/>
      </c>
      <c r="B256" s="2" t="str">
        <f>Inventory_Master!E256</f>
        <v/>
      </c>
      <c r="C256" s="2" t="str">
        <f>Inventory_Master!C256</f>
        <v/>
      </c>
      <c r="D256" s="2" t="str">
        <f>Inventory_Master!R256</f>
        <v/>
      </c>
      <c r="E256" s="2" t="str">
        <f>Inventory_Master!W256</f>
        <v/>
      </c>
      <c r="F256" s="2" t="str">
        <f>IF($A256="","",TRIM(_xludf.textjoin("; ",TRUE(),IF(Inventory_Master!R256&lt;&gt;"OK","Invalid category",""),IF(Inventory_Master!J256="","Missing price_inr",""),IF(Inventory_Master!O256="","Missing image",""),IF(Inventory_Master!S256&gt;0,"Has size variants",""),IF(Inventory_Master!C256="ERROR","Validation error",""),IF(Inventory_Master!C256="WARNING","Review warning",""))))</f>
        <v/>
      </c>
      <c r="G256" s="2" t="str">
        <f t="shared" si="9"/>
        <v>NO</v>
      </c>
      <c r="H256" s="2" t="str">
        <f>IF($A256="","",IF(Inventory_Master!R256&lt;&gt;"OK","Invalid Category",IF(Inventory_Master!J256="","Missing Price",IF(Inventory_Master!O256="","Missing Image",IF(Inventory_Master!S256&gt;0,"Size Price Review",IF(Inventory_Master!C256="ERROR","Validation Error",""))))))</f>
        <v/>
      </c>
      <c r="I256" s="2" t="str">
        <f t="shared" si="10"/>
        <v/>
      </c>
      <c r="J256" s="2" t="str">
        <f t="shared" si="11"/>
        <v/>
      </c>
    </row>
    <row r="257" spans="1:10" ht="12" customHeight="1" x14ac:dyDescent="0.3">
      <c r="A257" s="2" t="str">
        <f>Inventory_Master!D257</f>
        <v/>
      </c>
      <c r="B257" s="2" t="str">
        <f>Inventory_Master!E257</f>
        <v/>
      </c>
      <c r="C257" s="2" t="str">
        <f>Inventory_Master!C257</f>
        <v/>
      </c>
      <c r="D257" s="2" t="str">
        <f>Inventory_Master!R257</f>
        <v/>
      </c>
      <c r="E257" s="2" t="str">
        <f>Inventory_Master!W257</f>
        <v/>
      </c>
      <c r="F257" s="2" t="str">
        <f>IF($A257="","",TRIM(_xludf.textjoin("; ",TRUE(),IF(Inventory_Master!R257&lt;&gt;"OK","Invalid category",""),IF(Inventory_Master!J257="","Missing price_inr",""),IF(Inventory_Master!O257="","Missing image",""),IF(Inventory_Master!S257&gt;0,"Has size variants",""),IF(Inventory_Master!C257="ERROR","Validation error",""),IF(Inventory_Master!C257="WARNING","Review warning",""))))</f>
        <v/>
      </c>
      <c r="G257" s="2" t="str">
        <f t="shared" si="9"/>
        <v>NO</v>
      </c>
      <c r="H257" s="2" t="str">
        <f>IF($A257="","",IF(Inventory_Master!R257&lt;&gt;"OK","Invalid Category",IF(Inventory_Master!J257="","Missing Price",IF(Inventory_Master!O257="","Missing Image",IF(Inventory_Master!S257&gt;0,"Size Price Review",IF(Inventory_Master!C257="ERROR","Validation Error",""))))))</f>
        <v/>
      </c>
      <c r="I257" s="2" t="str">
        <f t="shared" si="10"/>
        <v/>
      </c>
      <c r="J257" s="2" t="str">
        <f t="shared" si="11"/>
        <v/>
      </c>
    </row>
    <row r="258" spans="1:10" ht="12" customHeight="1" x14ac:dyDescent="0.3">
      <c r="A258" s="2" t="str">
        <f>Inventory_Master!D258</f>
        <v/>
      </c>
      <c r="B258" s="2" t="str">
        <f>Inventory_Master!E258</f>
        <v/>
      </c>
      <c r="C258" s="2" t="str">
        <f>Inventory_Master!C258</f>
        <v/>
      </c>
      <c r="D258" s="2" t="str">
        <f>Inventory_Master!R258</f>
        <v/>
      </c>
      <c r="E258" s="2" t="str">
        <f>Inventory_Master!W258</f>
        <v/>
      </c>
      <c r="F258" s="2" t="str">
        <f>IF($A258="","",TRIM(_xludf.textjoin("; ",TRUE(),IF(Inventory_Master!R258&lt;&gt;"OK","Invalid category",""),IF(Inventory_Master!J258="","Missing price_inr",""),IF(Inventory_Master!O258="","Missing image",""),IF(Inventory_Master!S258&gt;0,"Has size variants",""),IF(Inventory_Master!C258="ERROR","Validation error",""),IF(Inventory_Master!C258="WARNING","Review warning",""))))</f>
        <v/>
      </c>
      <c r="G258" s="2" t="str">
        <f t="shared" si="9"/>
        <v>NO</v>
      </c>
      <c r="H258" s="2" t="str">
        <f>IF($A258="","",IF(Inventory_Master!R258&lt;&gt;"OK","Invalid Category",IF(Inventory_Master!J258="","Missing Price",IF(Inventory_Master!O258="","Missing Image",IF(Inventory_Master!S258&gt;0,"Size Price Review",IF(Inventory_Master!C258="ERROR","Validation Error",""))))))</f>
        <v/>
      </c>
      <c r="I258" s="2" t="str">
        <f t="shared" si="10"/>
        <v/>
      </c>
      <c r="J258" s="2" t="str">
        <f t="shared" si="11"/>
        <v/>
      </c>
    </row>
    <row r="259" spans="1:10" ht="12" customHeight="1" x14ac:dyDescent="0.3">
      <c r="A259" s="2" t="str">
        <f>Inventory_Master!D259</f>
        <v/>
      </c>
      <c r="B259" s="2" t="str">
        <f>Inventory_Master!E259</f>
        <v/>
      </c>
      <c r="C259" s="2" t="str">
        <f>Inventory_Master!C259</f>
        <v/>
      </c>
      <c r="D259" s="2" t="str">
        <f>Inventory_Master!R259</f>
        <v/>
      </c>
      <c r="E259" s="2" t="str">
        <f>Inventory_Master!W259</f>
        <v/>
      </c>
      <c r="F259" s="2" t="str">
        <f>IF($A259="","",TRIM(_xludf.textjoin("; ",TRUE(),IF(Inventory_Master!R259&lt;&gt;"OK","Invalid category",""),IF(Inventory_Master!J259="","Missing price_inr",""),IF(Inventory_Master!O259="","Missing image",""),IF(Inventory_Master!S259&gt;0,"Has size variants",""),IF(Inventory_Master!C259="ERROR","Validation error",""),IF(Inventory_Master!C259="WARNING","Review warning",""))))</f>
        <v/>
      </c>
      <c r="G259" s="2" t="str">
        <f t="shared" si="9"/>
        <v>NO</v>
      </c>
      <c r="H259" s="2" t="str">
        <f>IF($A259="","",IF(Inventory_Master!R259&lt;&gt;"OK","Invalid Category",IF(Inventory_Master!J259="","Missing Price",IF(Inventory_Master!O259="","Missing Image",IF(Inventory_Master!S259&gt;0,"Size Price Review",IF(Inventory_Master!C259="ERROR","Validation Error",""))))))</f>
        <v/>
      </c>
      <c r="I259" s="2" t="str">
        <f t="shared" si="10"/>
        <v/>
      </c>
      <c r="J259" s="2" t="str">
        <f t="shared" si="11"/>
        <v/>
      </c>
    </row>
    <row r="260" spans="1:10" ht="12" customHeight="1" x14ac:dyDescent="0.3">
      <c r="A260" s="2" t="str">
        <f>Inventory_Master!D260</f>
        <v/>
      </c>
      <c r="B260" s="2" t="str">
        <f>Inventory_Master!E260</f>
        <v/>
      </c>
      <c r="C260" s="2" t="str">
        <f>Inventory_Master!C260</f>
        <v/>
      </c>
      <c r="D260" s="2" t="str">
        <f>Inventory_Master!R260</f>
        <v/>
      </c>
      <c r="E260" s="2" t="str">
        <f>Inventory_Master!W260</f>
        <v/>
      </c>
      <c r="F260" s="2" t="str">
        <f>IF($A260="","",TRIM(_xludf.textjoin("; ",TRUE(),IF(Inventory_Master!R260&lt;&gt;"OK","Invalid category",""),IF(Inventory_Master!J260="","Missing price_inr",""),IF(Inventory_Master!O260="","Missing image",""),IF(Inventory_Master!S260&gt;0,"Has size variants",""),IF(Inventory_Master!C260="ERROR","Validation error",""),IF(Inventory_Master!C260="WARNING","Review warning",""))))</f>
        <v/>
      </c>
      <c r="G260" s="2" t="str">
        <f t="shared" si="9"/>
        <v>NO</v>
      </c>
      <c r="H260" s="2" t="str">
        <f>IF($A260="","",IF(Inventory_Master!R260&lt;&gt;"OK","Invalid Category",IF(Inventory_Master!J260="","Missing Price",IF(Inventory_Master!O260="","Missing Image",IF(Inventory_Master!S260&gt;0,"Size Price Review",IF(Inventory_Master!C260="ERROR","Validation Error",""))))))</f>
        <v/>
      </c>
      <c r="I260" s="2" t="str">
        <f t="shared" si="10"/>
        <v/>
      </c>
      <c r="J260" s="2" t="str">
        <f t="shared" si="11"/>
        <v/>
      </c>
    </row>
    <row r="261" spans="1:10" ht="12" customHeight="1" x14ac:dyDescent="0.3">
      <c r="A261" s="2" t="str">
        <f>Inventory_Master!D261</f>
        <v/>
      </c>
      <c r="B261" s="2" t="str">
        <f>Inventory_Master!E261</f>
        <v/>
      </c>
      <c r="C261" s="2" t="str">
        <f>Inventory_Master!C261</f>
        <v/>
      </c>
      <c r="D261" s="2" t="str">
        <f>Inventory_Master!R261</f>
        <v/>
      </c>
      <c r="E261" s="2" t="str">
        <f>Inventory_Master!W261</f>
        <v/>
      </c>
      <c r="F261" s="2" t="str">
        <f>IF($A261="","",TRIM(_xludf.textjoin("; ",TRUE(),IF(Inventory_Master!R261&lt;&gt;"OK","Invalid category",""),IF(Inventory_Master!J261="","Missing price_inr",""),IF(Inventory_Master!O261="","Missing image",""),IF(Inventory_Master!S261&gt;0,"Has size variants",""),IF(Inventory_Master!C261="ERROR","Validation error",""),IF(Inventory_Master!C261="WARNING","Review warning",""))))</f>
        <v/>
      </c>
      <c r="G261" s="2" t="str">
        <f t="shared" si="9"/>
        <v>NO</v>
      </c>
      <c r="H261" s="2" t="str">
        <f>IF($A261="","",IF(Inventory_Master!R261&lt;&gt;"OK","Invalid Category",IF(Inventory_Master!J261="","Missing Price",IF(Inventory_Master!O261="","Missing Image",IF(Inventory_Master!S261&gt;0,"Size Price Review",IF(Inventory_Master!C261="ERROR","Validation Error",""))))))</f>
        <v/>
      </c>
      <c r="I261" s="2" t="str">
        <f t="shared" si="10"/>
        <v/>
      </c>
      <c r="J261" s="2" t="str">
        <f t="shared" si="11"/>
        <v/>
      </c>
    </row>
    <row r="262" spans="1:10" ht="12" customHeight="1" x14ac:dyDescent="0.3">
      <c r="A262" s="2" t="str">
        <f>Inventory_Master!D262</f>
        <v/>
      </c>
      <c r="B262" s="2" t="str">
        <f>Inventory_Master!E262</f>
        <v/>
      </c>
      <c r="C262" s="2" t="str">
        <f>Inventory_Master!C262</f>
        <v/>
      </c>
      <c r="D262" s="2" t="str">
        <f>Inventory_Master!R262</f>
        <v/>
      </c>
      <c r="E262" s="2" t="str">
        <f>Inventory_Master!W262</f>
        <v/>
      </c>
      <c r="F262" s="2" t="str">
        <f>IF($A262="","",TRIM(_xludf.textjoin("; ",TRUE(),IF(Inventory_Master!R262&lt;&gt;"OK","Invalid category",""),IF(Inventory_Master!J262="","Missing price_inr",""),IF(Inventory_Master!O262="","Missing image",""),IF(Inventory_Master!S262&gt;0,"Has size variants",""),IF(Inventory_Master!C262="ERROR","Validation error",""),IF(Inventory_Master!C262="WARNING","Review warning",""))))</f>
        <v/>
      </c>
      <c r="G262" s="2" t="str">
        <f t="shared" si="9"/>
        <v>NO</v>
      </c>
      <c r="H262" s="2" t="str">
        <f>IF($A262="","",IF(Inventory_Master!R262&lt;&gt;"OK","Invalid Category",IF(Inventory_Master!J262="","Missing Price",IF(Inventory_Master!O262="","Missing Image",IF(Inventory_Master!S262&gt;0,"Size Price Review",IF(Inventory_Master!C262="ERROR","Validation Error",""))))))</f>
        <v/>
      </c>
      <c r="I262" s="2" t="str">
        <f t="shared" si="10"/>
        <v/>
      </c>
      <c r="J262" s="2" t="str">
        <f t="shared" si="11"/>
        <v/>
      </c>
    </row>
    <row r="263" spans="1:10" ht="12" customHeight="1" x14ac:dyDescent="0.3">
      <c r="A263" s="2" t="str">
        <f>Inventory_Master!D263</f>
        <v/>
      </c>
      <c r="B263" s="2" t="str">
        <f>Inventory_Master!E263</f>
        <v/>
      </c>
      <c r="C263" s="2" t="str">
        <f>Inventory_Master!C263</f>
        <v/>
      </c>
      <c r="D263" s="2" t="str">
        <f>Inventory_Master!R263</f>
        <v/>
      </c>
      <c r="E263" s="2" t="str">
        <f>Inventory_Master!W263</f>
        <v/>
      </c>
      <c r="F263" s="2" t="str">
        <f>IF($A263="","",TRIM(_xludf.textjoin("; ",TRUE(),IF(Inventory_Master!R263&lt;&gt;"OK","Invalid category",""),IF(Inventory_Master!J263="","Missing price_inr",""),IF(Inventory_Master!O263="","Missing image",""),IF(Inventory_Master!S263&gt;0,"Has size variants",""),IF(Inventory_Master!C263="ERROR","Validation error",""),IF(Inventory_Master!C263="WARNING","Review warning",""))))</f>
        <v/>
      </c>
      <c r="G263" s="2" t="str">
        <f t="shared" si="9"/>
        <v>NO</v>
      </c>
      <c r="H263" s="2" t="str">
        <f>IF($A263="","",IF(Inventory_Master!R263&lt;&gt;"OK","Invalid Category",IF(Inventory_Master!J263="","Missing Price",IF(Inventory_Master!O263="","Missing Image",IF(Inventory_Master!S263&gt;0,"Size Price Review",IF(Inventory_Master!C263="ERROR","Validation Error",""))))))</f>
        <v/>
      </c>
      <c r="I263" s="2" t="str">
        <f t="shared" si="10"/>
        <v/>
      </c>
      <c r="J263" s="2" t="str">
        <f t="shared" si="11"/>
        <v/>
      </c>
    </row>
    <row r="264" spans="1:10" ht="12" customHeight="1" x14ac:dyDescent="0.3">
      <c r="A264" s="2" t="str">
        <f>Inventory_Master!D264</f>
        <v/>
      </c>
      <c r="B264" s="2" t="str">
        <f>Inventory_Master!E264</f>
        <v/>
      </c>
      <c r="C264" s="2" t="str">
        <f>Inventory_Master!C264</f>
        <v/>
      </c>
      <c r="D264" s="2" t="str">
        <f>Inventory_Master!R264</f>
        <v/>
      </c>
      <c r="E264" s="2" t="str">
        <f>Inventory_Master!W264</f>
        <v/>
      </c>
      <c r="F264" s="2" t="str">
        <f>IF($A264="","",TRIM(_xludf.textjoin("; ",TRUE(),IF(Inventory_Master!R264&lt;&gt;"OK","Invalid category",""),IF(Inventory_Master!J264="","Missing price_inr",""),IF(Inventory_Master!O264="","Missing image",""),IF(Inventory_Master!S264&gt;0,"Has size variants",""),IF(Inventory_Master!C264="ERROR","Validation error",""),IF(Inventory_Master!C264="WARNING","Review warning",""))))</f>
        <v/>
      </c>
      <c r="G264" s="2" t="str">
        <f t="shared" si="9"/>
        <v>NO</v>
      </c>
      <c r="H264" s="2" t="str">
        <f>IF($A264="","",IF(Inventory_Master!R264&lt;&gt;"OK","Invalid Category",IF(Inventory_Master!J264="","Missing Price",IF(Inventory_Master!O264="","Missing Image",IF(Inventory_Master!S264&gt;0,"Size Price Review",IF(Inventory_Master!C264="ERROR","Validation Error",""))))))</f>
        <v/>
      </c>
      <c r="I264" s="2" t="str">
        <f t="shared" si="10"/>
        <v/>
      </c>
      <c r="J264" s="2" t="str">
        <f t="shared" si="11"/>
        <v/>
      </c>
    </row>
    <row r="265" spans="1:10" ht="12" customHeight="1" x14ac:dyDescent="0.3">
      <c r="A265" s="2" t="str">
        <f>Inventory_Master!D265</f>
        <v/>
      </c>
      <c r="B265" s="2" t="str">
        <f>Inventory_Master!E265</f>
        <v/>
      </c>
      <c r="C265" s="2" t="str">
        <f>Inventory_Master!C265</f>
        <v/>
      </c>
      <c r="D265" s="2" t="str">
        <f>Inventory_Master!R265</f>
        <v/>
      </c>
      <c r="E265" s="2" t="str">
        <f>Inventory_Master!W265</f>
        <v/>
      </c>
      <c r="F265" s="2" t="str">
        <f>IF($A265="","",TRIM(_xludf.textjoin("; ",TRUE(),IF(Inventory_Master!R265&lt;&gt;"OK","Invalid category",""),IF(Inventory_Master!J265="","Missing price_inr",""),IF(Inventory_Master!O265="","Missing image",""),IF(Inventory_Master!S265&gt;0,"Has size variants",""),IF(Inventory_Master!C265="ERROR","Validation error",""),IF(Inventory_Master!C265="WARNING","Review warning",""))))</f>
        <v/>
      </c>
      <c r="G265" s="2" t="str">
        <f t="shared" si="9"/>
        <v>NO</v>
      </c>
      <c r="H265" s="2" t="str">
        <f>IF($A265="","",IF(Inventory_Master!R265&lt;&gt;"OK","Invalid Category",IF(Inventory_Master!J265="","Missing Price",IF(Inventory_Master!O265="","Missing Image",IF(Inventory_Master!S265&gt;0,"Size Price Review",IF(Inventory_Master!C265="ERROR","Validation Error",""))))))</f>
        <v/>
      </c>
      <c r="I265" s="2" t="str">
        <f t="shared" si="10"/>
        <v/>
      </c>
      <c r="J265" s="2" t="str">
        <f t="shared" si="11"/>
        <v/>
      </c>
    </row>
    <row r="266" spans="1:10" ht="12" customHeight="1" x14ac:dyDescent="0.3">
      <c r="A266" s="2" t="str">
        <f>Inventory_Master!D266</f>
        <v/>
      </c>
      <c r="B266" s="2" t="str">
        <f>Inventory_Master!E266</f>
        <v/>
      </c>
      <c r="C266" s="2" t="str">
        <f>Inventory_Master!C266</f>
        <v/>
      </c>
      <c r="D266" s="2" t="str">
        <f>Inventory_Master!R266</f>
        <v/>
      </c>
      <c r="E266" s="2" t="str">
        <f>Inventory_Master!W266</f>
        <v/>
      </c>
      <c r="F266" s="2" t="str">
        <f>IF($A266="","",TRIM(_xludf.textjoin("; ",TRUE(),IF(Inventory_Master!R266&lt;&gt;"OK","Invalid category",""),IF(Inventory_Master!J266="","Missing price_inr",""),IF(Inventory_Master!O266="","Missing image",""),IF(Inventory_Master!S266&gt;0,"Has size variants",""),IF(Inventory_Master!C266="ERROR","Validation error",""),IF(Inventory_Master!C266="WARNING","Review warning",""))))</f>
        <v/>
      </c>
      <c r="G266" s="2" t="str">
        <f t="shared" si="9"/>
        <v>NO</v>
      </c>
      <c r="H266" s="2" t="str">
        <f>IF($A266="","",IF(Inventory_Master!R266&lt;&gt;"OK","Invalid Category",IF(Inventory_Master!J266="","Missing Price",IF(Inventory_Master!O266="","Missing Image",IF(Inventory_Master!S266&gt;0,"Size Price Review",IF(Inventory_Master!C266="ERROR","Validation Error",""))))))</f>
        <v/>
      </c>
      <c r="I266" s="2" t="str">
        <f t="shared" si="10"/>
        <v/>
      </c>
      <c r="J266" s="2" t="str">
        <f t="shared" si="11"/>
        <v/>
      </c>
    </row>
    <row r="267" spans="1:10" ht="12" customHeight="1" x14ac:dyDescent="0.3">
      <c r="A267" s="2" t="str">
        <f>Inventory_Master!D267</f>
        <v/>
      </c>
      <c r="B267" s="2" t="str">
        <f>Inventory_Master!E267</f>
        <v/>
      </c>
      <c r="C267" s="2" t="str">
        <f>Inventory_Master!C267</f>
        <v/>
      </c>
      <c r="D267" s="2" t="str">
        <f>Inventory_Master!R267</f>
        <v/>
      </c>
      <c r="E267" s="2" t="str">
        <f>Inventory_Master!W267</f>
        <v/>
      </c>
      <c r="F267" s="2" t="str">
        <f>IF($A267="","",TRIM(_xludf.textjoin("; ",TRUE(),IF(Inventory_Master!R267&lt;&gt;"OK","Invalid category",""),IF(Inventory_Master!J267="","Missing price_inr",""),IF(Inventory_Master!O267="","Missing image",""),IF(Inventory_Master!S267&gt;0,"Has size variants",""),IF(Inventory_Master!C267="ERROR","Validation error",""),IF(Inventory_Master!C267="WARNING","Review warning",""))))</f>
        <v/>
      </c>
      <c r="G267" s="2" t="str">
        <f t="shared" si="9"/>
        <v>NO</v>
      </c>
      <c r="H267" s="2" t="str">
        <f>IF($A267="","",IF(Inventory_Master!R267&lt;&gt;"OK","Invalid Category",IF(Inventory_Master!J267="","Missing Price",IF(Inventory_Master!O267="","Missing Image",IF(Inventory_Master!S267&gt;0,"Size Price Review",IF(Inventory_Master!C267="ERROR","Validation Error",""))))))</f>
        <v/>
      </c>
      <c r="I267" s="2" t="str">
        <f t="shared" si="10"/>
        <v/>
      </c>
      <c r="J267" s="2" t="str">
        <f t="shared" si="11"/>
        <v/>
      </c>
    </row>
    <row r="268" spans="1:10" ht="12" customHeight="1" x14ac:dyDescent="0.3">
      <c r="A268" s="2" t="str">
        <f>Inventory_Master!D268</f>
        <v/>
      </c>
      <c r="B268" s="2" t="str">
        <f>Inventory_Master!E268</f>
        <v/>
      </c>
      <c r="C268" s="2" t="str">
        <f>Inventory_Master!C268</f>
        <v/>
      </c>
      <c r="D268" s="2" t="str">
        <f>Inventory_Master!R268</f>
        <v/>
      </c>
      <c r="E268" s="2" t="str">
        <f>Inventory_Master!W268</f>
        <v/>
      </c>
      <c r="F268" s="2" t="str">
        <f>IF($A268="","",TRIM(_xludf.textjoin("; ",TRUE(),IF(Inventory_Master!R268&lt;&gt;"OK","Invalid category",""),IF(Inventory_Master!J268="","Missing price_inr",""),IF(Inventory_Master!O268="","Missing image",""),IF(Inventory_Master!S268&gt;0,"Has size variants",""),IF(Inventory_Master!C268="ERROR","Validation error",""),IF(Inventory_Master!C268="WARNING","Review warning",""))))</f>
        <v/>
      </c>
      <c r="G268" s="2" t="str">
        <f t="shared" si="9"/>
        <v>NO</v>
      </c>
      <c r="H268" s="2" t="str">
        <f>IF($A268="","",IF(Inventory_Master!R268&lt;&gt;"OK","Invalid Category",IF(Inventory_Master!J268="","Missing Price",IF(Inventory_Master!O268="","Missing Image",IF(Inventory_Master!S268&gt;0,"Size Price Review",IF(Inventory_Master!C268="ERROR","Validation Error",""))))))</f>
        <v/>
      </c>
      <c r="I268" s="2" t="str">
        <f t="shared" si="10"/>
        <v/>
      </c>
      <c r="J268" s="2" t="str">
        <f t="shared" si="11"/>
        <v/>
      </c>
    </row>
    <row r="269" spans="1:10" ht="12" customHeight="1" x14ac:dyDescent="0.3">
      <c r="A269" s="2" t="str">
        <f>Inventory_Master!D269</f>
        <v/>
      </c>
      <c r="B269" s="2" t="str">
        <f>Inventory_Master!E269</f>
        <v/>
      </c>
      <c r="C269" s="2" t="str">
        <f>Inventory_Master!C269</f>
        <v/>
      </c>
      <c r="D269" s="2" t="str">
        <f>Inventory_Master!R269</f>
        <v/>
      </c>
      <c r="E269" s="2" t="str">
        <f>Inventory_Master!W269</f>
        <v/>
      </c>
      <c r="F269" s="2" t="str">
        <f>IF($A269="","",TRIM(_xludf.textjoin("; ",TRUE(),IF(Inventory_Master!R269&lt;&gt;"OK","Invalid category",""),IF(Inventory_Master!J269="","Missing price_inr",""),IF(Inventory_Master!O269="","Missing image",""),IF(Inventory_Master!S269&gt;0,"Has size variants",""),IF(Inventory_Master!C269="ERROR","Validation error",""),IF(Inventory_Master!C269="WARNING","Review warning",""))))</f>
        <v/>
      </c>
      <c r="G269" s="2" t="str">
        <f t="shared" si="9"/>
        <v>NO</v>
      </c>
      <c r="H269" s="2" t="str">
        <f>IF($A269="","",IF(Inventory_Master!R269&lt;&gt;"OK","Invalid Category",IF(Inventory_Master!J269="","Missing Price",IF(Inventory_Master!O269="","Missing Image",IF(Inventory_Master!S269&gt;0,"Size Price Review",IF(Inventory_Master!C269="ERROR","Validation Error",""))))))</f>
        <v/>
      </c>
      <c r="I269" s="2" t="str">
        <f t="shared" si="10"/>
        <v/>
      </c>
      <c r="J269" s="2" t="str">
        <f t="shared" si="11"/>
        <v/>
      </c>
    </row>
    <row r="270" spans="1:10" ht="12" customHeight="1" x14ac:dyDescent="0.3">
      <c r="A270" s="2" t="str">
        <f>Inventory_Master!D270</f>
        <v/>
      </c>
      <c r="B270" s="2" t="str">
        <f>Inventory_Master!E270</f>
        <v/>
      </c>
      <c r="C270" s="2" t="str">
        <f>Inventory_Master!C270</f>
        <v/>
      </c>
      <c r="D270" s="2" t="str">
        <f>Inventory_Master!R270</f>
        <v/>
      </c>
      <c r="E270" s="2" t="str">
        <f>Inventory_Master!W270</f>
        <v/>
      </c>
      <c r="F270" s="2" t="str">
        <f>IF($A270="","",TRIM(_xludf.textjoin("; ",TRUE(),IF(Inventory_Master!R270&lt;&gt;"OK","Invalid category",""),IF(Inventory_Master!J270="","Missing price_inr",""),IF(Inventory_Master!O270="","Missing image",""),IF(Inventory_Master!S270&gt;0,"Has size variants",""),IF(Inventory_Master!C270="ERROR","Validation error",""),IF(Inventory_Master!C270="WARNING","Review warning",""))))</f>
        <v/>
      </c>
      <c r="G270" s="2" t="str">
        <f t="shared" si="9"/>
        <v>NO</v>
      </c>
      <c r="H270" s="2" t="str">
        <f>IF($A270="","",IF(Inventory_Master!R270&lt;&gt;"OK","Invalid Category",IF(Inventory_Master!J270="","Missing Price",IF(Inventory_Master!O270="","Missing Image",IF(Inventory_Master!S270&gt;0,"Size Price Review",IF(Inventory_Master!C270="ERROR","Validation Error",""))))))</f>
        <v/>
      </c>
      <c r="I270" s="2" t="str">
        <f t="shared" si="10"/>
        <v/>
      </c>
      <c r="J270" s="2" t="str">
        <f t="shared" si="11"/>
        <v/>
      </c>
    </row>
    <row r="271" spans="1:10" ht="12" customHeight="1" x14ac:dyDescent="0.3">
      <c r="A271" s="2" t="str">
        <f>Inventory_Master!D271</f>
        <v/>
      </c>
      <c r="B271" s="2" t="str">
        <f>Inventory_Master!E271</f>
        <v/>
      </c>
      <c r="C271" s="2" t="str">
        <f>Inventory_Master!C271</f>
        <v/>
      </c>
      <c r="D271" s="2" t="str">
        <f>Inventory_Master!R271</f>
        <v/>
      </c>
      <c r="E271" s="2" t="str">
        <f>Inventory_Master!W271</f>
        <v/>
      </c>
      <c r="F271" s="2" t="str">
        <f>IF($A271="","",TRIM(_xludf.textjoin("; ",TRUE(),IF(Inventory_Master!R271&lt;&gt;"OK","Invalid category",""),IF(Inventory_Master!J271="","Missing price_inr",""),IF(Inventory_Master!O271="","Missing image",""),IF(Inventory_Master!S271&gt;0,"Has size variants",""),IF(Inventory_Master!C271="ERROR","Validation error",""),IF(Inventory_Master!C271="WARNING","Review warning",""))))</f>
        <v/>
      </c>
      <c r="G271" s="2" t="str">
        <f t="shared" si="9"/>
        <v>NO</v>
      </c>
      <c r="H271" s="2" t="str">
        <f>IF($A271="","",IF(Inventory_Master!R271&lt;&gt;"OK","Invalid Category",IF(Inventory_Master!J271="","Missing Price",IF(Inventory_Master!O271="","Missing Image",IF(Inventory_Master!S271&gt;0,"Size Price Review",IF(Inventory_Master!C271="ERROR","Validation Error",""))))))</f>
        <v/>
      </c>
      <c r="I271" s="2" t="str">
        <f t="shared" si="10"/>
        <v/>
      </c>
      <c r="J271" s="2" t="str">
        <f t="shared" si="11"/>
        <v/>
      </c>
    </row>
    <row r="272" spans="1:10" ht="12" customHeight="1" x14ac:dyDescent="0.3">
      <c r="A272" s="2" t="str">
        <f>Inventory_Master!D272</f>
        <v/>
      </c>
      <c r="B272" s="2" t="str">
        <f>Inventory_Master!E272</f>
        <v/>
      </c>
      <c r="C272" s="2" t="str">
        <f>Inventory_Master!C272</f>
        <v/>
      </c>
      <c r="D272" s="2" t="str">
        <f>Inventory_Master!R272</f>
        <v/>
      </c>
      <c r="E272" s="2" t="str">
        <f>Inventory_Master!W272</f>
        <v/>
      </c>
      <c r="F272" s="2" t="str">
        <f>IF($A272="","",TRIM(_xludf.textjoin("; ",TRUE(),IF(Inventory_Master!R272&lt;&gt;"OK","Invalid category",""),IF(Inventory_Master!J272="","Missing price_inr",""),IF(Inventory_Master!O272="","Missing image",""),IF(Inventory_Master!S272&gt;0,"Has size variants",""),IF(Inventory_Master!C272="ERROR","Validation error",""),IF(Inventory_Master!C272="WARNING","Review warning",""))))</f>
        <v/>
      </c>
      <c r="G272" s="2" t="str">
        <f t="shared" si="9"/>
        <v>NO</v>
      </c>
      <c r="H272" s="2" t="str">
        <f>IF($A272="","",IF(Inventory_Master!R272&lt;&gt;"OK","Invalid Category",IF(Inventory_Master!J272="","Missing Price",IF(Inventory_Master!O272="","Missing Image",IF(Inventory_Master!S272&gt;0,"Size Price Review",IF(Inventory_Master!C272="ERROR","Validation Error",""))))))</f>
        <v/>
      </c>
      <c r="I272" s="2" t="str">
        <f t="shared" si="10"/>
        <v/>
      </c>
      <c r="J272" s="2" t="str">
        <f t="shared" si="11"/>
        <v/>
      </c>
    </row>
    <row r="273" spans="1:10" ht="12" customHeight="1" x14ac:dyDescent="0.3">
      <c r="A273" s="2" t="str">
        <f>Inventory_Master!D273</f>
        <v/>
      </c>
      <c r="B273" s="2" t="str">
        <f>Inventory_Master!E273</f>
        <v/>
      </c>
      <c r="C273" s="2" t="str">
        <f>Inventory_Master!C273</f>
        <v/>
      </c>
      <c r="D273" s="2" t="str">
        <f>Inventory_Master!R273</f>
        <v/>
      </c>
      <c r="E273" s="2" t="str">
        <f>Inventory_Master!W273</f>
        <v/>
      </c>
      <c r="F273" s="2" t="str">
        <f>IF($A273="","",TRIM(_xludf.textjoin("; ",TRUE(),IF(Inventory_Master!R273&lt;&gt;"OK","Invalid category",""),IF(Inventory_Master!J273="","Missing price_inr",""),IF(Inventory_Master!O273="","Missing image",""),IF(Inventory_Master!S273&gt;0,"Has size variants",""),IF(Inventory_Master!C273="ERROR","Validation error",""),IF(Inventory_Master!C273="WARNING","Review warning",""))))</f>
        <v/>
      </c>
      <c r="G273" s="2" t="str">
        <f t="shared" si="9"/>
        <v>NO</v>
      </c>
      <c r="H273" s="2" t="str">
        <f>IF($A273="","",IF(Inventory_Master!R273&lt;&gt;"OK","Invalid Category",IF(Inventory_Master!J273="","Missing Price",IF(Inventory_Master!O273="","Missing Image",IF(Inventory_Master!S273&gt;0,"Size Price Review",IF(Inventory_Master!C273="ERROR","Validation Error",""))))))</f>
        <v/>
      </c>
      <c r="I273" s="2" t="str">
        <f t="shared" si="10"/>
        <v/>
      </c>
      <c r="J273" s="2" t="str">
        <f t="shared" si="11"/>
        <v/>
      </c>
    </row>
    <row r="274" spans="1:10" ht="12" customHeight="1" x14ac:dyDescent="0.3">
      <c r="A274" s="2" t="str">
        <f>Inventory_Master!D274</f>
        <v/>
      </c>
      <c r="B274" s="2" t="str">
        <f>Inventory_Master!E274</f>
        <v/>
      </c>
      <c r="C274" s="2" t="str">
        <f>Inventory_Master!C274</f>
        <v/>
      </c>
      <c r="D274" s="2" t="str">
        <f>Inventory_Master!R274</f>
        <v/>
      </c>
      <c r="E274" s="2" t="str">
        <f>Inventory_Master!W274</f>
        <v/>
      </c>
      <c r="F274" s="2" t="str">
        <f>IF($A274="","",TRIM(_xludf.textjoin("; ",TRUE(),IF(Inventory_Master!R274&lt;&gt;"OK","Invalid category",""),IF(Inventory_Master!J274="","Missing price_inr",""),IF(Inventory_Master!O274="","Missing image",""),IF(Inventory_Master!S274&gt;0,"Has size variants",""),IF(Inventory_Master!C274="ERROR","Validation error",""),IF(Inventory_Master!C274="WARNING","Review warning",""))))</f>
        <v/>
      </c>
      <c r="G274" s="2" t="str">
        <f t="shared" si="9"/>
        <v>NO</v>
      </c>
      <c r="H274" s="2" t="str">
        <f>IF($A274="","",IF(Inventory_Master!R274&lt;&gt;"OK","Invalid Category",IF(Inventory_Master!J274="","Missing Price",IF(Inventory_Master!O274="","Missing Image",IF(Inventory_Master!S274&gt;0,"Size Price Review",IF(Inventory_Master!C274="ERROR","Validation Error",""))))))</f>
        <v/>
      </c>
      <c r="I274" s="2" t="str">
        <f t="shared" si="10"/>
        <v/>
      </c>
      <c r="J274" s="2" t="str">
        <f t="shared" si="11"/>
        <v/>
      </c>
    </row>
    <row r="275" spans="1:10" ht="12" customHeight="1" x14ac:dyDescent="0.3">
      <c r="A275" s="2" t="str">
        <f>Inventory_Master!D275</f>
        <v/>
      </c>
      <c r="B275" s="2" t="str">
        <f>Inventory_Master!E275</f>
        <v/>
      </c>
      <c r="C275" s="2" t="str">
        <f>Inventory_Master!C275</f>
        <v/>
      </c>
      <c r="D275" s="2" t="str">
        <f>Inventory_Master!R275</f>
        <v/>
      </c>
      <c r="E275" s="2" t="str">
        <f>Inventory_Master!W275</f>
        <v/>
      </c>
      <c r="F275" s="2" t="str">
        <f>IF($A275="","",TRIM(_xludf.textjoin("; ",TRUE(),IF(Inventory_Master!R275&lt;&gt;"OK","Invalid category",""),IF(Inventory_Master!J275="","Missing price_inr",""),IF(Inventory_Master!O275="","Missing image",""),IF(Inventory_Master!S275&gt;0,"Has size variants",""),IF(Inventory_Master!C275="ERROR","Validation error",""),IF(Inventory_Master!C275="WARNING","Review warning",""))))</f>
        <v/>
      </c>
      <c r="G275" s="2" t="str">
        <f t="shared" si="9"/>
        <v>NO</v>
      </c>
      <c r="H275" s="2" t="str">
        <f>IF($A275="","",IF(Inventory_Master!R275&lt;&gt;"OK","Invalid Category",IF(Inventory_Master!J275="","Missing Price",IF(Inventory_Master!O275="","Missing Image",IF(Inventory_Master!S275&gt;0,"Size Price Review",IF(Inventory_Master!C275="ERROR","Validation Error",""))))))</f>
        <v/>
      </c>
      <c r="I275" s="2" t="str">
        <f t="shared" si="10"/>
        <v/>
      </c>
      <c r="J275" s="2" t="str">
        <f t="shared" si="11"/>
        <v/>
      </c>
    </row>
    <row r="276" spans="1:10" ht="12" customHeight="1" x14ac:dyDescent="0.3">
      <c r="A276" s="2" t="str">
        <f>Inventory_Master!D276</f>
        <v/>
      </c>
      <c r="B276" s="2" t="str">
        <f>Inventory_Master!E276</f>
        <v/>
      </c>
      <c r="C276" s="2" t="str">
        <f>Inventory_Master!C276</f>
        <v/>
      </c>
      <c r="D276" s="2" t="str">
        <f>Inventory_Master!R276</f>
        <v/>
      </c>
      <c r="E276" s="2" t="str">
        <f>Inventory_Master!W276</f>
        <v/>
      </c>
      <c r="F276" s="2" t="str">
        <f>IF($A276="","",TRIM(_xludf.textjoin("; ",TRUE(),IF(Inventory_Master!R276&lt;&gt;"OK","Invalid category",""),IF(Inventory_Master!J276="","Missing price_inr",""),IF(Inventory_Master!O276="","Missing image",""),IF(Inventory_Master!S276&gt;0,"Has size variants",""),IF(Inventory_Master!C276="ERROR","Validation error",""),IF(Inventory_Master!C276="WARNING","Review warning",""))))</f>
        <v/>
      </c>
      <c r="G276" s="2" t="str">
        <f t="shared" si="9"/>
        <v>NO</v>
      </c>
      <c r="H276" s="2" t="str">
        <f>IF($A276="","",IF(Inventory_Master!R276&lt;&gt;"OK","Invalid Category",IF(Inventory_Master!J276="","Missing Price",IF(Inventory_Master!O276="","Missing Image",IF(Inventory_Master!S276&gt;0,"Size Price Review",IF(Inventory_Master!C276="ERROR","Validation Error",""))))))</f>
        <v/>
      </c>
      <c r="I276" s="2" t="str">
        <f t="shared" si="10"/>
        <v/>
      </c>
      <c r="J276" s="2" t="str">
        <f t="shared" si="11"/>
        <v/>
      </c>
    </row>
    <row r="277" spans="1:10" ht="12" customHeight="1" x14ac:dyDescent="0.3">
      <c r="A277" s="2" t="str">
        <f>Inventory_Master!D277</f>
        <v/>
      </c>
      <c r="B277" s="2" t="str">
        <f>Inventory_Master!E277</f>
        <v/>
      </c>
      <c r="C277" s="2" t="str">
        <f>Inventory_Master!C277</f>
        <v/>
      </c>
      <c r="D277" s="2" t="str">
        <f>Inventory_Master!R277</f>
        <v/>
      </c>
      <c r="E277" s="2" t="str">
        <f>Inventory_Master!W277</f>
        <v/>
      </c>
      <c r="F277" s="2" t="str">
        <f>IF($A277="","",TRIM(_xludf.textjoin("; ",TRUE(),IF(Inventory_Master!R277&lt;&gt;"OK","Invalid category",""),IF(Inventory_Master!J277="","Missing price_inr",""),IF(Inventory_Master!O277="","Missing image",""),IF(Inventory_Master!S277&gt;0,"Has size variants",""),IF(Inventory_Master!C277="ERROR","Validation error",""),IF(Inventory_Master!C277="WARNING","Review warning",""))))</f>
        <v/>
      </c>
      <c r="G277" s="2" t="str">
        <f t="shared" si="9"/>
        <v>NO</v>
      </c>
      <c r="H277" s="2" t="str">
        <f>IF($A277="","",IF(Inventory_Master!R277&lt;&gt;"OK","Invalid Category",IF(Inventory_Master!J277="","Missing Price",IF(Inventory_Master!O277="","Missing Image",IF(Inventory_Master!S277&gt;0,"Size Price Review",IF(Inventory_Master!C277="ERROR","Validation Error",""))))))</f>
        <v/>
      </c>
      <c r="I277" s="2" t="str">
        <f t="shared" si="10"/>
        <v/>
      </c>
      <c r="J277" s="2" t="str">
        <f t="shared" si="11"/>
        <v/>
      </c>
    </row>
    <row r="278" spans="1:10" ht="12" customHeight="1" x14ac:dyDescent="0.3">
      <c r="A278" s="2" t="str">
        <f>Inventory_Master!D278</f>
        <v/>
      </c>
      <c r="B278" s="2" t="str">
        <f>Inventory_Master!E278</f>
        <v/>
      </c>
      <c r="C278" s="2" t="str">
        <f>Inventory_Master!C278</f>
        <v/>
      </c>
      <c r="D278" s="2" t="str">
        <f>Inventory_Master!R278</f>
        <v/>
      </c>
      <c r="E278" s="2" t="str">
        <f>Inventory_Master!W278</f>
        <v/>
      </c>
      <c r="F278" s="2" t="str">
        <f>IF($A278="","",TRIM(_xludf.textjoin("; ",TRUE(),IF(Inventory_Master!R278&lt;&gt;"OK","Invalid category",""),IF(Inventory_Master!J278="","Missing price_inr",""),IF(Inventory_Master!O278="","Missing image",""),IF(Inventory_Master!S278&gt;0,"Has size variants",""),IF(Inventory_Master!C278="ERROR","Validation error",""),IF(Inventory_Master!C278="WARNING","Review warning",""))))</f>
        <v/>
      </c>
      <c r="G278" s="2" t="str">
        <f t="shared" si="9"/>
        <v>NO</v>
      </c>
      <c r="H278" s="2" t="str">
        <f>IF($A278="","",IF(Inventory_Master!R278&lt;&gt;"OK","Invalid Category",IF(Inventory_Master!J278="","Missing Price",IF(Inventory_Master!O278="","Missing Image",IF(Inventory_Master!S278&gt;0,"Size Price Review",IF(Inventory_Master!C278="ERROR","Validation Error",""))))))</f>
        <v/>
      </c>
      <c r="I278" s="2" t="str">
        <f t="shared" si="10"/>
        <v/>
      </c>
      <c r="J278" s="2" t="str">
        <f t="shared" si="11"/>
        <v/>
      </c>
    </row>
    <row r="279" spans="1:10" ht="12" customHeight="1" x14ac:dyDescent="0.3">
      <c r="A279" s="2" t="str">
        <f>Inventory_Master!D279</f>
        <v/>
      </c>
      <c r="B279" s="2" t="str">
        <f>Inventory_Master!E279</f>
        <v/>
      </c>
      <c r="C279" s="2" t="str">
        <f>Inventory_Master!C279</f>
        <v/>
      </c>
      <c r="D279" s="2" t="str">
        <f>Inventory_Master!R279</f>
        <v/>
      </c>
      <c r="E279" s="2" t="str">
        <f>Inventory_Master!W279</f>
        <v/>
      </c>
      <c r="F279" s="2" t="str">
        <f>IF($A279="","",TRIM(_xludf.textjoin("; ",TRUE(),IF(Inventory_Master!R279&lt;&gt;"OK","Invalid category",""),IF(Inventory_Master!J279="","Missing price_inr",""),IF(Inventory_Master!O279="","Missing image",""),IF(Inventory_Master!S279&gt;0,"Has size variants",""),IF(Inventory_Master!C279="ERROR","Validation error",""),IF(Inventory_Master!C279="WARNING","Review warning",""))))</f>
        <v/>
      </c>
      <c r="G279" s="2" t="str">
        <f t="shared" si="9"/>
        <v>NO</v>
      </c>
      <c r="H279" s="2" t="str">
        <f>IF($A279="","",IF(Inventory_Master!R279&lt;&gt;"OK","Invalid Category",IF(Inventory_Master!J279="","Missing Price",IF(Inventory_Master!O279="","Missing Image",IF(Inventory_Master!S279&gt;0,"Size Price Review",IF(Inventory_Master!C279="ERROR","Validation Error",""))))))</f>
        <v/>
      </c>
      <c r="I279" s="2" t="str">
        <f t="shared" si="10"/>
        <v/>
      </c>
      <c r="J279" s="2" t="str">
        <f t="shared" si="11"/>
        <v/>
      </c>
    </row>
    <row r="280" spans="1:10" ht="12" customHeight="1" x14ac:dyDescent="0.3">
      <c r="A280" s="2" t="str">
        <f>Inventory_Master!D280</f>
        <v/>
      </c>
      <c r="B280" s="2" t="str">
        <f>Inventory_Master!E280</f>
        <v/>
      </c>
      <c r="C280" s="2" t="str">
        <f>Inventory_Master!C280</f>
        <v/>
      </c>
      <c r="D280" s="2" t="str">
        <f>Inventory_Master!R280</f>
        <v/>
      </c>
      <c r="E280" s="2" t="str">
        <f>Inventory_Master!W280</f>
        <v/>
      </c>
      <c r="F280" s="2" t="str">
        <f>IF($A280="","",TRIM(_xludf.textjoin("; ",TRUE(),IF(Inventory_Master!R280&lt;&gt;"OK","Invalid category",""),IF(Inventory_Master!J280="","Missing price_inr",""),IF(Inventory_Master!O280="","Missing image",""),IF(Inventory_Master!S280&gt;0,"Has size variants",""),IF(Inventory_Master!C280="ERROR","Validation error",""),IF(Inventory_Master!C280="WARNING","Review warning",""))))</f>
        <v/>
      </c>
      <c r="G280" s="2" t="str">
        <f t="shared" si="9"/>
        <v>NO</v>
      </c>
      <c r="H280" s="2" t="str">
        <f>IF($A280="","",IF(Inventory_Master!R280&lt;&gt;"OK","Invalid Category",IF(Inventory_Master!J280="","Missing Price",IF(Inventory_Master!O280="","Missing Image",IF(Inventory_Master!S280&gt;0,"Size Price Review",IF(Inventory_Master!C280="ERROR","Validation Error",""))))))</f>
        <v/>
      </c>
      <c r="I280" s="2" t="str">
        <f t="shared" si="10"/>
        <v/>
      </c>
      <c r="J280" s="2" t="str">
        <f t="shared" si="11"/>
        <v/>
      </c>
    </row>
    <row r="281" spans="1:10" ht="12" customHeight="1" x14ac:dyDescent="0.3">
      <c r="A281" s="2" t="str">
        <f>Inventory_Master!D281</f>
        <v/>
      </c>
      <c r="B281" s="2" t="str">
        <f>Inventory_Master!E281</f>
        <v/>
      </c>
      <c r="C281" s="2" t="str">
        <f>Inventory_Master!C281</f>
        <v/>
      </c>
      <c r="D281" s="2" t="str">
        <f>Inventory_Master!R281</f>
        <v/>
      </c>
      <c r="E281" s="2" t="str">
        <f>Inventory_Master!W281</f>
        <v/>
      </c>
      <c r="F281" s="2" t="str">
        <f>IF($A281="","",TRIM(_xludf.textjoin("; ",TRUE(),IF(Inventory_Master!R281&lt;&gt;"OK","Invalid category",""),IF(Inventory_Master!J281="","Missing price_inr",""),IF(Inventory_Master!O281="","Missing image",""),IF(Inventory_Master!S281&gt;0,"Has size variants",""),IF(Inventory_Master!C281="ERROR","Validation error",""),IF(Inventory_Master!C281="WARNING","Review warning",""))))</f>
        <v/>
      </c>
      <c r="G281" s="2" t="str">
        <f t="shared" si="9"/>
        <v>NO</v>
      </c>
      <c r="H281" s="2" t="str">
        <f>IF($A281="","",IF(Inventory_Master!R281&lt;&gt;"OK","Invalid Category",IF(Inventory_Master!J281="","Missing Price",IF(Inventory_Master!O281="","Missing Image",IF(Inventory_Master!S281&gt;0,"Size Price Review",IF(Inventory_Master!C281="ERROR","Validation Error",""))))))</f>
        <v/>
      </c>
      <c r="I281" s="2" t="str">
        <f t="shared" si="10"/>
        <v/>
      </c>
      <c r="J281" s="2" t="str">
        <f t="shared" si="11"/>
        <v/>
      </c>
    </row>
    <row r="282" spans="1:10" ht="12" customHeight="1" x14ac:dyDescent="0.3">
      <c r="A282" s="2" t="str">
        <f>Inventory_Master!D282</f>
        <v/>
      </c>
      <c r="B282" s="2" t="str">
        <f>Inventory_Master!E282</f>
        <v/>
      </c>
      <c r="C282" s="2" t="str">
        <f>Inventory_Master!C282</f>
        <v/>
      </c>
      <c r="D282" s="2" t="str">
        <f>Inventory_Master!R282</f>
        <v/>
      </c>
      <c r="E282" s="2" t="str">
        <f>Inventory_Master!W282</f>
        <v/>
      </c>
      <c r="F282" s="2" t="str">
        <f>IF($A282="","",TRIM(_xludf.textjoin("; ",TRUE(),IF(Inventory_Master!R282&lt;&gt;"OK","Invalid category",""),IF(Inventory_Master!J282="","Missing price_inr",""),IF(Inventory_Master!O282="","Missing image",""),IF(Inventory_Master!S282&gt;0,"Has size variants",""),IF(Inventory_Master!C282="ERROR","Validation error",""),IF(Inventory_Master!C282="WARNING","Review warning",""))))</f>
        <v/>
      </c>
      <c r="G282" s="2" t="str">
        <f t="shared" si="9"/>
        <v>NO</v>
      </c>
      <c r="H282" s="2" t="str">
        <f>IF($A282="","",IF(Inventory_Master!R282&lt;&gt;"OK","Invalid Category",IF(Inventory_Master!J282="","Missing Price",IF(Inventory_Master!O282="","Missing Image",IF(Inventory_Master!S282&gt;0,"Size Price Review",IF(Inventory_Master!C282="ERROR","Validation Error",""))))))</f>
        <v/>
      </c>
      <c r="I282" s="2" t="str">
        <f t="shared" si="10"/>
        <v/>
      </c>
      <c r="J282" s="2" t="str">
        <f t="shared" si="11"/>
        <v/>
      </c>
    </row>
    <row r="283" spans="1:10" ht="12" customHeight="1" x14ac:dyDescent="0.3">
      <c r="A283" s="2" t="str">
        <f>Inventory_Master!D283</f>
        <v/>
      </c>
      <c r="B283" s="2" t="str">
        <f>Inventory_Master!E283</f>
        <v/>
      </c>
      <c r="C283" s="2" t="str">
        <f>Inventory_Master!C283</f>
        <v/>
      </c>
      <c r="D283" s="2" t="str">
        <f>Inventory_Master!R283</f>
        <v/>
      </c>
      <c r="E283" s="2" t="str">
        <f>Inventory_Master!W283</f>
        <v/>
      </c>
      <c r="F283" s="2" t="str">
        <f>IF($A283="","",TRIM(_xludf.textjoin("; ",TRUE(),IF(Inventory_Master!R283&lt;&gt;"OK","Invalid category",""),IF(Inventory_Master!J283="","Missing price_inr",""),IF(Inventory_Master!O283="","Missing image",""),IF(Inventory_Master!S283&gt;0,"Has size variants",""),IF(Inventory_Master!C283="ERROR","Validation error",""),IF(Inventory_Master!C283="WARNING","Review warning",""))))</f>
        <v/>
      </c>
      <c r="G283" s="2" t="str">
        <f t="shared" si="9"/>
        <v>NO</v>
      </c>
      <c r="H283" s="2" t="str">
        <f>IF($A283="","",IF(Inventory_Master!R283&lt;&gt;"OK","Invalid Category",IF(Inventory_Master!J283="","Missing Price",IF(Inventory_Master!O283="","Missing Image",IF(Inventory_Master!S283&gt;0,"Size Price Review",IF(Inventory_Master!C283="ERROR","Validation Error",""))))))</f>
        <v/>
      </c>
      <c r="I283" s="2" t="str">
        <f t="shared" si="10"/>
        <v/>
      </c>
      <c r="J283" s="2" t="str">
        <f t="shared" si="11"/>
        <v/>
      </c>
    </row>
    <row r="284" spans="1:10" ht="12" customHeight="1" x14ac:dyDescent="0.3">
      <c r="A284" s="2" t="str">
        <f>Inventory_Master!D284</f>
        <v/>
      </c>
      <c r="B284" s="2" t="str">
        <f>Inventory_Master!E284</f>
        <v/>
      </c>
      <c r="C284" s="2" t="str">
        <f>Inventory_Master!C284</f>
        <v/>
      </c>
      <c r="D284" s="2" t="str">
        <f>Inventory_Master!R284</f>
        <v/>
      </c>
      <c r="E284" s="2" t="str">
        <f>Inventory_Master!W284</f>
        <v/>
      </c>
      <c r="F284" s="2" t="str">
        <f>IF($A284="","",TRIM(_xludf.textjoin("; ",TRUE(),IF(Inventory_Master!R284&lt;&gt;"OK","Invalid category",""),IF(Inventory_Master!J284="","Missing price_inr",""),IF(Inventory_Master!O284="","Missing image",""),IF(Inventory_Master!S284&gt;0,"Has size variants",""),IF(Inventory_Master!C284="ERROR","Validation error",""),IF(Inventory_Master!C284="WARNING","Review warning",""))))</f>
        <v/>
      </c>
      <c r="G284" s="2" t="str">
        <f t="shared" si="9"/>
        <v>NO</v>
      </c>
      <c r="H284" s="2" t="str">
        <f>IF($A284="","",IF(Inventory_Master!R284&lt;&gt;"OK","Invalid Category",IF(Inventory_Master!J284="","Missing Price",IF(Inventory_Master!O284="","Missing Image",IF(Inventory_Master!S284&gt;0,"Size Price Review",IF(Inventory_Master!C284="ERROR","Validation Error",""))))))</f>
        <v/>
      </c>
      <c r="I284" s="2" t="str">
        <f t="shared" si="10"/>
        <v/>
      </c>
      <c r="J284" s="2" t="str">
        <f t="shared" si="11"/>
        <v/>
      </c>
    </row>
    <row r="285" spans="1:10" ht="12" customHeight="1" x14ac:dyDescent="0.3">
      <c r="A285" s="2" t="str">
        <f>Inventory_Master!D285</f>
        <v/>
      </c>
      <c r="B285" s="2" t="str">
        <f>Inventory_Master!E285</f>
        <v/>
      </c>
      <c r="C285" s="2" t="str">
        <f>Inventory_Master!C285</f>
        <v/>
      </c>
      <c r="D285" s="2" t="str">
        <f>Inventory_Master!R285</f>
        <v/>
      </c>
      <c r="E285" s="2" t="str">
        <f>Inventory_Master!W285</f>
        <v/>
      </c>
      <c r="F285" s="2" t="str">
        <f>IF($A285="","",TRIM(_xludf.textjoin("; ",TRUE(),IF(Inventory_Master!R285&lt;&gt;"OK","Invalid category",""),IF(Inventory_Master!J285="","Missing price_inr",""),IF(Inventory_Master!O285="","Missing image",""),IF(Inventory_Master!S285&gt;0,"Has size variants",""),IF(Inventory_Master!C285="ERROR","Validation error",""),IF(Inventory_Master!C285="WARNING","Review warning",""))))</f>
        <v/>
      </c>
      <c r="G285" s="2" t="str">
        <f t="shared" si="9"/>
        <v>NO</v>
      </c>
      <c r="H285" s="2" t="str">
        <f>IF($A285="","",IF(Inventory_Master!R285&lt;&gt;"OK","Invalid Category",IF(Inventory_Master!J285="","Missing Price",IF(Inventory_Master!O285="","Missing Image",IF(Inventory_Master!S285&gt;0,"Size Price Review",IF(Inventory_Master!C285="ERROR","Validation Error",""))))))</f>
        <v/>
      </c>
      <c r="I285" s="2" t="str">
        <f t="shared" si="10"/>
        <v/>
      </c>
      <c r="J285" s="2" t="str">
        <f t="shared" si="11"/>
        <v/>
      </c>
    </row>
    <row r="286" spans="1:10" ht="12" customHeight="1" x14ac:dyDescent="0.3">
      <c r="A286" s="2" t="str">
        <f>Inventory_Master!D286</f>
        <v/>
      </c>
      <c r="B286" s="2" t="str">
        <f>Inventory_Master!E286</f>
        <v/>
      </c>
      <c r="C286" s="2" t="str">
        <f>Inventory_Master!C286</f>
        <v/>
      </c>
      <c r="D286" s="2" t="str">
        <f>Inventory_Master!R286</f>
        <v/>
      </c>
      <c r="E286" s="2" t="str">
        <f>Inventory_Master!W286</f>
        <v/>
      </c>
      <c r="F286" s="2" t="str">
        <f>IF($A286="","",TRIM(_xludf.textjoin("; ",TRUE(),IF(Inventory_Master!R286&lt;&gt;"OK","Invalid category",""),IF(Inventory_Master!J286="","Missing price_inr",""),IF(Inventory_Master!O286="","Missing image",""),IF(Inventory_Master!S286&gt;0,"Has size variants",""),IF(Inventory_Master!C286="ERROR","Validation error",""),IF(Inventory_Master!C286="WARNING","Review warning",""))))</f>
        <v/>
      </c>
      <c r="G286" s="2" t="str">
        <f t="shared" si="9"/>
        <v>NO</v>
      </c>
      <c r="H286" s="2" t="str">
        <f>IF($A286="","",IF(Inventory_Master!R286&lt;&gt;"OK","Invalid Category",IF(Inventory_Master!J286="","Missing Price",IF(Inventory_Master!O286="","Missing Image",IF(Inventory_Master!S286&gt;0,"Size Price Review",IF(Inventory_Master!C286="ERROR","Validation Error",""))))))</f>
        <v/>
      </c>
      <c r="I286" s="2" t="str">
        <f t="shared" si="10"/>
        <v/>
      </c>
      <c r="J286" s="2" t="str">
        <f t="shared" si="11"/>
        <v/>
      </c>
    </row>
    <row r="287" spans="1:10" ht="12" customHeight="1" x14ac:dyDescent="0.3">
      <c r="A287" s="2" t="str">
        <f>Inventory_Master!D287</f>
        <v/>
      </c>
      <c r="B287" s="2" t="str">
        <f>Inventory_Master!E287</f>
        <v/>
      </c>
      <c r="C287" s="2" t="str">
        <f>Inventory_Master!C287</f>
        <v/>
      </c>
      <c r="D287" s="2" t="str">
        <f>Inventory_Master!R287</f>
        <v/>
      </c>
      <c r="E287" s="2" t="str">
        <f>Inventory_Master!W287</f>
        <v/>
      </c>
      <c r="F287" s="2" t="str">
        <f>IF($A287="","",TRIM(_xludf.textjoin("; ",TRUE(),IF(Inventory_Master!R287&lt;&gt;"OK","Invalid category",""),IF(Inventory_Master!J287="","Missing price_inr",""),IF(Inventory_Master!O287="","Missing image",""),IF(Inventory_Master!S287&gt;0,"Has size variants",""),IF(Inventory_Master!C287="ERROR","Validation error",""),IF(Inventory_Master!C287="WARNING","Review warning",""))))</f>
        <v/>
      </c>
      <c r="G287" s="2" t="str">
        <f t="shared" si="9"/>
        <v>NO</v>
      </c>
      <c r="H287" s="2" t="str">
        <f>IF($A287="","",IF(Inventory_Master!R287&lt;&gt;"OK","Invalid Category",IF(Inventory_Master!J287="","Missing Price",IF(Inventory_Master!O287="","Missing Image",IF(Inventory_Master!S287&gt;0,"Size Price Review",IF(Inventory_Master!C287="ERROR","Validation Error",""))))))</f>
        <v/>
      </c>
      <c r="I287" s="2" t="str">
        <f t="shared" si="10"/>
        <v/>
      </c>
      <c r="J287" s="2" t="str">
        <f t="shared" si="11"/>
        <v/>
      </c>
    </row>
    <row r="288" spans="1:10" ht="12" customHeight="1" x14ac:dyDescent="0.3">
      <c r="A288" s="2" t="str">
        <f>Inventory_Master!D288</f>
        <v/>
      </c>
      <c r="B288" s="2" t="str">
        <f>Inventory_Master!E288</f>
        <v/>
      </c>
      <c r="C288" s="2" t="str">
        <f>Inventory_Master!C288</f>
        <v/>
      </c>
      <c r="D288" s="2" t="str">
        <f>Inventory_Master!R288</f>
        <v/>
      </c>
      <c r="E288" s="2" t="str">
        <f>Inventory_Master!W288</f>
        <v/>
      </c>
      <c r="F288" s="2" t="str">
        <f>IF($A288="","",TRIM(_xludf.textjoin("; ",TRUE(),IF(Inventory_Master!R288&lt;&gt;"OK","Invalid category",""),IF(Inventory_Master!J288="","Missing price_inr",""),IF(Inventory_Master!O288="","Missing image",""),IF(Inventory_Master!S288&gt;0,"Has size variants",""),IF(Inventory_Master!C288="ERROR","Validation error",""),IF(Inventory_Master!C288="WARNING","Review warning",""))))</f>
        <v/>
      </c>
      <c r="G288" s="2" t="str">
        <f t="shared" si="9"/>
        <v>NO</v>
      </c>
      <c r="H288" s="2" t="str">
        <f>IF($A288="","",IF(Inventory_Master!R288&lt;&gt;"OK","Invalid Category",IF(Inventory_Master!J288="","Missing Price",IF(Inventory_Master!O288="","Missing Image",IF(Inventory_Master!S288&gt;0,"Size Price Review",IF(Inventory_Master!C288="ERROR","Validation Error",""))))))</f>
        <v/>
      </c>
      <c r="I288" s="2" t="str">
        <f t="shared" si="10"/>
        <v/>
      </c>
      <c r="J288" s="2" t="str">
        <f t="shared" si="11"/>
        <v/>
      </c>
    </row>
    <row r="289" spans="1:10" ht="12" customHeight="1" x14ac:dyDescent="0.3">
      <c r="A289" s="2" t="str">
        <f>Inventory_Master!D289</f>
        <v/>
      </c>
      <c r="B289" s="2" t="str">
        <f>Inventory_Master!E289</f>
        <v/>
      </c>
      <c r="C289" s="2" t="str">
        <f>Inventory_Master!C289</f>
        <v/>
      </c>
      <c r="D289" s="2" t="str">
        <f>Inventory_Master!R289</f>
        <v/>
      </c>
      <c r="E289" s="2" t="str">
        <f>Inventory_Master!W289</f>
        <v/>
      </c>
      <c r="F289" s="2" t="str">
        <f>IF($A289="","",TRIM(_xludf.textjoin("; ",TRUE(),IF(Inventory_Master!R289&lt;&gt;"OK","Invalid category",""),IF(Inventory_Master!J289="","Missing price_inr",""),IF(Inventory_Master!O289="","Missing image",""),IF(Inventory_Master!S289&gt;0,"Has size variants",""),IF(Inventory_Master!C289="ERROR","Validation error",""),IF(Inventory_Master!C289="WARNING","Review warning",""))))</f>
        <v/>
      </c>
      <c r="G289" s="2" t="str">
        <f t="shared" si="9"/>
        <v>NO</v>
      </c>
      <c r="H289" s="2" t="str">
        <f>IF($A289="","",IF(Inventory_Master!R289&lt;&gt;"OK","Invalid Category",IF(Inventory_Master!J289="","Missing Price",IF(Inventory_Master!O289="","Missing Image",IF(Inventory_Master!S289&gt;0,"Size Price Review",IF(Inventory_Master!C289="ERROR","Validation Error",""))))))</f>
        <v/>
      </c>
      <c r="I289" s="2" t="str">
        <f t="shared" si="10"/>
        <v/>
      </c>
      <c r="J289" s="2" t="str">
        <f t="shared" si="11"/>
        <v/>
      </c>
    </row>
    <row r="290" spans="1:10" ht="12" customHeight="1" x14ac:dyDescent="0.3">
      <c r="A290" s="2" t="str">
        <f>Inventory_Master!D290</f>
        <v/>
      </c>
      <c r="B290" s="2" t="str">
        <f>Inventory_Master!E290</f>
        <v/>
      </c>
      <c r="C290" s="2" t="str">
        <f>Inventory_Master!C290</f>
        <v/>
      </c>
      <c r="D290" s="2" t="str">
        <f>Inventory_Master!R290</f>
        <v/>
      </c>
      <c r="E290" s="2" t="str">
        <f>Inventory_Master!W290</f>
        <v/>
      </c>
      <c r="F290" s="2" t="str">
        <f>IF($A290="","",TRIM(_xludf.textjoin("; ",TRUE(),IF(Inventory_Master!R290&lt;&gt;"OK","Invalid category",""),IF(Inventory_Master!J290="","Missing price_inr",""),IF(Inventory_Master!O290="","Missing image",""),IF(Inventory_Master!S290&gt;0,"Has size variants",""),IF(Inventory_Master!C290="ERROR","Validation error",""),IF(Inventory_Master!C290="WARNING","Review warning",""))))</f>
        <v/>
      </c>
      <c r="G290" s="2" t="str">
        <f t="shared" si="9"/>
        <v>NO</v>
      </c>
      <c r="H290" s="2" t="str">
        <f>IF($A290="","",IF(Inventory_Master!R290&lt;&gt;"OK","Invalid Category",IF(Inventory_Master!J290="","Missing Price",IF(Inventory_Master!O290="","Missing Image",IF(Inventory_Master!S290&gt;0,"Size Price Review",IF(Inventory_Master!C290="ERROR","Validation Error",""))))))</f>
        <v/>
      </c>
      <c r="I290" s="2" t="str">
        <f t="shared" si="10"/>
        <v/>
      </c>
      <c r="J290" s="2" t="str">
        <f t="shared" si="11"/>
        <v/>
      </c>
    </row>
    <row r="291" spans="1:10" ht="12" customHeight="1" x14ac:dyDescent="0.3">
      <c r="A291" s="2" t="str">
        <f>Inventory_Master!D291</f>
        <v/>
      </c>
      <c r="B291" s="2" t="str">
        <f>Inventory_Master!E291</f>
        <v/>
      </c>
      <c r="C291" s="2" t="str">
        <f>Inventory_Master!C291</f>
        <v/>
      </c>
      <c r="D291" s="2" t="str">
        <f>Inventory_Master!R291</f>
        <v/>
      </c>
      <c r="E291" s="2" t="str">
        <f>Inventory_Master!W291</f>
        <v/>
      </c>
      <c r="F291" s="2" t="str">
        <f>IF($A291="","",TRIM(_xludf.textjoin("; ",TRUE(),IF(Inventory_Master!R291&lt;&gt;"OK","Invalid category",""),IF(Inventory_Master!J291="","Missing price_inr",""),IF(Inventory_Master!O291="","Missing image",""),IF(Inventory_Master!S291&gt;0,"Has size variants",""),IF(Inventory_Master!C291="ERROR","Validation error",""),IF(Inventory_Master!C291="WARNING","Review warning",""))))</f>
        <v/>
      </c>
      <c r="G291" s="2" t="str">
        <f t="shared" si="9"/>
        <v>NO</v>
      </c>
      <c r="H291" s="2" t="str">
        <f>IF($A291="","",IF(Inventory_Master!R291&lt;&gt;"OK","Invalid Category",IF(Inventory_Master!J291="","Missing Price",IF(Inventory_Master!O291="","Missing Image",IF(Inventory_Master!S291&gt;0,"Size Price Review",IF(Inventory_Master!C291="ERROR","Validation Error",""))))))</f>
        <v/>
      </c>
      <c r="I291" s="2" t="str">
        <f t="shared" si="10"/>
        <v/>
      </c>
      <c r="J291" s="2" t="str">
        <f t="shared" si="11"/>
        <v/>
      </c>
    </row>
    <row r="292" spans="1:10" ht="12" customHeight="1" x14ac:dyDescent="0.3">
      <c r="A292" s="2" t="str">
        <f>Inventory_Master!D292</f>
        <v/>
      </c>
      <c r="B292" s="2" t="str">
        <f>Inventory_Master!E292</f>
        <v/>
      </c>
      <c r="C292" s="2" t="str">
        <f>Inventory_Master!C292</f>
        <v/>
      </c>
      <c r="D292" s="2" t="str">
        <f>Inventory_Master!R292</f>
        <v/>
      </c>
      <c r="E292" s="2" t="str">
        <f>Inventory_Master!W292</f>
        <v/>
      </c>
      <c r="F292" s="2" t="str">
        <f>IF($A292="","",TRIM(_xludf.textjoin("; ",TRUE(),IF(Inventory_Master!R292&lt;&gt;"OK","Invalid category",""),IF(Inventory_Master!J292="","Missing price_inr",""),IF(Inventory_Master!O292="","Missing image",""),IF(Inventory_Master!S292&gt;0,"Has size variants",""),IF(Inventory_Master!C292="ERROR","Validation error",""),IF(Inventory_Master!C292="WARNING","Review warning",""))))</f>
        <v/>
      </c>
      <c r="G292" s="2" t="str">
        <f t="shared" si="9"/>
        <v>NO</v>
      </c>
      <c r="H292" s="2" t="str">
        <f>IF($A292="","",IF(Inventory_Master!R292&lt;&gt;"OK","Invalid Category",IF(Inventory_Master!J292="","Missing Price",IF(Inventory_Master!O292="","Missing Image",IF(Inventory_Master!S292&gt;0,"Size Price Review",IF(Inventory_Master!C292="ERROR","Validation Error",""))))))</f>
        <v/>
      </c>
      <c r="I292" s="2" t="str">
        <f t="shared" si="10"/>
        <v/>
      </c>
      <c r="J292" s="2" t="str">
        <f t="shared" si="11"/>
        <v/>
      </c>
    </row>
    <row r="293" spans="1:10" ht="12" customHeight="1" x14ac:dyDescent="0.3">
      <c r="A293" s="2" t="str">
        <f>Inventory_Master!D293</f>
        <v/>
      </c>
      <c r="B293" s="2" t="str">
        <f>Inventory_Master!E293</f>
        <v/>
      </c>
      <c r="C293" s="2" t="str">
        <f>Inventory_Master!C293</f>
        <v/>
      </c>
      <c r="D293" s="2" t="str">
        <f>Inventory_Master!R293</f>
        <v/>
      </c>
      <c r="E293" s="2" t="str">
        <f>Inventory_Master!W293</f>
        <v/>
      </c>
      <c r="F293" s="2" t="str">
        <f>IF($A293="","",TRIM(_xludf.textjoin("; ",TRUE(),IF(Inventory_Master!R293&lt;&gt;"OK","Invalid category",""),IF(Inventory_Master!J293="","Missing price_inr",""),IF(Inventory_Master!O293="","Missing image",""),IF(Inventory_Master!S293&gt;0,"Has size variants",""),IF(Inventory_Master!C293="ERROR","Validation error",""),IF(Inventory_Master!C293="WARNING","Review warning",""))))</f>
        <v/>
      </c>
      <c r="G293" s="2" t="str">
        <f t="shared" si="9"/>
        <v>NO</v>
      </c>
      <c r="H293" s="2" t="str">
        <f>IF($A293="","",IF(Inventory_Master!R293&lt;&gt;"OK","Invalid Category",IF(Inventory_Master!J293="","Missing Price",IF(Inventory_Master!O293="","Missing Image",IF(Inventory_Master!S293&gt;0,"Size Price Review",IF(Inventory_Master!C293="ERROR","Validation Error",""))))))</f>
        <v/>
      </c>
      <c r="I293" s="2" t="str">
        <f t="shared" si="10"/>
        <v/>
      </c>
      <c r="J293" s="2" t="str">
        <f t="shared" si="11"/>
        <v/>
      </c>
    </row>
    <row r="294" spans="1:10" ht="12" customHeight="1" x14ac:dyDescent="0.3">
      <c r="A294" s="2" t="str">
        <f>Inventory_Master!D294</f>
        <v/>
      </c>
      <c r="B294" s="2" t="str">
        <f>Inventory_Master!E294</f>
        <v/>
      </c>
      <c r="C294" s="2" t="str">
        <f>Inventory_Master!C294</f>
        <v/>
      </c>
      <c r="D294" s="2" t="str">
        <f>Inventory_Master!R294</f>
        <v/>
      </c>
      <c r="E294" s="2" t="str">
        <f>Inventory_Master!W294</f>
        <v/>
      </c>
      <c r="F294" s="2" t="str">
        <f>IF($A294="","",TRIM(_xludf.textjoin("; ",TRUE(),IF(Inventory_Master!R294&lt;&gt;"OK","Invalid category",""),IF(Inventory_Master!J294="","Missing price_inr",""),IF(Inventory_Master!O294="","Missing image",""),IF(Inventory_Master!S294&gt;0,"Has size variants",""),IF(Inventory_Master!C294="ERROR","Validation error",""),IF(Inventory_Master!C294="WARNING","Review warning",""))))</f>
        <v/>
      </c>
      <c r="G294" s="2" t="str">
        <f t="shared" si="9"/>
        <v>NO</v>
      </c>
      <c r="H294" s="2" t="str">
        <f>IF($A294="","",IF(Inventory_Master!R294&lt;&gt;"OK","Invalid Category",IF(Inventory_Master!J294="","Missing Price",IF(Inventory_Master!O294="","Missing Image",IF(Inventory_Master!S294&gt;0,"Size Price Review",IF(Inventory_Master!C294="ERROR","Validation Error",""))))))</f>
        <v/>
      </c>
      <c r="I294" s="2" t="str">
        <f t="shared" si="10"/>
        <v/>
      </c>
      <c r="J294" s="2" t="str">
        <f t="shared" si="11"/>
        <v/>
      </c>
    </row>
    <row r="295" spans="1:10" ht="12" customHeight="1" x14ac:dyDescent="0.3">
      <c r="A295" s="2" t="str">
        <f>Inventory_Master!D295</f>
        <v/>
      </c>
      <c r="B295" s="2" t="str">
        <f>Inventory_Master!E295</f>
        <v/>
      </c>
      <c r="C295" s="2" t="str">
        <f>Inventory_Master!C295</f>
        <v/>
      </c>
      <c r="D295" s="2" t="str">
        <f>Inventory_Master!R295</f>
        <v/>
      </c>
      <c r="E295" s="2" t="str">
        <f>Inventory_Master!W295</f>
        <v/>
      </c>
      <c r="F295" s="2" t="str">
        <f>IF($A295="","",TRIM(_xludf.textjoin("; ",TRUE(),IF(Inventory_Master!R295&lt;&gt;"OK","Invalid category",""),IF(Inventory_Master!J295="","Missing price_inr",""),IF(Inventory_Master!O295="","Missing image",""),IF(Inventory_Master!S295&gt;0,"Has size variants",""),IF(Inventory_Master!C295="ERROR","Validation error",""),IF(Inventory_Master!C295="WARNING","Review warning",""))))</f>
        <v/>
      </c>
      <c r="G295" s="2" t="str">
        <f t="shared" si="9"/>
        <v>NO</v>
      </c>
      <c r="H295" s="2" t="str">
        <f>IF($A295="","",IF(Inventory_Master!R295&lt;&gt;"OK","Invalid Category",IF(Inventory_Master!J295="","Missing Price",IF(Inventory_Master!O295="","Missing Image",IF(Inventory_Master!S295&gt;0,"Size Price Review",IF(Inventory_Master!C295="ERROR","Validation Error",""))))))</f>
        <v/>
      </c>
      <c r="I295" s="2" t="str">
        <f t="shared" si="10"/>
        <v/>
      </c>
      <c r="J295" s="2" t="str">
        <f t="shared" si="11"/>
        <v/>
      </c>
    </row>
    <row r="296" spans="1:10" ht="12" customHeight="1" x14ac:dyDescent="0.3">
      <c r="A296" s="2" t="str">
        <f>Inventory_Master!D296</f>
        <v/>
      </c>
      <c r="B296" s="2" t="str">
        <f>Inventory_Master!E296</f>
        <v/>
      </c>
      <c r="C296" s="2" t="str">
        <f>Inventory_Master!C296</f>
        <v/>
      </c>
      <c r="D296" s="2" t="str">
        <f>Inventory_Master!R296</f>
        <v/>
      </c>
      <c r="E296" s="2" t="str">
        <f>Inventory_Master!W296</f>
        <v/>
      </c>
      <c r="F296" s="2" t="str">
        <f>IF($A296="","",TRIM(_xludf.textjoin("; ",TRUE(),IF(Inventory_Master!R296&lt;&gt;"OK","Invalid category",""),IF(Inventory_Master!J296="","Missing price_inr",""),IF(Inventory_Master!O296="","Missing image",""),IF(Inventory_Master!S296&gt;0,"Has size variants",""),IF(Inventory_Master!C296="ERROR","Validation error",""),IF(Inventory_Master!C296="WARNING","Review warning",""))))</f>
        <v/>
      </c>
      <c r="G296" s="2" t="str">
        <f t="shared" si="9"/>
        <v>NO</v>
      </c>
      <c r="H296" s="2" t="str">
        <f>IF($A296="","",IF(Inventory_Master!R296&lt;&gt;"OK","Invalid Category",IF(Inventory_Master!J296="","Missing Price",IF(Inventory_Master!O296="","Missing Image",IF(Inventory_Master!S296&gt;0,"Size Price Review",IF(Inventory_Master!C296="ERROR","Validation Error",""))))))</f>
        <v/>
      </c>
      <c r="I296" s="2" t="str">
        <f t="shared" si="10"/>
        <v/>
      </c>
      <c r="J296" s="2" t="str">
        <f t="shared" si="11"/>
        <v/>
      </c>
    </row>
    <row r="297" spans="1:10" ht="12" customHeight="1" x14ac:dyDescent="0.3">
      <c r="A297" s="2" t="str">
        <f>Inventory_Master!D297</f>
        <v/>
      </c>
      <c r="B297" s="2" t="str">
        <f>Inventory_Master!E297</f>
        <v/>
      </c>
      <c r="C297" s="2" t="str">
        <f>Inventory_Master!C297</f>
        <v/>
      </c>
      <c r="D297" s="2" t="str">
        <f>Inventory_Master!R297</f>
        <v/>
      </c>
      <c r="E297" s="2" t="str">
        <f>Inventory_Master!W297</f>
        <v/>
      </c>
      <c r="F297" s="2" t="str">
        <f>IF($A297="","",TRIM(_xludf.textjoin("; ",TRUE(),IF(Inventory_Master!R297&lt;&gt;"OK","Invalid category",""),IF(Inventory_Master!J297="","Missing price_inr",""),IF(Inventory_Master!O297="","Missing image",""),IF(Inventory_Master!S297&gt;0,"Has size variants",""),IF(Inventory_Master!C297="ERROR","Validation error",""),IF(Inventory_Master!C297="WARNING","Review warning",""))))</f>
        <v/>
      </c>
      <c r="G297" s="2" t="str">
        <f t="shared" si="9"/>
        <v>NO</v>
      </c>
      <c r="H297" s="2" t="str">
        <f>IF($A297="","",IF(Inventory_Master!R297&lt;&gt;"OK","Invalid Category",IF(Inventory_Master!J297="","Missing Price",IF(Inventory_Master!O297="","Missing Image",IF(Inventory_Master!S297&gt;0,"Size Price Review",IF(Inventory_Master!C297="ERROR","Validation Error",""))))))</f>
        <v/>
      </c>
      <c r="I297" s="2" t="str">
        <f t="shared" si="10"/>
        <v/>
      </c>
      <c r="J297" s="2" t="str">
        <f t="shared" si="11"/>
        <v/>
      </c>
    </row>
    <row r="298" spans="1:10" ht="12" customHeight="1" x14ac:dyDescent="0.3">
      <c r="A298" s="2" t="str">
        <f>Inventory_Master!D298</f>
        <v/>
      </c>
      <c r="B298" s="2" t="str">
        <f>Inventory_Master!E298</f>
        <v/>
      </c>
      <c r="C298" s="2" t="str">
        <f>Inventory_Master!C298</f>
        <v/>
      </c>
      <c r="D298" s="2" t="str">
        <f>Inventory_Master!R298</f>
        <v/>
      </c>
      <c r="E298" s="2" t="str">
        <f>Inventory_Master!W298</f>
        <v/>
      </c>
      <c r="F298" s="2" t="str">
        <f>IF($A298="","",TRIM(_xludf.textjoin("; ",TRUE(),IF(Inventory_Master!R298&lt;&gt;"OK","Invalid category",""),IF(Inventory_Master!J298="","Missing price_inr",""),IF(Inventory_Master!O298="","Missing image",""),IF(Inventory_Master!S298&gt;0,"Has size variants",""),IF(Inventory_Master!C298="ERROR","Validation error",""),IF(Inventory_Master!C298="WARNING","Review warning",""))))</f>
        <v/>
      </c>
      <c r="G298" s="2" t="str">
        <f t="shared" si="9"/>
        <v>NO</v>
      </c>
      <c r="H298" s="2" t="str">
        <f>IF($A298="","",IF(Inventory_Master!R298&lt;&gt;"OK","Invalid Category",IF(Inventory_Master!J298="","Missing Price",IF(Inventory_Master!O298="","Missing Image",IF(Inventory_Master!S298&gt;0,"Size Price Review",IF(Inventory_Master!C298="ERROR","Validation Error",""))))))</f>
        <v/>
      </c>
      <c r="I298" s="2" t="str">
        <f t="shared" si="10"/>
        <v/>
      </c>
      <c r="J298" s="2" t="str">
        <f t="shared" si="11"/>
        <v/>
      </c>
    </row>
    <row r="299" spans="1:10" ht="12" customHeight="1" x14ac:dyDescent="0.3">
      <c r="A299" s="2" t="str">
        <f>Inventory_Master!D299</f>
        <v/>
      </c>
      <c r="B299" s="2" t="str">
        <f>Inventory_Master!E299</f>
        <v/>
      </c>
      <c r="C299" s="2" t="str">
        <f>Inventory_Master!C299</f>
        <v/>
      </c>
      <c r="D299" s="2" t="str">
        <f>Inventory_Master!R299</f>
        <v/>
      </c>
      <c r="E299" s="2" t="str">
        <f>Inventory_Master!W299</f>
        <v/>
      </c>
      <c r="F299" s="2" t="str">
        <f>IF($A299="","",TRIM(_xludf.textjoin("; ",TRUE(),IF(Inventory_Master!R299&lt;&gt;"OK","Invalid category",""),IF(Inventory_Master!J299="","Missing price_inr",""),IF(Inventory_Master!O299="","Missing image",""),IF(Inventory_Master!S299&gt;0,"Has size variants",""),IF(Inventory_Master!C299="ERROR","Validation error",""),IF(Inventory_Master!C299="WARNING","Review warning",""))))</f>
        <v/>
      </c>
      <c r="G299" s="2" t="str">
        <f t="shared" si="9"/>
        <v>NO</v>
      </c>
      <c r="H299" s="2" t="str">
        <f>IF($A299="","",IF(Inventory_Master!R299&lt;&gt;"OK","Invalid Category",IF(Inventory_Master!J299="","Missing Price",IF(Inventory_Master!O299="","Missing Image",IF(Inventory_Master!S299&gt;0,"Size Price Review",IF(Inventory_Master!C299="ERROR","Validation Error",""))))))</f>
        <v/>
      </c>
      <c r="I299" s="2" t="str">
        <f t="shared" si="10"/>
        <v/>
      </c>
      <c r="J299" s="2" t="str">
        <f t="shared" si="11"/>
        <v/>
      </c>
    </row>
    <row r="300" spans="1:10" ht="12" customHeight="1" x14ac:dyDescent="0.3">
      <c r="A300" s="2" t="str">
        <f>Inventory_Master!D300</f>
        <v/>
      </c>
      <c r="B300" s="2" t="str">
        <f>Inventory_Master!E300</f>
        <v/>
      </c>
      <c r="C300" s="2" t="str">
        <f>Inventory_Master!C300</f>
        <v/>
      </c>
      <c r="D300" s="2" t="str">
        <f>Inventory_Master!R300</f>
        <v/>
      </c>
      <c r="E300" s="2" t="str">
        <f>Inventory_Master!W300</f>
        <v/>
      </c>
      <c r="F300" s="2" t="str">
        <f>IF($A300="","",TRIM(_xludf.textjoin("; ",TRUE(),IF(Inventory_Master!R300&lt;&gt;"OK","Invalid category",""),IF(Inventory_Master!J300="","Missing price_inr",""),IF(Inventory_Master!O300="","Missing image",""),IF(Inventory_Master!S300&gt;0,"Has size variants",""),IF(Inventory_Master!C300="ERROR","Validation error",""),IF(Inventory_Master!C300="WARNING","Review warning",""))))</f>
        <v/>
      </c>
      <c r="G300" s="2" t="str">
        <f t="shared" si="9"/>
        <v>NO</v>
      </c>
      <c r="H300" s="2" t="str">
        <f>IF($A300="","",IF(Inventory_Master!R300&lt;&gt;"OK","Invalid Category",IF(Inventory_Master!J300="","Missing Price",IF(Inventory_Master!O300="","Missing Image",IF(Inventory_Master!S300&gt;0,"Size Price Review",IF(Inventory_Master!C300="ERROR","Validation Error",""))))))</f>
        <v/>
      </c>
      <c r="I300" s="2" t="str">
        <f t="shared" si="10"/>
        <v/>
      </c>
      <c r="J300" s="2" t="str">
        <f t="shared" si="11"/>
        <v/>
      </c>
    </row>
    <row r="301" spans="1:10" ht="12" customHeight="1" x14ac:dyDescent="0.3">
      <c r="A301" s="2" t="str">
        <f>Inventory_Master!D301</f>
        <v/>
      </c>
      <c r="B301" s="2" t="str">
        <f>Inventory_Master!E301</f>
        <v/>
      </c>
      <c r="C301" s="2" t="str">
        <f>Inventory_Master!C301</f>
        <v/>
      </c>
      <c r="D301" s="2" t="str">
        <f>Inventory_Master!R301</f>
        <v/>
      </c>
      <c r="E301" s="2" t="str">
        <f>Inventory_Master!W301</f>
        <v/>
      </c>
      <c r="F301" s="2" t="str">
        <f>IF($A301="","",TRIM(_xludf.textjoin("; ",TRUE(),IF(Inventory_Master!R301&lt;&gt;"OK","Invalid category",""),IF(Inventory_Master!J301="","Missing price_inr",""),IF(Inventory_Master!O301="","Missing image",""),IF(Inventory_Master!S301&gt;0,"Has size variants",""),IF(Inventory_Master!C301="ERROR","Validation error",""),IF(Inventory_Master!C301="WARNING","Review warning",""))))</f>
        <v/>
      </c>
      <c r="G301" s="2" t="str">
        <f t="shared" si="9"/>
        <v>NO</v>
      </c>
      <c r="H301" s="2" t="str">
        <f>IF($A301="","",IF(Inventory_Master!R301&lt;&gt;"OK","Invalid Category",IF(Inventory_Master!J301="","Missing Price",IF(Inventory_Master!O301="","Missing Image",IF(Inventory_Master!S301&gt;0,"Size Price Review",IF(Inventory_Master!C301="ERROR","Validation Error",""))))))</f>
        <v/>
      </c>
      <c r="I301" s="2" t="str">
        <f t="shared" si="10"/>
        <v/>
      </c>
      <c r="J301" s="2" t="str">
        <f t="shared" si="11"/>
        <v/>
      </c>
    </row>
    <row r="302" spans="1:10" ht="12" customHeight="1" x14ac:dyDescent="0.3">
      <c r="A302" s="2" t="str">
        <f>Inventory_Master!D302</f>
        <v/>
      </c>
      <c r="B302" s="2" t="str">
        <f>Inventory_Master!E302</f>
        <v/>
      </c>
      <c r="C302" s="2" t="str">
        <f>Inventory_Master!C302</f>
        <v/>
      </c>
      <c r="D302" s="2" t="str">
        <f>Inventory_Master!R302</f>
        <v/>
      </c>
      <c r="E302" s="2" t="str">
        <f>Inventory_Master!W302</f>
        <v/>
      </c>
      <c r="F302" s="2" t="str">
        <f>IF($A302="","",TRIM(_xludf.textjoin("; ",TRUE(),IF(Inventory_Master!R302&lt;&gt;"OK","Invalid category",""),IF(Inventory_Master!J302="","Missing price_inr",""),IF(Inventory_Master!O302="","Missing image",""),IF(Inventory_Master!S302&gt;0,"Has size variants",""),IF(Inventory_Master!C302="ERROR","Validation error",""),IF(Inventory_Master!C302="WARNING","Review warning",""))))</f>
        <v/>
      </c>
      <c r="G302" s="2" t="str">
        <f t="shared" si="9"/>
        <v>NO</v>
      </c>
      <c r="H302" s="2" t="str">
        <f>IF($A302="","",IF(Inventory_Master!R302&lt;&gt;"OK","Invalid Category",IF(Inventory_Master!J302="","Missing Price",IF(Inventory_Master!O302="","Missing Image",IF(Inventory_Master!S302&gt;0,"Size Price Review",IF(Inventory_Master!C302="ERROR","Validation Error",""))))))</f>
        <v/>
      </c>
      <c r="I302" s="2" t="str">
        <f t="shared" si="10"/>
        <v/>
      </c>
      <c r="J302" s="2" t="str">
        <f t="shared" si="11"/>
        <v/>
      </c>
    </row>
    <row r="303" spans="1:10" ht="12" customHeight="1" x14ac:dyDescent="0.3">
      <c r="A303" s="2" t="str">
        <f>Inventory_Master!D303</f>
        <v/>
      </c>
      <c r="B303" s="2" t="str">
        <f>Inventory_Master!E303</f>
        <v/>
      </c>
      <c r="C303" s="2" t="str">
        <f>Inventory_Master!C303</f>
        <v/>
      </c>
      <c r="D303" s="2" t="str">
        <f>Inventory_Master!R303</f>
        <v/>
      </c>
      <c r="E303" s="2" t="str">
        <f>Inventory_Master!W303</f>
        <v/>
      </c>
      <c r="F303" s="2" t="str">
        <f>IF($A303="","",TRIM(_xludf.textjoin("; ",TRUE(),IF(Inventory_Master!R303&lt;&gt;"OK","Invalid category",""),IF(Inventory_Master!J303="","Missing price_inr",""),IF(Inventory_Master!O303="","Missing image",""),IF(Inventory_Master!S303&gt;0,"Has size variants",""),IF(Inventory_Master!C303="ERROR","Validation error",""),IF(Inventory_Master!C303="WARNING","Review warning",""))))</f>
        <v/>
      </c>
      <c r="G303" s="2" t="str">
        <f t="shared" si="9"/>
        <v>NO</v>
      </c>
      <c r="H303" s="2" t="str">
        <f>IF($A303="","",IF(Inventory_Master!R303&lt;&gt;"OK","Invalid Category",IF(Inventory_Master!J303="","Missing Price",IF(Inventory_Master!O303="","Missing Image",IF(Inventory_Master!S303&gt;0,"Size Price Review",IF(Inventory_Master!C303="ERROR","Validation Error",""))))))</f>
        <v/>
      </c>
      <c r="I303" s="2" t="str">
        <f t="shared" si="10"/>
        <v/>
      </c>
      <c r="J303" s="2" t="str">
        <f t="shared" si="11"/>
        <v/>
      </c>
    </row>
    <row r="304" spans="1:10" ht="12" customHeight="1" x14ac:dyDescent="0.3">
      <c r="A304" s="2" t="str">
        <f>Inventory_Master!D304</f>
        <v/>
      </c>
      <c r="B304" s="2" t="str">
        <f>Inventory_Master!E304</f>
        <v/>
      </c>
      <c r="C304" s="2" t="str">
        <f>Inventory_Master!C304</f>
        <v/>
      </c>
      <c r="D304" s="2" t="str">
        <f>Inventory_Master!R304</f>
        <v/>
      </c>
      <c r="E304" s="2" t="str">
        <f>Inventory_Master!W304</f>
        <v/>
      </c>
      <c r="F304" s="2" t="str">
        <f>IF($A304="","",TRIM(_xludf.textjoin("; ",TRUE(),IF(Inventory_Master!R304&lt;&gt;"OK","Invalid category",""),IF(Inventory_Master!J304="","Missing price_inr",""),IF(Inventory_Master!O304="","Missing image",""),IF(Inventory_Master!S304&gt;0,"Has size variants",""),IF(Inventory_Master!C304="ERROR","Validation error",""),IF(Inventory_Master!C304="WARNING","Review warning",""))))</f>
        <v/>
      </c>
      <c r="G304" s="2" t="str">
        <f t="shared" si="9"/>
        <v>NO</v>
      </c>
      <c r="H304" s="2" t="str">
        <f>IF($A304="","",IF(Inventory_Master!R304&lt;&gt;"OK","Invalid Category",IF(Inventory_Master!J304="","Missing Price",IF(Inventory_Master!O304="","Missing Image",IF(Inventory_Master!S304&gt;0,"Size Price Review",IF(Inventory_Master!C304="ERROR","Validation Error",""))))))</f>
        <v/>
      </c>
      <c r="I304" s="2" t="str">
        <f t="shared" si="10"/>
        <v/>
      </c>
      <c r="J304" s="2" t="str">
        <f t="shared" si="11"/>
        <v/>
      </c>
    </row>
    <row r="305" spans="1:10" ht="12" customHeight="1" x14ac:dyDescent="0.3">
      <c r="A305" s="2" t="str">
        <f>Inventory_Master!D305</f>
        <v/>
      </c>
      <c r="B305" s="2" t="str">
        <f>Inventory_Master!E305</f>
        <v/>
      </c>
      <c r="C305" s="2" t="str">
        <f>Inventory_Master!C305</f>
        <v/>
      </c>
      <c r="D305" s="2" t="str">
        <f>Inventory_Master!R305</f>
        <v/>
      </c>
      <c r="E305" s="2" t="str">
        <f>Inventory_Master!W305</f>
        <v/>
      </c>
      <c r="F305" s="2" t="str">
        <f>IF($A305="","",TRIM(_xludf.textjoin("; ",TRUE(),IF(Inventory_Master!R305&lt;&gt;"OK","Invalid category",""),IF(Inventory_Master!J305="","Missing price_inr",""),IF(Inventory_Master!O305="","Missing image",""),IF(Inventory_Master!S305&gt;0,"Has size variants",""),IF(Inventory_Master!C305="ERROR","Validation error",""),IF(Inventory_Master!C305="WARNING","Review warning",""))))</f>
        <v/>
      </c>
      <c r="G305" s="2" t="str">
        <f t="shared" si="9"/>
        <v>NO</v>
      </c>
      <c r="H305" s="2" t="str">
        <f>IF($A305="","",IF(Inventory_Master!R305&lt;&gt;"OK","Invalid Category",IF(Inventory_Master!J305="","Missing Price",IF(Inventory_Master!O305="","Missing Image",IF(Inventory_Master!S305&gt;0,"Size Price Review",IF(Inventory_Master!C305="ERROR","Validation Error",""))))))</f>
        <v/>
      </c>
      <c r="I305" s="2" t="str">
        <f t="shared" si="10"/>
        <v/>
      </c>
      <c r="J305" s="2" t="str">
        <f t="shared" si="11"/>
        <v/>
      </c>
    </row>
    <row r="306" spans="1:10" ht="12" customHeight="1" x14ac:dyDescent="0.3">
      <c r="A306" s="2" t="str">
        <f>Inventory_Master!D306</f>
        <v/>
      </c>
      <c r="B306" s="2" t="str">
        <f>Inventory_Master!E306</f>
        <v/>
      </c>
      <c r="C306" s="2" t="str">
        <f>Inventory_Master!C306</f>
        <v/>
      </c>
      <c r="D306" s="2" t="str">
        <f>Inventory_Master!R306</f>
        <v/>
      </c>
      <c r="E306" s="2" t="str">
        <f>Inventory_Master!W306</f>
        <v/>
      </c>
      <c r="F306" s="2" t="str">
        <f>IF($A306="","",TRIM(_xludf.textjoin("; ",TRUE(),IF(Inventory_Master!R306&lt;&gt;"OK","Invalid category",""),IF(Inventory_Master!J306="","Missing price_inr",""),IF(Inventory_Master!O306="","Missing image",""),IF(Inventory_Master!S306&gt;0,"Has size variants",""),IF(Inventory_Master!C306="ERROR","Validation error",""),IF(Inventory_Master!C306="WARNING","Review warning",""))))</f>
        <v/>
      </c>
      <c r="G306" s="2" t="str">
        <f t="shared" ref="G306:G369" si="12">IF($F306="","NO","YES")</f>
        <v>NO</v>
      </c>
      <c r="H306" s="2" t="str">
        <f>IF($A306="","",IF(Inventory_Master!R306&lt;&gt;"OK","Invalid Category",IF(Inventory_Master!J306="","Missing Price",IF(Inventory_Master!O306="","Missing Image",IF(Inventory_Master!S306&gt;0,"Size Price Review",IF(Inventory_Master!C306="ERROR","Validation Error",""))))))</f>
        <v/>
      </c>
      <c r="I306" s="2" t="str">
        <f t="shared" ref="I306:I369" si="13">IF($G306="NO","",IF(OR($H306="Invalid Category",$H306="Missing Price",$H306="Validation Error"),"HIGH","MEDIUM"))</f>
        <v/>
      </c>
      <c r="J306" s="2" t="str">
        <f t="shared" ref="J306:J369" si="14">IF($G306="NO","",IF($H306="Size Price Review","REVIEW",IF($H306="Missing Image","REVIEW","REVIEW")))</f>
        <v/>
      </c>
    </row>
    <row r="307" spans="1:10" ht="12" customHeight="1" x14ac:dyDescent="0.3">
      <c r="A307" s="2" t="str">
        <f>Inventory_Master!D307</f>
        <v/>
      </c>
      <c r="B307" s="2" t="str">
        <f>Inventory_Master!E307</f>
        <v/>
      </c>
      <c r="C307" s="2" t="str">
        <f>Inventory_Master!C307</f>
        <v/>
      </c>
      <c r="D307" s="2" t="str">
        <f>Inventory_Master!R307</f>
        <v/>
      </c>
      <c r="E307" s="2" t="str">
        <f>Inventory_Master!W307</f>
        <v/>
      </c>
      <c r="F307" s="2" t="str">
        <f>IF($A307="","",TRIM(_xludf.textjoin("; ",TRUE(),IF(Inventory_Master!R307&lt;&gt;"OK","Invalid category",""),IF(Inventory_Master!J307="","Missing price_inr",""),IF(Inventory_Master!O307="","Missing image",""),IF(Inventory_Master!S307&gt;0,"Has size variants",""),IF(Inventory_Master!C307="ERROR","Validation error",""),IF(Inventory_Master!C307="WARNING","Review warning",""))))</f>
        <v/>
      </c>
      <c r="G307" s="2" t="str">
        <f t="shared" si="12"/>
        <v>NO</v>
      </c>
      <c r="H307" s="2" t="str">
        <f>IF($A307="","",IF(Inventory_Master!R307&lt;&gt;"OK","Invalid Category",IF(Inventory_Master!J307="","Missing Price",IF(Inventory_Master!O307="","Missing Image",IF(Inventory_Master!S307&gt;0,"Size Price Review",IF(Inventory_Master!C307="ERROR","Validation Error",""))))))</f>
        <v/>
      </c>
      <c r="I307" s="2" t="str">
        <f t="shared" si="13"/>
        <v/>
      </c>
      <c r="J307" s="2" t="str">
        <f t="shared" si="14"/>
        <v/>
      </c>
    </row>
    <row r="308" spans="1:10" ht="12" customHeight="1" x14ac:dyDescent="0.3">
      <c r="A308" s="2" t="str">
        <f>Inventory_Master!D308</f>
        <v/>
      </c>
      <c r="B308" s="2" t="str">
        <f>Inventory_Master!E308</f>
        <v/>
      </c>
      <c r="C308" s="2" t="str">
        <f>Inventory_Master!C308</f>
        <v/>
      </c>
      <c r="D308" s="2" t="str">
        <f>Inventory_Master!R308</f>
        <v/>
      </c>
      <c r="E308" s="2" t="str">
        <f>Inventory_Master!W308</f>
        <v/>
      </c>
      <c r="F308" s="2" t="str">
        <f>IF($A308="","",TRIM(_xludf.textjoin("; ",TRUE(),IF(Inventory_Master!R308&lt;&gt;"OK","Invalid category",""),IF(Inventory_Master!J308="","Missing price_inr",""),IF(Inventory_Master!O308="","Missing image",""),IF(Inventory_Master!S308&gt;0,"Has size variants",""),IF(Inventory_Master!C308="ERROR","Validation error",""),IF(Inventory_Master!C308="WARNING","Review warning",""))))</f>
        <v/>
      </c>
      <c r="G308" s="2" t="str">
        <f t="shared" si="12"/>
        <v>NO</v>
      </c>
      <c r="H308" s="2" t="str">
        <f>IF($A308="","",IF(Inventory_Master!R308&lt;&gt;"OK","Invalid Category",IF(Inventory_Master!J308="","Missing Price",IF(Inventory_Master!O308="","Missing Image",IF(Inventory_Master!S308&gt;0,"Size Price Review",IF(Inventory_Master!C308="ERROR","Validation Error",""))))))</f>
        <v/>
      </c>
      <c r="I308" s="2" t="str">
        <f t="shared" si="13"/>
        <v/>
      </c>
      <c r="J308" s="2" t="str">
        <f t="shared" si="14"/>
        <v/>
      </c>
    </row>
    <row r="309" spans="1:10" ht="12" customHeight="1" x14ac:dyDescent="0.3">
      <c r="A309" s="2" t="str">
        <f>Inventory_Master!D309</f>
        <v/>
      </c>
      <c r="B309" s="2" t="str">
        <f>Inventory_Master!E309</f>
        <v/>
      </c>
      <c r="C309" s="2" t="str">
        <f>Inventory_Master!C309</f>
        <v/>
      </c>
      <c r="D309" s="2" t="str">
        <f>Inventory_Master!R309</f>
        <v/>
      </c>
      <c r="E309" s="2" t="str">
        <f>Inventory_Master!W309</f>
        <v/>
      </c>
      <c r="F309" s="2" t="str">
        <f>IF($A309="","",TRIM(_xludf.textjoin("; ",TRUE(),IF(Inventory_Master!R309&lt;&gt;"OK","Invalid category",""),IF(Inventory_Master!J309="","Missing price_inr",""),IF(Inventory_Master!O309="","Missing image",""),IF(Inventory_Master!S309&gt;0,"Has size variants",""),IF(Inventory_Master!C309="ERROR","Validation error",""),IF(Inventory_Master!C309="WARNING","Review warning",""))))</f>
        <v/>
      </c>
      <c r="G309" s="2" t="str">
        <f t="shared" si="12"/>
        <v>NO</v>
      </c>
      <c r="H309" s="2" t="str">
        <f>IF($A309="","",IF(Inventory_Master!R309&lt;&gt;"OK","Invalid Category",IF(Inventory_Master!J309="","Missing Price",IF(Inventory_Master!O309="","Missing Image",IF(Inventory_Master!S309&gt;0,"Size Price Review",IF(Inventory_Master!C309="ERROR","Validation Error",""))))))</f>
        <v/>
      </c>
      <c r="I309" s="2" t="str">
        <f t="shared" si="13"/>
        <v/>
      </c>
      <c r="J309" s="2" t="str">
        <f t="shared" si="14"/>
        <v/>
      </c>
    </row>
    <row r="310" spans="1:10" ht="12" customHeight="1" x14ac:dyDescent="0.3">
      <c r="A310" s="2" t="str">
        <f>Inventory_Master!D310</f>
        <v/>
      </c>
      <c r="B310" s="2" t="str">
        <f>Inventory_Master!E310</f>
        <v/>
      </c>
      <c r="C310" s="2" t="str">
        <f>Inventory_Master!C310</f>
        <v/>
      </c>
      <c r="D310" s="2" t="str">
        <f>Inventory_Master!R310</f>
        <v/>
      </c>
      <c r="E310" s="2" t="str">
        <f>Inventory_Master!W310</f>
        <v/>
      </c>
      <c r="F310" s="2" t="str">
        <f>IF($A310="","",TRIM(_xludf.textjoin("; ",TRUE(),IF(Inventory_Master!R310&lt;&gt;"OK","Invalid category",""),IF(Inventory_Master!J310="","Missing price_inr",""),IF(Inventory_Master!O310="","Missing image",""),IF(Inventory_Master!S310&gt;0,"Has size variants",""),IF(Inventory_Master!C310="ERROR","Validation error",""),IF(Inventory_Master!C310="WARNING","Review warning",""))))</f>
        <v/>
      </c>
      <c r="G310" s="2" t="str">
        <f t="shared" si="12"/>
        <v>NO</v>
      </c>
      <c r="H310" s="2" t="str">
        <f>IF($A310="","",IF(Inventory_Master!R310&lt;&gt;"OK","Invalid Category",IF(Inventory_Master!J310="","Missing Price",IF(Inventory_Master!O310="","Missing Image",IF(Inventory_Master!S310&gt;0,"Size Price Review",IF(Inventory_Master!C310="ERROR","Validation Error",""))))))</f>
        <v/>
      </c>
      <c r="I310" s="2" t="str">
        <f t="shared" si="13"/>
        <v/>
      </c>
      <c r="J310" s="2" t="str">
        <f t="shared" si="14"/>
        <v/>
      </c>
    </row>
    <row r="311" spans="1:10" ht="12" customHeight="1" x14ac:dyDescent="0.3">
      <c r="A311" s="2" t="str">
        <f>Inventory_Master!D311</f>
        <v/>
      </c>
      <c r="B311" s="2" t="str">
        <f>Inventory_Master!E311</f>
        <v/>
      </c>
      <c r="C311" s="2" t="str">
        <f>Inventory_Master!C311</f>
        <v/>
      </c>
      <c r="D311" s="2" t="str">
        <f>Inventory_Master!R311</f>
        <v/>
      </c>
      <c r="E311" s="2" t="str">
        <f>Inventory_Master!W311</f>
        <v/>
      </c>
      <c r="F311" s="2" t="str">
        <f>IF($A311="","",TRIM(_xludf.textjoin("; ",TRUE(),IF(Inventory_Master!R311&lt;&gt;"OK","Invalid category",""),IF(Inventory_Master!J311="","Missing price_inr",""),IF(Inventory_Master!O311="","Missing image",""),IF(Inventory_Master!S311&gt;0,"Has size variants",""),IF(Inventory_Master!C311="ERROR","Validation error",""),IF(Inventory_Master!C311="WARNING","Review warning",""))))</f>
        <v/>
      </c>
      <c r="G311" s="2" t="str">
        <f t="shared" si="12"/>
        <v>NO</v>
      </c>
      <c r="H311" s="2" t="str">
        <f>IF($A311="","",IF(Inventory_Master!R311&lt;&gt;"OK","Invalid Category",IF(Inventory_Master!J311="","Missing Price",IF(Inventory_Master!O311="","Missing Image",IF(Inventory_Master!S311&gt;0,"Size Price Review",IF(Inventory_Master!C311="ERROR","Validation Error",""))))))</f>
        <v/>
      </c>
      <c r="I311" s="2" t="str">
        <f t="shared" si="13"/>
        <v/>
      </c>
      <c r="J311" s="2" t="str">
        <f t="shared" si="14"/>
        <v/>
      </c>
    </row>
    <row r="312" spans="1:10" ht="12" customHeight="1" x14ac:dyDescent="0.3">
      <c r="A312" s="2" t="str">
        <f>Inventory_Master!D312</f>
        <v/>
      </c>
      <c r="B312" s="2" t="str">
        <f>Inventory_Master!E312</f>
        <v/>
      </c>
      <c r="C312" s="2" t="str">
        <f>Inventory_Master!C312</f>
        <v/>
      </c>
      <c r="D312" s="2" t="str">
        <f>Inventory_Master!R312</f>
        <v/>
      </c>
      <c r="E312" s="2" t="str">
        <f>Inventory_Master!W312</f>
        <v/>
      </c>
      <c r="F312" s="2" t="str">
        <f>IF($A312="","",TRIM(_xludf.textjoin("; ",TRUE(),IF(Inventory_Master!R312&lt;&gt;"OK","Invalid category",""),IF(Inventory_Master!J312="","Missing price_inr",""),IF(Inventory_Master!O312="","Missing image",""),IF(Inventory_Master!S312&gt;0,"Has size variants",""),IF(Inventory_Master!C312="ERROR","Validation error",""),IF(Inventory_Master!C312="WARNING","Review warning",""))))</f>
        <v/>
      </c>
      <c r="G312" s="2" t="str">
        <f t="shared" si="12"/>
        <v>NO</v>
      </c>
      <c r="H312" s="2" t="str">
        <f>IF($A312="","",IF(Inventory_Master!R312&lt;&gt;"OK","Invalid Category",IF(Inventory_Master!J312="","Missing Price",IF(Inventory_Master!O312="","Missing Image",IF(Inventory_Master!S312&gt;0,"Size Price Review",IF(Inventory_Master!C312="ERROR","Validation Error",""))))))</f>
        <v/>
      </c>
      <c r="I312" s="2" t="str">
        <f t="shared" si="13"/>
        <v/>
      </c>
      <c r="J312" s="2" t="str">
        <f t="shared" si="14"/>
        <v/>
      </c>
    </row>
    <row r="313" spans="1:10" ht="12" customHeight="1" x14ac:dyDescent="0.3">
      <c r="A313" s="2" t="str">
        <f>Inventory_Master!D313</f>
        <v/>
      </c>
      <c r="B313" s="2" t="str">
        <f>Inventory_Master!E313</f>
        <v/>
      </c>
      <c r="C313" s="2" t="str">
        <f>Inventory_Master!C313</f>
        <v/>
      </c>
      <c r="D313" s="2" t="str">
        <f>Inventory_Master!R313</f>
        <v/>
      </c>
      <c r="E313" s="2" t="str">
        <f>Inventory_Master!W313</f>
        <v/>
      </c>
      <c r="F313" s="2" t="str">
        <f>IF($A313="","",TRIM(_xludf.textjoin("; ",TRUE(),IF(Inventory_Master!R313&lt;&gt;"OK","Invalid category",""),IF(Inventory_Master!J313="","Missing price_inr",""),IF(Inventory_Master!O313="","Missing image",""),IF(Inventory_Master!S313&gt;0,"Has size variants",""),IF(Inventory_Master!C313="ERROR","Validation error",""),IF(Inventory_Master!C313="WARNING","Review warning",""))))</f>
        <v/>
      </c>
      <c r="G313" s="2" t="str">
        <f t="shared" si="12"/>
        <v>NO</v>
      </c>
      <c r="H313" s="2" t="str">
        <f>IF($A313="","",IF(Inventory_Master!R313&lt;&gt;"OK","Invalid Category",IF(Inventory_Master!J313="","Missing Price",IF(Inventory_Master!O313="","Missing Image",IF(Inventory_Master!S313&gt;0,"Size Price Review",IF(Inventory_Master!C313="ERROR","Validation Error",""))))))</f>
        <v/>
      </c>
      <c r="I313" s="2" t="str">
        <f t="shared" si="13"/>
        <v/>
      </c>
      <c r="J313" s="2" t="str">
        <f t="shared" si="14"/>
        <v/>
      </c>
    </row>
    <row r="314" spans="1:10" ht="12" customHeight="1" x14ac:dyDescent="0.3">
      <c r="A314" s="2" t="str">
        <f>Inventory_Master!D314</f>
        <v/>
      </c>
      <c r="B314" s="2" t="str">
        <f>Inventory_Master!E314</f>
        <v/>
      </c>
      <c r="C314" s="2" t="str">
        <f>Inventory_Master!C314</f>
        <v/>
      </c>
      <c r="D314" s="2" t="str">
        <f>Inventory_Master!R314</f>
        <v/>
      </c>
      <c r="E314" s="2" t="str">
        <f>Inventory_Master!W314</f>
        <v/>
      </c>
      <c r="F314" s="2" t="str">
        <f>IF($A314="","",TRIM(_xludf.textjoin("; ",TRUE(),IF(Inventory_Master!R314&lt;&gt;"OK","Invalid category",""),IF(Inventory_Master!J314="","Missing price_inr",""),IF(Inventory_Master!O314="","Missing image",""),IF(Inventory_Master!S314&gt;0,"Has size variants",""),IF(Inventory_Master!C314="ERROR","Validation error",""),IF(Inventory_Master!C314="WARNING","Review warning",""))))</f>
        <v/>
      </c>
      <c r="G314" s="2" t="str">
        <f t="shared" si="12"/>
        <v>NO</v>
      </c>
      <c r="H314" s="2" t="str">
        <f>IF($A314="","",IF(Inventory_Master!R314&lt;&gt;"OK","Invalid Category",IF(Inventory_Master!J314="","Missing Price",IF(Inventory_Master!O314="","Missing Image",IF(Inventory_Master!S314&gt;0,"Size Price Review",IF(Inventory_Master!C314="ERROR","Validation Error",""))))))</f>
        <v/>
      </c>
      <c r="I314" s="2" t="str">
        <f t="shared" si="13"/>
        <v/>
      </c>
      <c r="J314" s="2" t="str">
        <f t="shared" si="14"/>
        <v/>
      </c>
    </row>
    <row r="315" spans="1:10" ht="12" customHeight="1" x14ac:dyDescent="0.3">
      <c r="A315" s="2" t="str">
        <f>Inventory_Master!D315</f>
        <v/>
      </c>
      <c r="B315" s="2" t="str">
        <f>Inventory_Master!E315</f>
        <v/>
      </c>
      <c r="C315" s="2" t="str">
        <f>Inventory_Master!C315</f>
        <v/>
      </c>
      <c r="D315" s="2" t="str">
        <f>Inventory_Master!R315</f>
        <v/>
      </c>
      <c r="E315" s="2" t="str">
        <f>Inventory_Master!W315</f>
        <v/>
      </c>
      <c r="F315" s="2" t="str">
        <f>IF($A315="","",TRIM(_xludf.textjoin("; ",TRUE(),IF(Inventory_Master!R315&lt;&gt;"OK","Invalid category",""),IF(Inventory_Master!J315="","Missing price_inr",""),IF(Inventory_Master!O315="","Missing image",""),IF(Inventory_Master!S315&gt;0,"Has size variants",""),IF(Inventory_Master!C315="ERROR","Validation error",""),IF(Inventory_Master!C315="WARNING","Review warning",""))))</f>
        <v/>
      </c>
      <c r="G315" s="2" t="str">
        <f t="shared" si="12"/>
        <v>NO</v>
      </c>
      <c r="H315" s="2" t="str">
        <f>IF($A315="","",IF(Inventory_Master!R315&lt;&gt;"OK","Invalid Category",IF(Inventory_Master!J315="","Missing Price",IF(Inventory_Master!O315="","Missing Image",IF(Inventory_Master!S315&gt;0,"Size Price Review",IF(Inventory_Master!C315="ERROR","Validation Error",""))))))</f>
        <v/>
      </c>
      <c r="I315" s="2" t="str">
        <f t="shared" si="13"/>
        <v/>
      </c>
      <c r="J315" s="2" t="str">
        <f t="shared" si="14"/>
        <v/>
      </c>
    </row>
    <row r="316" spans="1:10" ht="12" customHeight="1" x14ac:dyDescent="0.3">
      <c r="A316" s="2" t="str">
        <f>Inventory_Master!D316</f>
        <v/>
      </c>
      <c r="B316" s="2" t="str">
        <f>Inventory_Master!E316</f>
        <v/>
      </c>
      <c r="C316" s="2" t="str">
        <f>Inventory_Master!C316</f>
        <v/>
      </c>
      <c r="D316" s="2" t="str">
        <f>Inventory_Master!R316</f>
        <v/>
      </c>
      <c r="E316" s="2" t="str">
        <f>Inventory_Master!W316</f>
        <v/>
      </c>
      <c r="F316" s="2" t="str">
        <f>IF($A316="","",TRIM(_xludf.textjoin("; ",TRUE(),IF(Inventory_Master!R316&lt;&gt;"OK","Invalid category",""),IF(Inventory_Master!J316="","Missing price_inr",""),IF(Inventory_Master!O316="","Missing image",""),IF(Inventory_Master!S316&gt;0,"Has size variants",""),IF(Inventory_Master!C316="ERROR","Validation error",""),IF(Inventory_Master!C316="WARNING","Review warning",""))))</f>
        <v/>
      </c>
      <c r="G316" s="2" t="str">
        <f t="shared" si="12"/>
        <v>NO</v>
      </c>
      <c r="H316" s="2" t="str">
        <f>IF($A316="","",IF(Inventory_Master!R316&lt;&gt;"OK","Invalid Category",IF(Inventory_Master!J316="","Missing Price",IF(Inventory_Master!O316="","Missing Image",IF(Inventory_Master!S316&gt;0,"Size Price Review",IF(Inventory_Master!C316="ERROR","Validation Error",""))))))</f>
        <v/>
      </c>
      <c r="I316" s="2" t="str">
        <f t="shared" si="13"/>
        <v/>
      </c>
      <c r="J316" s="2" t="str">
        <f t="shared" si="14"/>
        <v/>
      </c>
    </row>
    <row r="317" spans="1:10" ht="12" customHeight="1" x14ac:dyDescent="0.3">
      <c r="A317" s="2" t="str">
        <f>Inventory_Master!D317</f>
        <v/>
      </c>
      <c r="B317" s="2" t="str">
        <f>Inventory_Master!E317</f>
        <v/>
      </c>
      <c r="C317" s="2" t="str">
        <f>Inventory_Master!C317</f>
        <v/>
      </c>
      <c r="D317" s="2" t="str">
        <f>Inventory_Master!R317</f>
        <v/>
      </c>
      <c r="E317" s="2" t="str">
        <f>Inventory_Master!W317</f>
        <v/>
      </c>
      <c r="F317" s="2" t="str">
        <f>IF($A317="","",TRIM(_xludf.textjoin("; ",TRUE(),IF(Inventory_Master!R317&lt;&gt;"OK","Invalid category",""),IF(Inventory_Master!J317="","Missing price_inr",""),IF(Inventory_Master!O317="","Missing image",""),IF(Inventory_Master!S317&gt;0,"Has size variants",""),IF(Inventory_Master!C317="ERROR","Validation error",""),IF(Inventory_Master!C317="WARNING","Review warning",""))))</f>
        <v/>
      </c>
      <c r="G317" s="2" t="str">
        <f t="shared" si="12"/>
        <v>NO</v>
      </c>
      <c r="H317" s="2" t="str">
        <f>IF($A317="","",IF(Inventory_Master!R317&lt;&gt;"OK","Invalid Category",IF(Inventory_Master!J317="","Missing Price",IF(Inventory_Master!O317="","Missing Image",IF(Inventory_Master!S317&gt;0,"Size Price Review",IF(Inventory_Master!C317="ERROR","Validation Error",""))))))</f>
        <v/>
      </c>
      <c r="I317" s="2" t="str">
        <f t="shared" si="13"/>
        <v/>
      </c>
      <c r="J317" s="2" t="str">
        <f t="shared" si="14"/>
        <v/>
      </c>
    </row>
    <row r="318" spans="1:10" ht="12" customHeight="1" x14ac:dyDescent="0.3">
      <c r="A318" s="2" t="str">
        <f>Inventory_Master!D318</f>
        <v/>
      </c>
      <c r="B318" s="2" t="str">
        <f>Inventory_Master!E318</f>
        <v/>
      </c>
      <c r="C318" s="2" t="str">
        <f>Inventory_Master!C318</f>
        <v/>
      </c>
      <c r="D318" s="2" t="str">
        <f>Inventory_Master!R318</f>
        <v/>
      </c>
      <c r="E318" s="2" t="str">
        <f>Inventory_Master!W318</f>
        <v/>
      </c>
      <c r="F318" s="2" t="str">
        <f>IF($A318="","",TRIM(_xludf.textjoin("; ",TRUE(),IF(Inventory_Master!R318&lt;&gt;"OK","Invalid category",""),IF(Inventory_Master!J318="","Missing price_inr",""),IF(Inventory_Master!O318="","Missing image",""),IF(Inventory_Master!S318&gt;0,"Has size variants",""),IF(Inventory_Master!C318="ERROR","Validation error",""),IF(Inventory_Master!C318="WARNING","Review warning",""))))</f>
        <v/>
      </c>
      <c r="G318" s="2" t="str">
        <f t="shared" si="12"/>
        <v>NO</v>
      </c>
      <c r="H318" s="2" t="str">
        <f>IF($A318="","",IF(Inventory_Master!R318&lt;&gt;"OK","Invalid Category",IF(Inventory_Master!J318="","Missing Price",IF(Inventory_Master!O318="","Missing Image",IF(Inventory_Master!S318&gt;0,"Size Price Review",IF(Inventory_Master!C318="ERROR","Validation Error",""))))))</f>
        <v/>
      </c>
      <c r="I318" s="2" t="str">
        <f t="shared" si="13"/>
        <v/>
      </c>
      <c r="J318" s="2" t="str">
        <f t="shared" si="14"/>
        <v/>
      </c>
    </row>
    <row r="319" spans="1:10" ht="12" customHeight="1" x14ac:dyDescent="0.3">
      <c r="A319" s="2" t="str">
        <f>Inventory_Master!D319</f>
        <v/>
      </c>
      <c r="B319" s="2" t="str">
        <f>Inventory_Master!E319</f>
        <v/>
      </c>
      <c r="C319" s="2" t="str">
        <f>Inventory_Master!C319</f>
        <v/>
      </c>
      <c r="D319" s="2" t="str">
        <f>Inventory_Master!R319</f>
        <v/>
      </c>
      <c r="E319" s="2" t="str">
        <f>Inventory_Master!W319</f>
        <v/>
      </c>
      <c r="F319" s="2" t="str">
        <f>IF($A319="","",TRIM(_xludf.textjoin("; ",TRUE(),IF(Inventory_Master!R319&lt;&gt;"OK","Invalid category",""),IF(Inventory_Master!J319="","Missing price_inr",""),IF(Inventory_Master!O319="","Missing image",""),IF(Inventory_Master!S319&gt;0,"Has size variants",""),IF(Inventory_Master!C319="ERROR","Validation error",""),IF(Inventory_Master!C319="WARNING","Review warning",""))))</f>
        <v/>
      </c>
      <c r="G319" s="2" t="str">
        <f t="shared" si="12"/>
        <v>NO</v>
      </c>
      <c r="H319" s="2" t="str">
        <f>IF($A319="","",IF(Inventory_Master!R319&lt;&gt;"OK","Invalid Category",IF(Inventory_Master!J319="","Missing Price",IF(Inventory_Master!O319="","Missing Image",IF(Inventory_Master!S319&gt;0,"Size Price Review",IF(Inventory_Master!C319="ERROR","Validation Error",""))))))</f>
        <v/>
      </c>
      <c r="I319" s="2" t="str">
        <f t="shared" si="13"/>
        <v/>
      </c>
      <c r="J319" s="2" t="str">
        <f t="shared" si="14"/>
        <v/>
      </c>
    </row>
    <row r="320" spans="1:10" ht="12" customHeight="1" x14ac:dyDescent="0.3">
      <c r="A320" s="2" t="str">
        <f>Inventory_Master!D320</f>
        <v/>
      </c>
      <c r="B320" s="2" t="str">
        <f>Inventory_Master!E320</f>
        <v/>
      </c>
      <c r="C320" s="2" t="str">
        <f>Inventory_Master!C320</f>
        <v/>
      </c>
      <c r="D320" s="2" t="str">
        <f>Inventory_Master!R320</f>
        <v/>
      </c>
      <c r="E320" s="2" t="str">
        <f>Inventory_Master!W320</f>
        <v/>
      </c>
      <c r="F320" s="2" t="str">
        <f>IF($A320="","",TRIM(_xludf.textjoin("; ",TRUE(),IF(Inventory_Master!R320&lt;&gt;"OK","Invalid category",""),IF(Inventory_Master!J320="","Missing price_inr",""),IF(Inventory_Master!O320="","Missing image",""),IF(Inventory_Master!S320&gt;0,"Has size variants",""),IF(Inventory_Master!C320="ERROR","Validation error",""),IF(Inventory_Master!C320="WARNING","Review warning",""))))</f>
        <v/>
      </c>
      <c r="G320" s="2" t="str">
        <f t="shared" si="12"/>
        <v>NO</v>
      </c>
      <c r="H320" s="2" t="str">
        <f>IF($A320="","",IF(Inventory_Master!R320&lt;&gt;"OK","Invalid Category",IF(Inventory_Master!J320="","Missing Price",IF(Inventory_Master!O320="","Missing Image",IF(Inventory_Master!S320&gt;0,"Size Price Review",IF(Inventory_Master!C320="ERROR","Validation Error",""))))))</f>
        <v/>
      </c>
      <c r="I320" s="2" t="str">
        <f t="shared" si="13"/>
        <v/>
      </c>
      <c r="J320" s="2" t="str">
        <f t="shared" si="14"/>
        <v/>
      </c>
    </row>
    <row r="321" spans="1:10" ht="12" customHeight="1" x14ac:dyDescent="0.3">
      <c r="A321" s="2" t="str">
        <f>Inventory_Master!D321</f>
        <v/>
      </c>
      <c r="B321" s="2" t="str">
        <f>Inventory_Master!E321</f>
        <v/>
      </c>
      <c r="C321" s="2" t="str">
        <f>Inventory_Master!C321</f>
        <v/>
      </c>
      <c r="D321" s="2" t="str">
        <f>Inventory_Master!R321</f>
        <v/>
      </c>
      <c r="E321" s="2" t="str">
        <f>Inventory_Master!W321</f>
        <v/>
      </c>
      <c r="F321" s="2" t="str">
        <f>IF($A321="","",TRIM(_xludf.textjoin("; ",TRUE(),IF(Inventory_Master!R321&lt;&gt;"OK","Invalid category",""),IF(Inventory_Master!J321="","Missing price_inr",""),IF(Inventory_Master!O321="","Missing image",""),IF(Inventory_Master!S321&gt;0,"Has size variants",""),IF(Inventory_Master!C321="ERROR","Validation error",""),IF(Inventory_Master!C321="WARNING","Review warning",""))))</f>
        <v/>
      </c>
      <c r="G321" s="2" t="str">
        <f t="shared" si="12"/>
        <v>NO</v>
      </c>
      <c r="H321" s="2" t="str">
        <f>IF($A321="","",IF(Inventory_Master!R321&lt;&gt;"OK","Invalid Category",IF(Inventory_Master!J321="","Missing Price",IF(Inventory_Master!O321="","Missing Image",IF(Inventory_Master!S321&gt;0,"Size Price Review",IF(Inventory_Master!C321="ERROR","Validation Error",""))))))</f>
        <v/>
      </c>
      <c r="I321" s="2" t="str">
        <f t="shared" si="13"/>
        <v/>
      </c>
      <c r="J321" s="2" t="str">
        <f t="shared" si="14"/>
        <v/>
      </c>
    </row>
    <row r="322" spans="1:10" ht="12" customHeight="1" x14ac:dyDescent="0.3">
      <c r="A322" s="2" t="str">
        <f>Inventory_Master!D322</f>
        <v/>
      </c>
      <c r="B322" s="2" t="str">
        <f>Inventory_Master!E322</f>
        <v/>
      </c>
      <c r="C322" s="2" t="str">
        <f>Inventory_Master!C322</f>
        <v/>
      </c>
      <c r="D322" s="2" t="str">
        <f>Inventory_Master!R322</f>
        <v/>
      </c>
      <c r="E322" s="2" t="str">
        <f>Inventory_Master!W322</f>
        <v/>
      </c>
      <c r="F322" s="2" t="str">
        <f>IF($A322="","",TRIM(_xludf.textjoin("; ",TRUE(),IF(Inventory_Master!R322&lt;&gt;"OK","Invalid category",""),IF(Inventory_Master!J322="","Missing price_inr",""),IF(Inventory_Master!O322="","Missing image",""),IF(Inventory_Master!S322&gt;0,"Has size variants",""),IF(Inventory_Master!C322="ERROR","Validation error",""),IF(Inventory_Master!C322="WARNING","Review warning",""))))</f>
        <v/>
      </c>
      <c r="G322" s="2" t="str">
        <f t="shared" si="12"/>
        <v>NO</v>
      </c>
      <c r="H322" s="2" t="str">
        <f>IF($A322="","",IF(Inventory_Master!R322&lt;&gt;"OK","Invalid Category",IF(Inventory_Master!J322="","Missing Price",IF(Inventory_Master!O322="","Missing Image",IF(Inventory_Master!S322&gt;0,"Size Price Review",IF(Inventory_Master!C322="ERROR","Validation Error",""))))))</f>
        <v/>
      </c>
      <c r="I322" s="2" t="str">
        <f t="shared" si="13"/>
        <v/>
      </c>
      <c r="J322" s="2" t="str">
        <f t="shared" si="14"/>
        <v/>
      </c>
    </row>
    <row r="323" spans="1:10" ht="12" customHeight="1" x14ac:dyDescent="0.3">
      <c r="A323" s="2" t="str">
        <f>Inventory_Master!D323</f>
        <v/>
      </c>
      <c r="B323" s="2" t="str">
        <f>Inventory_Master!E323</f>
        <v/>
      </c>
      <c r="C323" s="2" t="str">
        <f>Inventory_Master!C323</f>
        <v/>
      </c>
      <c r="D323" s="2" t="str">
        <f>Inventory_Master!R323</f>
        <v/>
      </c>
      <c r="E323" s="2" t="str">
        <f>Inventory_Master!W323</f>
        <v/>
      </c>
      <c r="F323" s="2" t="str">
        <f>IF($A323="","",TRIM(_xludf.textjoin("; ",TRUE(),IF(Inventory_Master!R323&lt;&gt;"OK","Invalid category",""),IF(Inventory_Master!J323="","Missing price_inr",""),IF(Inventory_Master!O323="","Missing image",""),IF(Inventory_Master!S323&gt;0,"Has size variants",""),IF(Inventory_Master!C323="ERROR","Validation error",""),IF(Inventory_Master!C323="WARNING","Review warning",""))))</f>
        <v/>
      </c>
      <c r="G323" s="2" t="str">
        <f t="shared" si="12"/>
        <v>NO</v>
      </c>
      <c r="H323" s="2" t="str">
        <f>IF($A323="","",IF(Inventory_Master!R323&lt;&gt;"OK","Invalid Category",IF(Inventory_Master!J323="","Missing Price",IF(Inventory_Master!O323="","Missing Image",IF(Inventory_Master!S323&gt;0,"Size Price Review",IF(Inventory_Master!C323="ERROR","Validation Error",""))))))</f>
        <v/>
      </c>
      <c r="I323" s="2" t="str">
        <f t="shared" si="13"/>
        <v/>
      </c>
      <c r="J323" s="2" t="str">
        <f t="shared" si="14"/>
        <v/>
      </c>
    </row>
    <row r="324" spans="1:10" ht="12" customHeight="1" x14ac:dyDescent="0.3">
      <c r="A324" s="2" t="str">
        <f>Inventory_Master!D324</f>
        <v/>
      </c>
      <c r="B324" s="2" t="str">
        <f>Inventory_Master!E324</f>
        <v/>
      </c>
      <c r="C324" s="2" t="str">
        <f>Inventory_Master!C324</f>
        <v/>
      </c>
      <c r="D324" s="2" t="str">
        <f>Inventory_Master!R324</f>
        <v/>
      </c>
      <c r="E324" s="2" t="str">
        <f>Inventory_Master!W324</f>
        <v/>
      </c>
      <c r="F324" s="2" t="str">
        <f>IF($A324="","",TRIM(_xludf.textjoin("; ",TRUE(),IF(Inventory_Master!R324&lt;&gt;"OK","Invalid category",""),IF(Inventory_Master!J324="","Missing price_inr",""),IF(Inventory_Master!O324="","Missing image",""),IF(Inventory_Master!S324&gt;0,"Has size variants",""),IF(Inventory_Master!C324="ERROR","Validation error",""),IF(Inventory_Master!C324="WARNING","Review warning",""))))</f>
        <v/>
      </c>
      <c r="G324" s="2" t="str">
        <f t="shared" si="12"/>
        <v>NO</v>
      </c>
      <c r="H324" s="2" t="str">
        <f>IF($A324="","",IF(Inventory_Master!R324&lt;&gt;"OK","Invalid Category",IF(Inventory_Master!J324="","Missing Price",IF(Inventory_Master!O324="","Missing Image",IF(Inventory_Master!S324&gt;0,"Size Price Review",IF(Inventory_Master!C324="ERROR","Validation Error",""))))))</f>
        <v/>
      </c>
      <c r="I324" s="2" t="str">
        <f t="shared" si="13"/>
        <v/>
      </c>
      <c r="J324" s="2" t="str">
        <f t="shared" si="14"/>
        <v/>
      </c>
    </row>
    <row r="325" spans="1:10" ht="12" customHeight="1" x14ac:dyDescent="0.3">
      <c r="A325" s="2" t="str">
        <f>Inventory_Master!D325</f>
        <v/>
      </c>
      <c r="B325" s="2" t="str">
        <f>Inventory_Master!E325</f>
        <v/>
      </c>
      <c r="C325" s="2" t="str">
        <f>Inventory_Master!C325</f>
        <v/>
      </c>
      <c r="D325" s="2" t="str">
        <f>Inventory_Master!R325</f>
        <v/>
      </c>
      <c r="E325" s="2" t="str">
        <f>Inventory_Master!W325</f>
        <v/>
      </c>
      <c r="F325" s="2" t="str">
        <f>IF($A325="","",TRIM(_xludf.textjoin("; ",TRUE(),IF(Inventory_Master!R325&lt;&gt;"OK","Invalid category",""),IF(Inventory_Master!J325="","Missing price_inr",""),IF(Inventory_Master!O325="","Missing image",""),IF(Inventory_Master!S325&gt;0,"Has size variants",""),IF(Inventory_Master!C325="ERROR","Validation error",""),IF(Inventory_Master!C325="WARNING","Review warning",""))))</f>
        <v/>
      </c>
      <c r="G325" s="2" t="str">
        <f t="shared" si="12"/>
        <v>NO</v>
      </c>
      <c r="H325" s="2" t="str">
        <f>IF($A325="","",IF(Inventory_Master!R325&lt;&gt;"OK","Invalid Category",IF(Inventory_Master!J325="","Missing Price",IF(Inventory_Master!O325="","Missing Image",IF(Inventory_Master!S325&gt;0,"Size Price Review",IF(Inventory_Master!C325="ERROR","Validation Error",""))))))</f>
        <v/>
      </c>
      <c r="I325" s="2" t="str">
        <f t="shared" si="13"/>
        <v/>
      </c>
      <c r="J325" s="2" t="str">
        <f t="shared" si="14"/>
        <v/>
      </c>
    </row>
    <row r="326" spans="1:10" ht="12" customHeight="1" x14ac:dyDescent="0.3">
      <c r="A326" s="2" t="str">
        <f>Inventory_Master!D326</f>
        <v/>
      </c>
      <c r="B326" s="2" t="str">
        <f>Inventory_Master!E326</f>
        <v/>
      </c>
      <c r="C326" s="2" t="str">
        <f>Inventory_Master!C326</f>
        <v/>
      </c>
      <c r="D326" s="2" t="str">
        <f>Inventory_Master!R326</f>
        <v/>
      </c>
      <c r="E326" s="2" t="str">
        <f>Inventory_Master!W326</f>
        <v/>
      </c>
      <c r="F326" s="2" t="str">
        <f>IF($A326="","",TRIM(_xludf.textjoin("; ",TRUE(),IF(Inventory_Master!R326&lt;&gt;"OK","Invalid category",""),IF(Inventory_Master!J326="","Missing price_inr",""),IF(Inventory_Master!O326="","Missing image",""),IF(Inventory_Master!S326&gt;0,"Has size variants",""),IF(Inventory_Master!C326="ERROR","Validation error",""),IF(Inventory_Master!C326="WARNING","Review warning",""))))</f>
        <v/>
      </c>
      <c r="G326" s="2" t="str">
        <f t="shared" si="12"/>
        <v>NO</v>
      </c>
      <c r="H326" s="2" t="str">
        <f>IF($A326="","",IF(Inventory_Master!R326&lt;&gt;"OK","Invalid Category",IF(Inventory_Master!J326="","Missing Price",IF(Inventory_Master!O326="","Missing Image",IF(Inventory_Master!S326&gt;0,"Size Price Review",IF(Inventory_Master!C326="ERROR","Validation Error",""))))))</f>
        <v/>
      </c>
      <c r="I326" s="2" t="str">
        <f t="shared" si="13"/>
        <v/>
      </c>
      <c r="J326" s="2" t="str">
        <f t="shared" si="14"/>
        <v/>
      </c>
    </row>
    <row r="327" spans="1:10" ht="12" customHeight="1" x14ac:dyDescent="0.3">
      <c r="A327" s="2" t="str">
        <f>Inventory_Master!D327</f>
        <v/>
      </c>
      <c r="B327" s="2" t="str">
        <f>Inventory_Master!E327</f>
        <v/>
      </c>
      <c r="C327" s="2" t="str">
        <f>Inventory_Master!C327</f>
        <v/>
      </c>
      <c r="D327" s="2" t="str">
        <f>Inventory_Master!R327</f>
        <v/>
      </c>
      <c r="E327" s="2" t="str">
        <f>Inventory_Master!W327</f>
        <v/>
      </c>
      <c r="F327" s="2" t="str">
        <f>IF($A327="","",TRIM(_xludf.textjoin("; ",TRUE(),IF(Inventory_Master!R327&lt;&gt;"OK","Invalid category",""),IF(Inventory_Master!J327="","Missing price_inr",""),IF(Inventory_Master!O327="","Missing image",""),IF(Inventory_Master!S327&gt;0,"Has size variants",""),IF(Inventory_Master!C327="ERROR","Validation error",""),IF(Inventory_Master!C327="WARNING","Review warning",""))))</f>
        <v/>
      </c>
      <c r="G327" s="2" t="str">
        <f t="shared" si="12"/>
        <v>NO</v>
      </c>
      <c r="H327" s="2" t="str">
        <f>IF($A327="","",IF(Inventory_Master!R327&lt;&gt;"OK","Invalid Category",IF(Inventory_Master!J327="","Missing Price",IF(Inventory_Master!O327="","Missing Image",IF(Inventory_Master!S327&gt;0,"Size Price Review",IF(Inventory_Master!C327="ERROR","Validation Error",""))))))</f>
        <v/>
      </c>
      <c r="I327" s="2" t="str">
        <f t="shared" si="13"/>
        <v/>
      </c>
      <c r="J327" s="2" t="str">
        <f t="shared" si="14"/>
        <v/>
      </c>
    </row>
    <row r="328" spans="1:10" ht="12" customHeight="1" x14ac:dyDescent="0.3">
      <c r="A328" s="2" t="str">
        <f>Inventory_Master!D328</f>
        <v/>
      </c>
      <c r="B328" s="2" t="str">
        <f>Inventory_Master!E328</f>
        <v/>
      </c>
      <c r="C328" s="2" t="str">
        <f>Inventory_Master!C328</f>
        <v/>
      </c>
      <c r="D328" s="2" t="str">
        <f>Inventory_Master!R328</f>
        <v/>
      </c>
      <c r="E328" s="2" t="str">
        <f>Inventory_Master!W328</f>
        <v/>
      </c>
      <c r="F328" s="2" t="str">
        <f>IF($A328="","",TRIM(_xludf.textjoin("; ",TRUE(),IF(Inventory_Master!R328&lt;&gt;"OK","Invalid category",""),IF(Inventory_Master!J328="","Missing price_inr",""),IF(Inventory_Master!O328="","Missing image",""),IF(Inventory_Master!S328&gt;0,"Has size variants",""),IF(Inventory_Master!C328="ERROR","Validation error",""),IF(Inventory_Master!C328="WARNING","Review warning",""))))</f>
        <v/>
      </c>
      <c r="G328" s="2" t="str">
        <f t="shared" si="12"/>
        <v>NO</v>
      </c>
      <c r="H328" s="2" t="str">
        <f>IF($A328="","",IF(Inventory_Master!R328&lt;&gt;"OK","Invalid Category",IF(Inventory_Master!J328="","Missing Price",IF(Inventory_Master!O328="","Missing Image",IF(Inventory_Master!S328&gt;0,"Size Price Review",IF(Inventory_Master!C328="ERROR","Validation Error",""))))))</f>
        <v/>
      </c>
      <c r="I328" s="2" t="str">
        <f t="shared" si="13"/>
        <v/>
      </c>
      <c r="J328" s="2" t="str">
        <f t="shared" si="14"/>
        <v/>
      </c>
    </row>
    <row r="329" spans="1:10" ht="12" customHeight="1" x14ac:dyDescent="0.3">
      <c r="A329" s="2" t="str">
        <f>Inventory_Master!D329</f>
        <v/>
      </c>
      <c r="B329" s="2" t="str">
        <f>Inventory_Master!E329</f>
        <v/>
      </c>
      <c r="C329" s="2" t="str">
        <f>Inventory_Master!C329</f>
        <v/>
      </c>
      <c r="D329" s="2" t="str">
        <f>Inventory_Master!R329</f>
        <v/>
      </c>
      <c r="E329" s="2" t="str">
        <f>Inventory_Master!W329</f>
        <v/>
      </c>
      <c r="F329" s="2" t="str">
        <f>IF($A329="","",TRIM(_xludf.textjoin("; ",TRUE(),IF(Inventory_Master!R329&lt;&gt;"OK","Invalid category",""),IF(Inventory_Master!J329="","Missing price_inr",""),IF(Inventory_Master!O329="","Missing image",""),IF(Inventory_Master!S329&gt;0,"Has size variants",""),IF(Inventory_Master!C329="ERROR","Validation error",""),IF(Inventory_Master!C329="WARNING","Review warning",""))))</f>
        <v/>
      </c>
      <c r="G329" s="2" t="str">
        <f t="shared" si="12"/>
        <v>NO</v>
      </c>
      <c r="H329" s="2" t="str">
        <f>IF($A329="","",IF(Inventory_Master!R329&lt;&gt;"OK","Invalid Category",IF(Inventory_Master!J329="","Missing Price",IF(Inventory_Master!O329="","Missing Image",IF(Inventory_Master!S329&gt;0,"Size Price Review",IF(Inventory_Master!C329="ERROR","Validation Error",""))))))</f>
        <v/>
      </c>
      <c r="I329" s="2" t="str">
        <f t="shared" si="13"/>
        <v/>
      </c>
      <c r="J329" s="2" t="str">
        <f t="shared" si="14"/>
        <v/>
      </c>
    </row>
    <row r="330" spans="1:10" ht="12" customHeight="1" x14ac:dyDescent="0.3">
      <c r="A330" s="2" t="str">
        <f>Inventory_Master!D330</f>
        <v/>
      </c>
      <c r="B330" s="2" t="str">
        <f>Inventory_Master!E330</f>
        <v/>
      </c>
      <c r="C330" s="2" t="str">
        <f>Inventory_Master!C330</f>
        <v/>
      </c>
      <c r="D330" s="2" t="str">
        <f>Inventory_Master!R330</f>
        <v/>
      </c>
      <c r="E330" s="2" t="str">
        <f>Inventory_Master!W330</f>
        <v/>
      </c>
      <c r="F330" s="2" t="str">
        <f>IF($A330="","",TRIM(_xludf.textjoin("; ",TRUE(),IF(Inventory_Master!R330&lt;&gt;"OK","Invalid category",""),IF(Inventory_Master!J330="","Missing price_inr",""),IF(Inventory_Master!O330="","Missing image",""),IF(Inventory_Master!S330&gt;0,"Has size variants",""),IF(Inventory_Master!C330="ERROR","Validation error",""),IF(Inventory_Master!C330="WARNING","Review warning",""))))</f>
        <v/>
      </c>
      <c r="G330" s="2" t="str">
        <f t="shared" si="12"/>
        <v>NO</v>
      </c>
      <c r="H330" s="2" t="str">
        <f>IF($A330="","",IF(Inventory_Master!R330&lt;&gt;"OK","Invalid Category",IF(Inventory_Master!J330="","Missing Price",IF(Inventory_Master!O330="","Missing Image",IF(Inventory_Master!S330&gt;0,"Size Price Review",IF(Inventory_Master!C330="ERROR","Validation Error",""))))))</f>
        <v/>
      </c>
      <c r="I330" s="2" t="str">
        <f t="shared" si="13"/>
        <v/>
      </c>
      <c r="J330" s="2" t="str">
        <f t="shared" si="14"/>
        <v/>
      </c>
    </row>
    <row r="331" spans="1:10" ht="12" customHeight="1" x14ac:dyDescent="0.3">
      <c r="A331" s="2" t="str">
        <f>Inventory_Master!D331</f>
        <v/>
      </c>
      <c r="B331" s="2" t="str">
        <f>Inventory_Master!E331</f>
        <v/>
      </c>
      <c r="C331" s="2" t="str">
        <f>Inventory_Master!C331</f>
        <v/>
      </c>
      <c r="D331" s="2" t="str">
        <f>Inventory_Master!R331</f>
        <v/>
      </c>
      <c r="E331" s="2" t="str">
        <f>Inventory_Master!W331</f>
        <v/>
      </c>
      <c r="F331" s="2" t="str">
        <f>IF($A331="","",TRIM(_xludf.textjoin("; ",TRUE(),IF(Inventory_Master!R331&lt;&gt;"OK","Invalid category",""),IF(Inventory_Master!J331="","Missing price_inr",""),IF(Inventory_Master!O331="","Missing image",""),IF(Inventory_Master!S331&gt;0,"Has size variants",""),IF(Inventory_Master!C331="ERROR","Validation error",""),IF(Inventory_Master!C331="WARNING","Review warning",""))))</f>
        <v/>
      </c>
      <c r="G331" s="2" t="str">
        <f t="shared" si="12"/>
        <v>NO</v>
      </c>
      <c r="H331" s="2" t="str">
        <f>IF($A331="","",IF(Inventory_Master!R331&lt;&gt;"OK","Invalid Category",IF(Inventory_Master!J331="","Missing Price",IF(Inventory_Master!O331="","Missing Image",IF(Inventory_Master!S331&gt;0,"Size Price Review",IF(Inventory_Master!C331="ERROR","Validation Error",""))))))</f>
        <v/>
      </c>
      <c r="I331" s="2" t="str">
        <f t="shared" si="13"/>
        <v/>
      </c>
      <c r="J331" s="2" t="str">
        <f t="shared" si="14"/>
        <v/>
      </c>
    </row>
    <row r="332" spans="1:10" ht="12" customHeight="1" x14ac:dyDescent="0.3">
      <c r="A332" s="2" t="str">
        <f>Inventory_Master!D332</f>
        <v/>
      </c>
      <c r="B332" s="2" t="str">
        <f>Inventory_Master!E332</f>
        <v/>
      </c>
      <c r="C332" s="2" t="str">
        <f>Inventory_Master!C332</f>
        <v/>
      </c>
      <c r="D332" s="2" t="str">
        <f>Inventory_Master!R332</f>
        <v/>
      </c>
      <c r="E332" s="2" t="str">
        <f>Inventory_Master!W332</f>
        <v/>
      </c>
      <c r="F332" s="2" t="str">
        <f>IF($A332="","",TRIM(_xludf.textjoin("; ",TRUE(),IF(Inventory_Master!R332&lt;&gt;"OK","Invalid category",""),IF(Inventory_Master!J332="","Missing price_inr",""),IF(Inventory_Master!O332="","Missing image",""),IF(Inventory_Master!S332&gt;0,"Has size variants",""),IF(Inventory_Master!C332="ERROR","Validation error",""),IF(Inventory_Master!C332="WARNING","Review warning",""))))</f>
        <v/>
      </c>
      <c r="G332" s="2" t="str">
        <f t="shared" si="12"/>
        <v>NO</v>
      </c>
      <c r="H332" s="2" t="str">
        <f>IF($A332="","",IF(Inventory_Master!R332&lt;&gt;"OK","Invalid Category",IF(Inventory_Master!J332="","Missing Price",IF(Inventory_Master!O332="","Missing Image",IF(Inventory_Master!S332&gt;0,"Size Price Review",IF(Inventory_Master!C332="ERROR","Validation Error",""))))))</f>
        <v/>
      </c>
      <c r="I332" s="2" t="str">
        <f t="shared" si="13"/>
        <v/>
      </c>
      <c r="J332" s="2" t="str">
        <f t="shared" si="14"/>
        <v/>
      </c>
    </row>
    <row r="333" spans="1:10" ht="12" customHeight="1" x14ac:dyDescent="0.3">
      <c r="A333" s="2" t="str">
        <f>Inventory_Master!D333</f>
        <v/>
      </c>
      <c r="B333" s="2" t="str">
        <f>Inventory_Master!E333</f>
        <v/>
      </c>
      <c r="C333" s="2" t="str">
        <f>Inventory_Master!C333</f>
        <v/>
      </c>
      <c r="D333" s="2" t="str">
        <f>Inventory_Master!R333</f>
        <v/>
      </c>
      <c r="E333" s="2" t="str">
        <f>Inventory_Master!W333</f>
        <v/>
      </c>
      <c r="F333" s="2" t="str">
        <f>IF($A333="","",TRIM(_xludf.textjoin("; ",TRUE(),IF(Inventory_Master!R333&lt;&gt;"OK","Invalid category",""),IF(Inventory_Master!J333="","Missing price_inr",""),IF(Inventory_Master!O333="","Missing image",""),IF(Inventory_Master!S333&gt;0,"Has size variants",""),IF(Inventory_Master!C333="ERROR","Validation error",""),IF(Inventory_Master!C333="WARNING","Review warning",""))))</f>
        <v/>
      </c>
      <c r="G333" s="2" t="str">
        <f t="shared" si="12"/>
        <v>NO</v>
      </c>
      <c r="H333" s="2" t="str">
        <f>IF($A333="","",IF(Inventory_Master!R333&lt;&gt;"OK","Invalid Category",IF(Inventory_Master!J333="","Missing Price",IF(Inventory_Master!O333="","Missing Image",IF(Inventory_Master!S333&gt;0,"Size Price Review",IF(Inventory_Master!C333="ERROR","Validation Error",""))))))</f>
        <v/>
      </c>
      <c r="I333" s="2" t="str">
        <f t="shared" si="13"/>
        <v/>
      </c>
      <c r="J333" s="2" t="str">
        <f t="shared" si="14"/>
        <v/>
      </c>
    </row>
    <row r="334" spans="1:10" ht="12" customHeight="1" x14ac:dyDescent="0.3">
      <c r="A334" s="2" t="str">
        <f>Inventory_Master!D334</f>
        <v/>
      </c>
      <c r="B334" s="2" t="str">
        <f>Inventory_Master!E334</f>
        <v/>
      </c>
      <c r="C334" s="2" t="str">
        <f>Inventory_Master!C334</f>
        <v/>
      </c>
      <c r="D334" s="2" t="str">
        <f>Inventory_Master!R334</f>
        <v/>
      </c>
      <c r="E334" s="2" t="str">
        <f>Inventory_Master!W334</f>
        <v/>
      </c>
      <c r="F334" s="2" t="str">
        <f>IF($A334="","",TRIM(_xludf.textjoin("; ",TRUE(),IF(Inventory_Master!R334&lt;&gt;"OK","Invalid category",""),IF(Inventory_Master!J334="","Missing price_inr",""),IF(Inventory_Master!O334="","Missing image",""),IF(Inventory_Master!S334&gt;0,"Has size variants",""),IF(Inventory_Master!C334="ERROR","Validation error",""),IF(Inventory_Master!C334="WARNING","Review warning",""))))</f>
        <v/>
      </c>
      <c r="G334" s="2" t="str">
        <f t="shared" si="12"/>
        <v>NO</v>
      </c>
      <c r="H334" s="2" t="str">
        <f>IF($A334="","",IF(Inventory_Master!R334&lt;&gt;"OK","Invalid Category",IF(Inventory_Master!J334="","Missing Price",IF(Inventory_Master!O334="","Missing Image",IF(Inventory_Master!S334&gt;0,"Size Price Review",IF(Inventory_Master!C334="ERROR","Validation Error",""))))))</f>
        <v/>
      </c>
      <c r="I334" s="2" t="str">
        <f t="shared" si="13"/>
        <v/>
      </c>
      <c r="J334" s="2" t="str">
        <f t="shared" si="14"/>
        <v/>
      </c>
    </row>
    <row r="335" spans="1:10" ht="12" customHeight="1" x14ac:dyDescent="0.3">
      <c r="A335" s="2" t="str">
        <f>Inventory_Master!D335</f>
        <v/>
      </c>
      <c r="B335" s="2" t="str">
        <f>Inventory_Master!E335</f>
        <v/>
      </c>
      <c r="C335" s="2" t="str">
        <f>Inventory_Master!C335</f>
        <v/>
      </c>
      <c r="D335" s="2" t="str">
        <f>Inventory_Master!R335</f>
        <v/>
      </c>
      <c r="E335" s="2" t="str">
        <f>Inventory_Master!W335</f>
        <v/>
      </c>
      <c r="F335" s="2" t="str">
        <f>IF($A335="","",TRIM(_xludf.textjoin("; ",TRUE(),IF(Inventory_Master!R335&lt;&gt;"OK","Invalid category",""),IF(Inventory_Master!J335="","Missing price_inr",""),IF(Inventory_Master!O335="","Missing image",""),IF(Inventory_Master!S335&gt;0,"Has size variants",""),IF(Inventory_Master!C335="ERROR","Validation error",""),IF(Inventory_Master!C335="WARNING","Review warning",""))))</f>
        <v/>
      </c>
      <c r="G335" s="2" t="str">
        <f t="shared" si="12"/>
        <v>NO</v>
      </c>
      <c r="H335" s="2" t="str">
        <f>IF($A335="","",IF(Inventory_Master!R335&lt;&gt;"OK","Invalid Category",IF(Inventory_Master!J335="","Missing Price",IF(Inventory_Master!O335="","Missing Image",IF(Inventory_Master!S335&gt;0,"Size Price Review",IF(Inventory_Master!C335="ERROR","Validation Error",""))))))</f>
        <v/>
      </c>
      <c r="I335" s="2" t="str">
        <f t="shared" si="13"/>
        <v/>
      </c>
      <c r="J335" s="2" t="str">
        <f t="shared" si="14"/>
        <v/>
      </c>
    </row>
    <row r="336" spans="1:10" ht="12" customHeight="1" x14ac:dyDescent="0.3">
      <c r="A336" s="2" t="str">
        <f>Inventory_Master!D336</f>
        <v/>
      </c>
      <c r="B336" s="2" t="str">
        <f>Inventory_Master!E336</f>
        <v/>
      </c>
      <c r="C336" s="2" t="str">
        <f>Inventory_Master!C336</f>
        <v/>
      </c>
      <c r="D336" s="2" t="str">
        <f>Inventory_Master!R336</f>
        <v/>
      </c>
      <c r="E336" s="2" t="str">
        <f>Inventory_Master!W336</f>
        <v/>
      </c>
      <c r="F336" s="2" t="str">
        <f>IF($A336="","",TRIM(_xludf.textjoin("; ",TRUE(),IF(Inventory_Master!R336&lt;&gt;"OK","Invalid category",""),IF(Inventory_Master!J336="","Missing price_inr",""),IF(Inventory_Master!O336="","Missing image",""),IF(Inventory_Master!S336&gt;0,"Has size variants",""),IF(Inventory_Master!C336="ERROR","Validation error",""),IF(Inventory_Master!C336="WARNING","Review warning",""))))</f>
        <v/>
      </c>
      <c r="G336" s="2" t="str">
        <f t="shared" si="12"/>
        <v>NO</v>
      </c>
      <c r="H336" s="2" t="str">
        <f>IF($A336="","",IF(Inventory_Master!R336&lt;&gt;"OK","Invalid Category",IF(Inventory_Master!J336="","Missing Price",IF(Inventory_Master!O336="","Missing Image",IF(Inventory_Master!S336&gt;0,"Size Price Review",IF(Inventory_Master!C336="ERROR","Validation Error",""))))))</f>
        <v/>
      </c>
      <c r="I336" s="2" t="str">
        <f t="shared" si="13"/>
        <v/>
      </c>
      <c r="J336" s="2" t="str">
        <f t="shared" si="14"/>
        <v/>
      </c>
    </row>
    <row r="337" spans="1:10" ht="12" customHeight="1" x14ac:dyDescent="0.3">
      <c r="A337" s="2" t="str">
        <f>Inventory_Master!D337</f>
        <v/>
      </c>
      <c r="B337" s="2" t="str">
        <f>Inventory_Master!E337</f>
        <v/>
      </c>
      <c r="C337" s="2" t="str">
        <f>Inventory_Master!C337</f>
        <v/>
      </c>
      <c r="D337" s="2" t="str">
        <f>Inventory_Master!R337</f>
        <v/>
      </c>
      <c r="E337" s="2" t="str">
        <f>Inventory_Master!W337</f>
        <v/>
      </c>
      <c r="F337" s="2" t="str">
        <f>IF($A337="","",TRIM(_xludf.textjoin("; ",TRUE(),IF(Inventory_Master!R337&lt;&gt;"OK","Invalid category",""),IF(Inventory_Master!J337="","Missing price_inr",""),IF(Inventory_Master!O337="","Missing image",""),IF(Inventory_Master!S337&gt;0,"Has size variants",""),IF(Inventory_Master!C337="ERROR","Validation error",""),IF(Inventory_Master!C337="WARNING","Review warning",""))))</f>
        <v/>
      </c>
      <c r="G337" s="2" t="str">
        <f t="shared" si="12"/>
        <v>NO</v>
      </c>
      <c r="H337" s="2" t="str">
        <f>IF($A337="","",IF(Inventory_Master!R337&lt;&gt;"OK","Invalid Category",IF(Inventory_Master!J337="","Missing Price",IF(Inventory_Master!O337="","Missing Image",IF(Inventory_Master!S337&gt;0,"Size Price Review",IF(Inventory_Master!C337="ERROR","Validation Error",""))))))</f>
        <v/>
      </c>
      <c r="I337" s="2" t="str">
        <f t="shared" si="13"/>
        <v/>
      </c>
      <c r="J337" s="2" t="str">
        <f t="shared" si="14"/>
        <v/>
      </c>
    </row>
    <row r="338" spans="1:10" ht="12" customHeight="1" x14ac:dyDescent="0.3">
      <c r="A338" s="2" t="str">
        <f>Inventory_Master!D338</f>
        <v/>
      </c>
      <c r="B338" s="2" t="str">
        <f>Inventory_Master!E338</f>
        <v/>
      </c>
      <c r="C338" s="2" t="str">
        <f>Inventory_Master!C338</f>
        <v/>
      </c>
      <c r="D338" s="2" t="str">
        <f>Inventory_Master!R338</f>
        <v/>
      </c>
      <c r="E338" s="2" t="str">
        <f>Inventory_Master!W338</f>
        <v/>
      </c>
      <c r="F338" s="2" t="str">
        <f>IF($A338="","",TRIM(_xludf.textjoin("; ",TRUE(),IF(Inventory_Master!R338&lt;&gt;"OK","Invalid category",""),IF(Inventory_Master!J338="","Missing price_inr",""),IF(Inventory_Master!O338="","Missing image",""),IF(Inventory_Master!S338&gt;0,"Has size variants",""),IF(Inventory_Master!C338="ERROR","Validation error",""),IF(Inventory_Master!C338="WARNING","Review warning",""))))</f>
        <v/>
      </c>
      <c r="G338" s="2" t="str">
        <f t="shared" si="12"/>
        <v>NO</v>
      </c>
      <c r="H338" s="2" t="str">
        <f>IF($A338="","",IF(Inventory_Master!R338&lt;&gt;"OK","Invalid Category",IF(Inventory_Master!J338="","Missing Price",IF(Inventory_Master!O338="","Missing Image",IF(Inventory_Master!S338&gt;0,"Size Price Review",IF(Inventory_Master!C338="ERROR","Validation Error",""))))))</f>
        <v/>
      </c>
      <c r="I338" s="2" t="str">
        <f t="shared" si="13"/>
        <v/>
      </c>
      <c r="J338" s="2" t="str">
        <f t="shared" si="14"/>
        <v/>
      </c>
    </row>
    <row r="339" spans="1:10" ht="12" customHeight="1" x14ac:dyDescent="0.3">
      <c r="A339" s="2" t="str">
        <f>Inventory_Master!D339</f>
        <v/>
      </c>
      <c r="B339" s="2" t="str">
        <f>Inventory_Master!E339</f>
        <v/>
      </c>
      <c r="C339" s="2" t="str">
        <f>Inventory_Master!C339</f>
        <v/>
      </c>
      <c r="D339" s="2" t="str">
        <f>Inventory_Master!R339</f>
        <v/>
      </c>
      <c r="E339" s="2" t="str">
        <f>Inventory_Master!W339</f>
        <v/>
      </c>
      <c r="F339" s="2" t="str">
        <f>IF($A339="","",TRIM(_xludf.textjoin("; ",TRUE(),IF(Inventory_Master!R339&lt;&gt;"OK","Invalid category",""),IF(Inventory_Master!J339="","Missing price_inr",""),IF(Inventory_Master!O339="","Missing image",""),IF(Inventory_Master!S339&gt;0,"Has size variants",""),IF(Inventory_Master!C339="ERROR","Validation error",""),IF(Inventory_Master!C339="WARNING","Review warning",""))))</f>
        <v/>
      </c>
      <c r="G339" s="2" t="str">
        <f t="shared" si="12"/>
        <v>NO</v>
      </c>
      <c r="H339" s="2" t="str">
        <f>IF($A339="","",IF(Inventory_Master!R339&lt;&gt;"OK","Invalid Category",IF(Inventory_Master!J339="","Missing Price",IF(Inventory_Master!O339="","Missing Image",IF(Inventory_Master!S339&gt;0,"Size Price Review",IF(Inventory_Master!C339="ERROR","Validation Error",""))))))</f>
        <v/>
      </c>
      <c r="I339" s="2" t="str">
        <f t="shared" si="13"/>
        <v/>
      </c>
      <c r="J339" s="2" t="str">
        <f t="shared" si="14"/>
        <v/>
      </c>
    </row>
    <row r="340" spans="1:10" ht="12" customHeight="1" x14ac:dyDescent="0.3">
      <c r="A340" s="2" t="str">
        <f>Inventory_Master!D340</f>
        <v/>
      </c>
      <c r="B340" s="2" t="str">
        <f>Inventory_Master!E340</f>
        <v/>
      </c>
      <c r="C340" s="2" t="str">
        <f>Inventory_Master!C340</f>
        <v/>
      </c>
      <c r="D340" s="2" t="str">
        <f>Inventory_Master!R340</f>
        <v/>
      </c>
      <c r="E340" s="2" t="str">
        <f>Inventory_Master!W340</f>
        <v/>
      </c>
      <c r="F340" s="2" t="str">
        <f>IF($A340="","",TRIM(_xludf.textjoin("; ",TRUE(),IF(Inventory_Master!R340&lt;&gt;"OK","Invalid category",""),IF(Inventory_Master!J340="","Missing price_inr",""),IF(Inventory_Master!O340="","Missing image",""),IF(Inventory_Master!S340&gt;0,"Has size variants",""),IF(Inventory_Master!C340="ERROR","Validation error",""),IF(Inventory_Master!C340="WARNING","Review warning",""))))</f>
        <v/>
      </c>
      <c r="G340" s="2" t="str">
        <f t="shared" si="12"/>
        <v>NO</v>
      </c>
      <c r="H340" s="2" t="str">
        <f>IF($A340="","",IF(Inventory_Master!R340&lt;&gt;"OK","Invalid Category",IF(Inventory_Master!J340="","Missing Price",IF(Inventory_Master!O340="","Missing Image",IF(Inventory_Master!S340&gt;0,"Size Price Review",IF(Inventory_Master!C340="ERROR","Validation Error",""))))))</f>
        <v/>
      </c>
      <c r="I340" s="2" t="str">
        <f t="shared" si="13"/>
        <v/>
      </c>
      <c r="J340" s="2" t="str">
        <f t="shared" si="14"/>
        <v/>
      </c>
    </row>
    <row r="341" spans="1:10" ht="12" customHeight="1" x14ac:dyDescent="0.3">
      <c r="A341" s="2" t="str">
        <f>Inventory_Master!D341</f>
        <v/>
      </c>
      <c r="B341" s="2" t="str">
        <f>Inventory_Master!E341</f>
        <v/>
      </c>
      <c r="C341" s="2" t="str">
        <f>Inventory_Master!C341</f>
        <v/>
      </c>
      <c r="D341" s="2" t="str">
        <f>Inventory_Master!R341</f>
        <v/>
      </c>
      <c r="E341" s="2" t="str">
        <f>Inventory_Master!W341</f>
        <v/>
      </c>
      <c r="F341" s="2" t="str">
        <f>IF($A341="","",TRIM(_xludf.textjoin("; ",TRUE(),IF(Inventory_Master!R341&lt;&gt;"OK","Invalid category",""),IF(Inventory_Master!J341="","Missing price_inr",""),IF(Inventory_Master!O341="","Missing image",""),IF(Inventory_Master!S341&gt;0,"Has size variants",""),IF(Inventory_Master!C341="ERROR","Validation error",""),IF(Inventory_Master!C341="WARNING","Review warning",""))))</f>
        <v/>
      </c>
      <c r="G341" s="2" t="str">
        <f t="shared" si="12"/>
        <v>NO</v>
      </c>
      <c r="H341" s="2" t="str">
        <f>IF($A341="","",IF(Inventory_Master!R341&lt;&gt;"OK","Invalid Category",IF(Inventory_Master!J341="","Missing Price",IF(Inventory_Master!O341="","Missing Image",IF(Inventory_Master!S341&gt;0,"Size Price Review",IF(Inventory_Master!C341="ERROR","Validation Error",""))))))</f>
        <v/>
      </c>
      <c r="I341" s="2" t="str">
        <f t="shared" si="13"/>
        <v/>
      </c>
      <c r="J341" s="2" t="str">
        <f t="shared" si="14"/>
        <v/>
      </c>
    </row>
    <row r="342" spans="1:10" ht="12" customHeight="1" x14ac:dyDescent="0.3">
      <c r="A342" s="2" t="str">
        <f>Inventory_Master!D342</f>
        <v/>
      </c>
      <c r="B342" s="2" t="str">
        <f>Inventory_Master!E342</f>
        <v/>
      </c>
      <c r="C342" s="2" t="str">
        <f>Inventory_Master!C342</f>
        <v/>
      </c>
      <c r="D342" s="2" t="str">
        <f>Inventory_Master!R342</f>
        <v/>
      </c>
      <c r="E342" s="2" t="str">
        <f>Inventory_Master!W342</f>
        <v/>
      </c>
      <c r="F342" s="2" t="str">
        <f>IF($A342="","",TRIM(_xludf.textjoin("; ",TRUE(),IF(Inventory_Master!R342&lt;&gt;"OK","Invalid category",""),IF(Inventory_Master!J342="","Missing price_inr",""),IF(Inventory_Master!O342="","Missing image",""),IF(Inventory_Master!S342&gt;0,"Has size variants",""),IF(Inventory_Master!C342="ERROR","Validation error",""),IF(Inventory_Master!C342="WARNING","Review warning",""))))</f>
        <v/>
      </c>
      <c r="G342" s="2" t="str">
        <f t="shared" si="12"/>
        <v>NO</v>
      </c>
      <c r="H342" s="2" t="str">
        <f>IF($A342="","",IF(Inventory_Master!R342&lt;&gt;"OK","Invalid Category",IF(Inventory_Master!J342="","Missing Price",IF(Inventory_Master!O342="","Missing Image",IF(Inventory_Master!S342&gt;0,"Size Price Review",IF(Inventory_Master!C342="ERROR","Validation Error",""))))))</f>
        <v/>
      </c>
      <c r="I342" s="2" t="str">
        <f t="shared" si="13"/>
        <v/>
      </c>
      <c r="J342" s="2" t="str">
        <f t="shared" si="14"/>
        <v/>
      </c>
    </row>
    <row r="343" spans="1:10" ht="12" customHeight="1" x14ac:dyDescent="0.3">
      <c r="A343" s="2" t="str">
        <f>Inventory_Master!D343</f>
        <v/>
      </c>
      <c r="B343" s="2" t="str">
        <f>Inventory_Master!E343</f>
        <v/>
      </c>
      <c r="C343" s="2" t="str">
        <f>Inventory_Master!C343</f>
        <v/>
      </c>
      <c r="D343" s="2" t="str">
        <f>Inventory_Master!R343</f>
        <v/>
      </c>
      <c r="E343" s="2" t="str">
        <f>Inventory_Master!W343</f>
        <v/>
      </c>
      <c r="F343" s="2" t="str">
        <f>IF($A343="","",TRIM(_xludf.textjoin("; ",TRUE(),IF(Inventory_Master!R343&lt;&gt;"OK","Invalid category",""),IF(Inventory_Master!J343="","Missing price_inr",""),IF(Inventory_Master!O343="","Missing image",""),IF(Inventory_Master!S343&gt;0,"Has size variants",""),IF(Inventory_Master!C343="ERROR","Validation error",""),IF(Inventory_Master!C343="WARNING","Review warning",""))))</f>
        <v/>
      </c>
      <c r="G343" s="2" t="str">
        <f t="shared" si="12"/>
        <v>NO</v>
      </c>
      <c r="H343" s="2" t="str">
        <f>IF($A343="","",IF(Inventory_Master!R343&lt;&gt;"OK","Invalid Category",IF(Inventory_Master!J343="","Missing Price",IF(Inventory_Master!O343="","Missing Image",IF(Inventory_Master!S343&gt;0,"Size Price Review",IF(Inventory_Master!C343="ERROR","Validation Error",""))))))</f>
        <v/>
      </c>
      <c r="I343" s="2" t="str">
        <f t="shared" si="13"/>
        <v/>
      </c>
      <c r="J343" s="2" t="str">
        <f t="shared" si="14"/>
        <v/>
      </c>
    </row>
    <row r="344" spans="1:10" ht="12" customHeight="1" x14ac:dyDescent="0.3">
      <c r="A344" s="2" t="str">
        <f>Inventory_Master!D344</f>
        <v/>
      </c>
      <c r="B344" s="2" t="str">
        <f>Inventory_Master!E344</f>
        <v/>
      </c>
      <c r="C344" s="2" t="str">
        <f>Inventory_Master!C344</f>
        <v/>
      </c>
      <c r="D344" s="2" t="str">
        <f>Inventory_Master!R344</f>
        <v/>
      </c>
      <c r="E344" s="2" t="str">
        <f>Inventory_Master!W344</f>
        <v/>
      </c>
      <c r="F344" s="2" t="str">
        <f>IF($A344="","",TRIM(_xludf.textjoin("; ",TRUE(),IF(Inventory_Master!R344&lt;&gt;"OK","Invalid category",""),IF(Inventory_Master!J344="","Missing price_inr",""),IF(Inventory_Master!O344="","Missing image",""),IF(Inventory_Master!S344&gt;0,"Has size variants",""),IF(Inventory_Master!C344="ERROR","Validation error",""),IF(Inventory_Master!C344="WARNING","Review warning",""))))</f>
        <v/>
      </c>
      <c r="G344" s="2" t="str">
        <f t="shared" si="12"/>
        <v>NO</v>
      </c>
      <c r="H344" s="2" t="str">
        <f>IF($A344="","",IF(Inventory_Master!R344&lt;&gt;"OK","Invalid Category",IF(Inventory_Master!J344="","Missing Price",IF(Inventory_Master!O344="","Missing Image",IF(Inventory_Master!S344&gt;0,"Size Price Review",IF(Inventory_Master!C344="ERROR","Validation Error",""))))))</f>
        <v/>
      </c>
      <c r="I344" s="2" t="str">
        <f t="shared" si="13"/>
        <v/>
      </c>
      <c r="J344" s="2" t="str">
        <f t="shared" si="14"/>
        <v/>
      </c>
    </row>
    <row r="345" spans="1:10" ht="12" customHeight="1" x14ac:dyDescent="0.3">
      <c r="A345" s="2" t="str">
        <f>Inventory_Master!D345</f>
        <v/>
      </c>
      <c r="B345" s="2" t="str">
        <f>Inventory_Master!E345</f>
        <v/>
      </c>
      <c r="C345" s="2" t="str">
        <f>Inventory_Master!C345</f>
        <v/>
      </c>
      <c r="D345" s="2" t="str">
        <f>Inventory_Master!R345</f>
        <v/>
      </c>
      <c r="E345" s="2" t="str">
        <f>Inventory_Master!W345</f>
        <v/>
      </c>
      <c r="F345" s="2" t="str">
        <f>IF($A345="","",TRIM(_xludf.textjoin("; ",TRUE(),IF(Inventory_Master!R345&lt;&gt;"OK","Invalid category",""),IF(Inventory_Master!J345="","Missing price_inr",""),IF(Inventory_Master!O345="","Missing image",""),IF(Inventory_Master!S345&gt;0,"Has size variants",""),IF(Inventory_Master!C345="ERROR","Validation error",""),IF(Inventory_Master!C345="WARNING","Review warning",""))))</f>
        <v/>
      </c>
      <c r="G345" s="2" t="str">
        <f t="shared" si="12"/>
        <v>NO</v>
      </c>
      <c r="H345" s="2" t="str">
        <f>IF($A345="","",IF(Inventory_Master!R345&lt;&gt;"OK","Invalid Category",IF(Inventory_Master!J345="","Missing Price",IF(Inventory_Master!O345="","Missing Image",IF(Inventory_Master!S345&gt;0,"Size Price Review",IF(Inventory_Master!C345="ERROR","Validation Error",""))))))</f>
        <v/>
      </c>
      <c r="I345" s="2" t="str">
        <f t="shared" si="13"/>
        <v/>
      </c>
      <c r="J345" s="2" t="str">
        <f t="shared" si="14"/>
        <v/>
      </c>
    </row>
    <row r="346" spans="1:10" ht="12" customHeight="1" x14ac:dyDescent="0.3">
      <c r="A346" s="2" t="str">
        <f>Inventory_Master!D346</f>
        <v/>
      </c>
      <c r="B346" s="2" t="str">
        <f>Inventory_Master!E346</f>
        <v/>
      </c>
      <c r="C346" s="2" t="str">
        <f>Inventory_Master!C346</f>
        <v/>
      </c>
      <c r="D346" s="2" t="str">
        <f>Inventory_Master!R346</f>
        <v/>
      </c>
      <c r="E346" s="2" t="str">
        <f>Inventory_Master!W346</f>
        <v/>
      </c>
      <c r="F346" s="2" t="str">
        <f>IF($A346="","",TRIM(_xludf.textjoin("; ",TRUE(),IF(Inventory_Master!R346&lt;&gt;"OK","Invalid category",""),IF(Inventory_Master!J346="","Missing price_inr",""),IF(Inventory_Master!O346="","Missing image",""),IF(Inventory_Master!S346&gt;0,"Has size variants",""),IF(Inventory_Master!C346="ERROR","Validation error",""),IF(Inventory_Master!C346="WARNING","Review warning",""))))</f>
        <v/>
      </c>
      <c r="G346" s="2" t="str">
        <f t="shared" si="12"/>
        <v>NO</v>
      </c>
      <c r="H346" s="2" t="str">
        <f>IF($A346="","",IF(Inventory_Master!R346&lt;&gt;"OK","Invalid Category",IF(Inventory_Master!J346="","Missing Price",IF(Inventory_Master!O346="","Missing Image",IF(Inventory_Master!S346&gt;0,"Size Price Review",IF(Inventory_Master!C346="ERROR","Validation Error",""))))))</f>
        <v/>
      </c>
      <c r="I346" s="2" t="str">
        <f t="shared" si="13"/>
        <v/>
      </c>
      <c r="J346" s="2" t="str">
        <f t="shared" si="14"/>
        <v/>
      </c>
    </row>
    <row r="347" spans="1:10" ht="12" customHeight="1" x14ac:dyDescent="0.3">
      <c r="A347" s="2" t="str">
        <f>Inventory_Master!D347</f>
        <v/>
      </c>
      <c r="B347" s="2" t="str">
        <f>Inventory_Master!E347</f>
        <v/>
      </c>
      <c r="C347" s="2" t="str">
        <f>Inventory_Master!C347</f>
        <v/>
      </c>
      <c r="D347" s="2" t="str">
        <f>Inventory_Master!R347</f>
        <v/>
      </c>
      <c r="E347" s="2" t="str">
        <f>Inventory_Master!W347</f>
        <v/>
      </c>
      <c r="F347" s="2" t="str">
        <f>IF($A347="","",TRIM(_xludf.textjoin("; ",TRUE(),IF(Inventory_Master!R347&lt;&gt;"OK","Invalid category",""),IF(Inventory_Master!J347="","Missing price_inr",""),IF(Inventory_Master!O347="","Missing image",""),IF(Inventory_Master!S347&gt;0,"Has size variants",""),IF(Inventory_Master!C347="ERROR","Validation error",""),IF(Inventory_Master!C347="WARNING","Review warning",""))))</f>
        <v/>
      </c>
      <c r="G347" s="2" t="str">
        <f t="shared" si="12"/>
        <v>NO</v>
      </c>
      <c r="H347" s="2" t="str">
        <f>IF($A347="","",IF(Inventory_Master!R347&lt;&gt;"OK","Invalid Category",IF(Inventory_Master!J347="","Missing Price",IF(Inventory_Master!O347="","Missing Image",IF(Inventory_Master!S347&gt;0,"Size Price Review",IF(Inventory_Master!C347="ERROR","Validation Error",""))))))</f>
        <v/>
      </c>
      <c r="I347" s="2" t="str">
        <f t="shared" si="13"/>
        <v/>
      </c>
      <c r="J347" s="2" t="str">
        <f t="shared" si="14"/>
        <v/>
      </c>
    </row>
    <row r="348" spans="1:10" ht="12" customHeight="1" x14ac:dyDescent="0.3">
      <c r="A348" s="2" t="str">
        <f>Inventory_Master!D348</f>
        <v/>
      </c>
      <c r="B348" s="2" t="str">
        <f>Inventory_Master!E348</f>
        <v/>
      </c>
      <c r="C348" s="2" t="str">
        <f>Inventory_Master!C348</f>
        <v/>
      </c>
      <c r="D348" s="2" t="str">
        <f>Inventory_Master!R348</f>
        <v/>
      </c>
      <c r="E348" s="2" t="str">
        <f>Inventory_Master!W348</f>
        <v/>
      </c>
      <c r="F348" s="2" t="str">
        <f>IF($A348="","",TRIM(_xludf.textjoin("; ",TRUE(),IF(Inventory_Master!R348&lt;&gt;"OK","Invalid category",""),IF(Inventory_Master!J348="","Missing price_inr",""),IF(Inventory_Master!O348="","Missing image",""),IF(Inventory_Master!S348&gt;0,"Has size variants",""),IF(Inventory_Master!C348="ERROR","Validation error",""),IF(Inventory_Master!C348="WARNING","Review warning",""))))</f>
        <v/>
      </c>
      <c r="G348" s="2" t="str">
        <f t="shared" si="12"/>
        <v>NO</v>
      </c>
      <c r="H348" s="2" t="str">
        <f>IF($A348="","",IF(Inventory_Master!R348&lt;&gt;"OK","Invalid Category",IF(Inventory_Master!J348="","Missing Price",IF(Inventory_Master!O348="","Missing Image",IF(Inventory_Master!S348&gt;0,"Size Price Review",IF(Inventory_Master!C348="ERROR","Validation Error",""))))))</f>
        <v/>
      </c>
      <c r="I348" s="2" t="str">
        <f t="shared" si="13"/>
        <v/>
      </c>
      <c r="J348" s="2" t="str">
        <f t="shared" si="14"/>
        <v/>
      </c>
    </row>
    <row r="349" spans="1:10" ht="12" customHeight="1" x14ac:dyDescent="0.3">
      <c r="A349" s="2" t="str">
        <f>Inventory_Master!D349</f>
        <v/>
      </c>
      <c r="B349" s="2" t="str">
        <f>Inventory_Master!E349</f>
        <v/>
      </c>
      <c r="C349" s="2" t="str">
        <f>Inventory_Master!C349</f>
        <v/>
      </c>
      <c r="D349" s="2" t="str">
        <f>Inventory_Master!R349</f>
        <v/>
      </c>
      <c r="E349" s="2" t="str">
        <f>Inventory_Master!W349</f>
        <v/>
      </c>
      <c r="F349" s="2" t="str">
        <f>IF($A349="","",TRIM(_xludf.textjoin("; ",TRUE(),IF(Inventory_Master!R349&lt;&gt;"OK","Invalid category",""),IF(Inventory_Master!J349="","Missing price_inr",""),IF(Inventory_Master!O349="","Missing image",""),IF(Inventory_Master!S349&gt;0,"Has size variants",""),IF(Inventory_Master!C349="ERROR","Validation error",""),IF(Inventory_Master!C349="WARNING","Review warning",""))))</f>
        <v/>
      </c>
      <c r="G349" s="2" t="str">
        <f t="shared" si="12"/>
        <v>NO</v>
      </c>
      <c r="H349" s="2" t="str">
        <f>IF($A349="","",IF(Inventory_Master!R349&lt;&gt;"OK","Invalid Category",IF(Inventory_Master!J349="","Missing Price",IF(Inventory_Master!O349="","Missing Image",IF(Inventory_Master!S349&gt;0,"Size Price Review",IF(Inventory_Master!C349="ERROR","Validation Error",""))))))</f>
        <v/>
      </c>
      <c r="I349" s="2" t="str">
        <f t="shared" si="13"/>
        <v/>
      </c>
      <c r="J349" s="2" t="str">
        <f t="shared" si="14"/>
        <v/>
      </c>
    </row>
    <row r="350" spans="1:10" ht="12" customHeight="1" x14ac:dyDescent="0.3">
      <c r="A350" s="2" t="str">
        <f>Inventory_Master!D350</f>
        <v/>
      </c>
      <c r="B350" s="2" t="str">
        <f>Inventory_Master!E350</f>
        <v/>
      </c>
      <c r="C350" s="2" t="str">
        <f>Inventory_Master!C350</f>
        <v/>
      </c>
      <c r="D350" s="2" t="str">
        <f>Inventory_Master!R350</f>
        <v/>
      </c>
      <c r="E350" s="2" t="str">
        <f>Inventory_Master!W350</f>
        <v/>
      </c>
      <c r="F350" s="2" t="str">
        <f>IF($A350="","",TRIM(_xludf.textjoin("; ",TRUE(),IF(Inventory_Master!R350&lt;&gt;"OK","Invalid category",""),IF(Inventory_Master!J350="","Missing price_inr",""),IF(Inventory_Master!O350="","Missing image",""),IF(Inventory_Master!S350&gt;0,"Has size variants",""),IF(Inventory_Master!C350="ERROR","Validation error",""),IF(Inventory_Master!C350="WARNING","Review warning",""))))</f>
        <v/>
      </c>
      <c r="G350" s="2" t="str">
        <f t="shared" si="12"/>
        <v>NO</v>
      </c>
      <c r="H350" s="2" t="str">
        <f>IF($A350="","",IF(Inventory_Master!R350&lt;&gt;"OK","Invalid Category",IF(Inventory_Master!J350="","Missing Price",IF(Inventory_Master!O350="","Missing Image",IF(Inventory_Master!S350&gt;0,"Size Price Review",IF(Inventory_Master!C350="ERROR","Validation Error",""))))))</f>
        <v/>
      </c>
      <c r="I350" s="2" t="str">
        <f t="shared" si="13"/>
        <v/>
      </c>
      <c r="J350" s="2" t="str">
        <f t="shared" si="14"/>
        <v/>
      </c>
    </row>
    <row r="351" spans="1:10" ht="12" customHeight="1" x14ac:dyDescent="0.3">
      <c r="A351" s="2" t="str">
        <f>Inventory_Master!D351</f>
        <v/>
      </c>
      <c r="B351" s="2" t="str">
        <f>Inventory_Master!E351</f>
        <v/>
      </c>
      <c r="C351" s="2" t="str">
        <f>Inventory_Master!C351</f>
        <v/>
      </c>
      <c r="D351" s="2" t="str">
        <f>Inventory_Master!R351</f>
        <v/>
      </c>
      <c r="E351" s="2" t="str">
        <f>Inventory_Master!W351</f>
        <v/>
      </c>
      <c r="F351" s="2" t="str">
        <f>IF($A351="","",TRIM(_xludf.textjoin("; ",TRUE(),IF(Inventory_Master!R351&lt;&gt;"OK","Invalid category",""),IF(Inventory_Master!J351="","Missing price_inr",""),IF(Inventory_Master!O351="","Missing image",""),IF(Inventory_Master!S351&gt;0,"Has size variants",""),IF(Inventory_Master!C351="ERROR","Validation error",""),IF(Inventory_Master!C351="WARNING","Review warning",""))))</f>
        <v/>
      </c>
      <c r="G351" s="2" t="str">
        <f t="shared" si="12"/>
        <v>NO</v>
      </c>
      <c r="H351" s="2" t="str">
        <f>IF($A351="","",IF(Inventory_Master!R351&lt;&gt;"OK","Invalid Category",IF(Inventory_Master!J351="","Missing Price",IF(Inventory_Master!O351="","Missing Image",IF(Inventory_Master!S351&gt;0,"Size Price Review",IF(Inventory_Master!C351="ERROR","Validation Error",""))))))</f>
        <v/>
      </c>
      <c r="I351" s="2" t="str">
        <f t="shared" si="13"/>
        <v/>
      </c>
      <c r="J351" s="2" t="str">
        <f t="shared" si="14"/>
        <v/>
      </c>
    </row>
    <row r="352" spans="1:10" ht="12" customHeight="1" x14ac:dyDescent="0.3">
      <c r="A352" s="2" t="str">
        <f>Inventory_Master!D352</f>
        <v/>
      </c>
      <c r="B352" s="2" t="str">
        <f>Inventory_Master!E352</f>
        <v/>
      </c>
      <c r="C352" s="2" t="str">
        <f>Inventory_Master!C352</f>
        <v/>
      </c>
      <c r="D352" s="2" t="str">
        <f>Inventory_Master!R352</f>
        <v/>
      </c>
      <c r="E352" s="2" t="str">
        <f>Inventory_Master!W352</f>
        <v/>
      </c>
      <c r="F352" s="2" t="str">
        <f>IF($A352="","",TRIM(_xludf.textjoin("; ",TRUE(),IF(Inventory_Master!R352&lt;&gt;"OK","Invalid category",""),IF(Inventory_Master!J352="","Missing price_inr",""),IF(Inventory_Master!O352="","Missing image",""),IF(Inventory_Master!S352&gt;0,"Has size variants",""),IF(Inventory_Master!C352="ERROR","Validation error",""),IF(Inventory_Master!C352="WARNING","Review warning",""))))</f>
        <v/>
      </c>
      <c r="G352" s="2" t="str">
        <f t="shared" si="12"/>
        <v>NO</v>
      </c>
      <c r="H352" s="2" t="str">
        <f>IF($A352="","",IF(Inventory_Master!R352&lt;&gt;"OK","Invalid Category",IF(Inventory_Master!J352="","Missing Price",IF(Inventory_Master!O352="","Missing Image",IF(Inventory_Master!S352&gt;0,"Size Price Review",IF(Inventory_Master!C352="ERROR","Validation Error",""))))))</f>
        <v/>
      </c>
      <c r="I352" s="2" t="str">
        <f t="shared" si="13"/>
        <v/>
      </c>
      <c r="J352" s="2" t="str">
        <f t="shared" si="14"/>
        <v/>
      </c>
    </row>
    <row r="353" spans="1:10" ht="12" customHeight="1" x14ac:dyDescent="0.3">
      <c r="A353" s="2" t="str">
        <f>Inventory_Master!D353</f>
        <v/>
      </c>
      <c r="B353" s="2" t="str">
        <f>Inventory_Master!E353</f>
        <v/>
      </c>
      <c r="C353" s="2" t="str">
        <f>Inventory_Master!C353</f>
        <v/>
      </c>
      <c r="D353" s="2" t="str">
        <f>Inventory_Master!R353</f>
        <v/>
      </c>
      <c r="E353" s="2" t="str">
        <f>Inventory_Master!W353</f>
        <v/>
      </c>
      <c r="F353" s="2" t="str">
        <f>IF($A353="","",TRIM(_xludf.textjoin("; ",TRUE(),IF(Inventory_Master!R353&lt;&gt;"OK","Invalid category",""),IF(Inventory_Master!J353="","Missing price_inr",""),IF(Inventory_Master!O353="","Missing image",""),IF(Inventory_Master!S353&gt;0,"Has size variants",""),IF(Inventory_Master!C353="ERROR","Validation error",""),IF(Inventory_Master!C353="WARNING","Review warning",""))))</f>
        <v/>
      </c>
      <c r="G353" s="2" t="str">
        <f t="shared" si="12"/>
        <v>NO</v>
      </c>
      <c r="H353" s="2" t="str">
        <f>IF($A353="","",IF(Inventory_Master!R353&lt;&gt;"OK","Invalid Category",IF(Inventory_Master!J353="","Missing Price",IF(Inventory_Master!O353="","Missing Image",IF(Inventory_Master!S353&gt;0,"Size Price Review",IF(Inventory_Master!C353="ERROR","Validation Error",""))))))</f>
        <v/>
      </c>
      <c r="I353" s="2" t="str">
        <f t="shared" si="13"/>
        <v/>
      </c>
      <c r="J353" s="2" t="str">
        <f t="shared" si="14"/>
        <v/>
      </c>
    </row>
    <row r="354" spans="1:10" ht="12" customHeight="1" x14ac:dyDescent="0.3">
      <c r="A354" s="2" t="str">
        <f>Inventory_Master!D354</f>
        <v/>
      </c>
      <c r="B354" s="2" t="str">
        <f>Inventory_Master!E354</f>
        <v/>
      </c>
      <c r="C354" s="2" t="str">
        <f>Inventory_Master!C354</f>
        <v/>
      </c>
      <c r="D354" s="2" t="str">
        <f>Inventory_Master!R354</f>
        <v/>
      </c>
      <c r="E354" s="2" t="str">
        <f>Inventory_Master!W354</f>
        <v/>
      </c>
      <c r="F354" s="2" t="str">
        <f>IF($A354="","",TRIM(_xludf.textjoin("; ",TRUE(),IF(Inventory_Master!R354&lt;&gt;"OK","Invalid category",""),IF(Inventory_Master!J354="","Missing price_inr",""),IF(Inventory_Master!O354="","Missing image",""),IF(Inventory_Master!S354&gt;0,"Has size variants",""),IF(Inventory_Master!C354="ERROR","Validation error",""),IF(Inventory_Master!C354="WARNING","Review warning",""))))</f>
        <v/>
      </c>
      <c r="G354" s="2" t="str">
        <f t="shared" si="12"/>
        <v>NO</v>
      </c>
      <c r="H354" s="2" t="str">
        <f>IF($A354="","",IF(Inventory_Master!R354&lt;&gt;"OK","Invalid Category",IF(Inventory_Master!J354="","Missing Price",IF(Inventory_Master!O354="","Missing Image",IF(Inventory_Master!S354&gt;0,"Size Price Review",IF(Inventory_Master!C354="ERROR","Validation Error",""))))))</f>
        <v/>
      </c>
      <c r="I354" s="2" t="str">
        <f t="shared" si="13"/>
        <v/>
      </c>
      <c r="J354" s="2" t="str">
        <f t="shared" si="14"/>
        <v/>
      </c>
    </row>
    <row r="355" spans="1:10" ht="12" customHeight="1" x14ac:dyDescent="0.3">
      <c r="A355" s="2" t="str">
        <f>Inventory_Master!D355</f>
        <v/>
      </c>
      <c r="B355" s="2" t="str">
        <f>Inventory_Master!E355</f>
        <v/>
      </c>
      <c r="C355" s="2" t="str">
        <f>Inventory_Master!C355</f>
        <v/>
      </c>
      <c r="D355" s="2" t="str">
        <f>Inventory_Master!R355</f>
        <v/>
      </c>
      <c r="E355" s="2" t="str">
        <f>Inventory_Master!W355</f>
        <v/>
      </c>
      <c r="F355" s="2" t="str">
        <f>IF($A355="","",TRIM(_xludf.textjoin("; ",TRUE(),IF(Inventory_Master!R355&lt;&gt;"OK","Invalid category",""),IF(Inventory_Master!J355="","Missing price_inr",""),IF(Inventory_Master!O355="","Missing image",""),IF(Inventory_Master!S355&gt;0,"Has size variants",""),IF(Inventory_Master!C355="ERROR","Validation error",""),IF(Inventory_Master!C355="WARNING","Review warning",""))))</f>
        <v/>
      </c>
      <c r="G355" s="2" t="str">
        <f t="shared" si="12"/>
        <v>NO</v>
      </c>
      <c r="H355" s="2" t="str">
        <f>IF($A355="","",IF(Inventory_Master!R355&lt;&gt;"OK","Invalid Category",IF(Inventory_Master!J355="","Missing Price",IF(Inventory_Master!O355="","Missing Image",IF(Inventory_Master!S355&gt;0,"Size Price Review",IF(Inventory_Master!C355="ERROR","Validation Error",""))))))</f>
        <v/>
      </c>
      <c r="I355" s="2" t="str">
        <f t="shared" si="13"/>
        <v/>
      </c>
      <c r="J355" s="2" t="str">
        <f t="shared" si="14"/>
        <v/>
      </c>
    </row>
    <row r="356" spans="1:10" ht="12" customHeight="1" x14ac:dyDescent="0.3">
      <c r="A356" s="2" t="str">
        <f>Inventory_Master!D356</f>
        <v/>
      </c>
      <c r="B356" s="2" t="str">
        <f>Inventory_Master!E356</f>
        <v/>
      </c>
      <c r="C356" s="2" t="str">
        <f>Inventory_Master!C356</f>
        <v/>
      </c>
      <c r="D356" s="2" t="str">
        <f>Inventory_Master!R356</f>
        <v/>
      </c>
      <c r="E356" s="2" t="str">
        <f>Inventory_Master!W356</f>
        <v/>
      </c>
      <c r="F356" s="2" t="str">
        <f>IF($A356="","",TRIM(_xludf.textjoin("; ",TRUE(),IF(Inventory_Master!R356&lt;&gt;"OK","Invalid category",""),IF(Inventory_Master!J356="","Missing price_inr",""),IF(Inventory_Master!O356="","Missing image",""),IF(Inventory_Master!S356&gt;0,"Has size variants",""),IF(Inventory_Master!C356="ERROR","Validation error",""),IF(Inventory_Master!C356="WARNING","Review warning",""))))</f>
        <v/>
      </c>
      <c r="G356" s="2" t="str">
        <f t="shared" si="12"/>
        <v>NO</v>
      </c>
      <c r="H356" s="2" t="str">
        <f>IF($A356="","",IF(Inventory_Master!R356&lt;&gt;"OK","Invalid Category",IF(Inventory_Master!J356="","Missing Price",IF(Inventory_Master!O356="","Missing Image",IF(Inventory_Master!S356&gt;0,"Size Price Review",IF(Inventory_Master!C356="ERROR","Validation Error",""))))))</f>
        <v/>
      </c>
      <c r="I356" s="2" t="str">
        <f t="shared" si="13"/>
        <v/>
      </c>
      <c r="J356" s="2" t="str">
        <f t="shared" si="14"/>
        <v/>
      </c>
    </row>
    <row r="357" spans="1:10" ht="12" customHeight="1" x14ac:dyDescent="0.3">
      <c r="A357" s="2" t="str">
        <f>Inventory_Master!D357</f>
        <v/>
      </c>
      <c r="B357" s="2" t="str">
        <f>Inventory_Master!E357</f>
        <v/>
      </c>
      <c r="C357" s="2" t="str">
        <f>Inventory_Master!C357</f>
        <v/>
      </c>
      <c r="D357" s="2" t="str">
        <f>Inventory_Master!R357</f>
        <v/>
      </c>
      <c r="E357" s="2" t="str">
        <f>Inventory_Master!W357</f>
        <v/>
      </c>
      <c r="F357" s="2" t="str">
        <f>IF($A357="","",TRIM(_xludf.textjoin("; ",TRUE(),IF(Inventory_Master!R357&lt;&gt;"OK","Invalid category",""),IF(Inventory_Master!J357="","Missing price_inr",""),IF(Inventory_Master!O357="","Missing image",""),IF(Inventory_Master!S357&gt;0,"Has size variants",""),IF(Inventory_Master!C357="ERROR","Validation error",""),IF(Inventory_Master!C357="WARNING","Review warning",""))))</f>
        <v/>
      </c>
      <c r="G357" s="2" t="str">
        <f t="shared" si="12"/>
        <v>NO</v>
      </c>
      <c r="H357" s="2" t="str">
        <f>IF($A357="","",IF(Inventory_Master!R357&lt;&gt;"OK","Invalid Category",IF(Inventory_Master!J357="","Missing Price",IF(Inventory_Master!O357="","Missing Image",IF(Inventory_Master!S357&gt;0,"Size Price Review",IF(Inventory_Master!C357="ERROR","Validation Error",""))))))</f>
        <v/>
      </c>
      <c r="I357" s="2" t="str">
        <f t="shared" si="13"/>
        <v/>
      </c>
      <c r="J357" s="2" t="str">
        <f t="shared" si="14"/>
        <v/>
      </c>
    </row>
    <row r="358" spans="1:10" ht="12" customHeight="1" x14ac:dyDescent="0.3">
      <c r="A358" s="2" t="str">
        <f>Inventory_Master!D358</f>
        <v/>
      </c>
      <c r="B358" s="2" t="str">
        <f>Inventory_Master!E358</f>
        <v/>
      </c>
      <c r="C358" s="2" t="str">
        <f>Inventory_Master!C358</f>
        <v/>
      </c>
      <c r="D358" s="2" t="str">
        <f>Inventory_Master!R358</f>
        <v/>
      </c>
      <c r="E358" s="2" t="str">
        <f>Inventory_Master!W358</f>
        <v/>
      </c>
      <c r="F358" s="2" t="str">
        <f>IF($A358="","",TRIM(_xludf.textjoin("; ",TRUE(),IF(Inventory_Master!R358&lt;&gt;"OK","Invalid category",""),IF(Inventory_Master!J358="","Missing price_inr",""),IF(Inventory_Master!O358="","Missing image",""),IF(Inventory_Master!S358&gt;0,"Has size variants",""),IF(Inventory_Master!C358="ERROR","Validation error",""),IF(Inventory_Master!C358="WARNING","Review warning",""))))</f>
        <v/>
      </c>
      <c r="G358" s="2" t="str">
        <f t="shared" si="12"/>
        <v>NO</v>
      </c>
      <c r="H358" s="2" t="str">
        <f>IF($A358="","",IF(Inventory_Master!R358&lt;&gt;"OK","Invalid Category",IF(Inventory_Master!J358="","Missing Price",IF(Inventory_Master!O358="","Missing Image",IF(Inventory_Master!S358&gt;0,"Size Price Review",IF(Inventory_Master!C358="ERROR","Validation Error",""))))))</f>
        <v/>
      </c>
      <c r="I358" s="2" t="str">
        <f t="shared" si="13"/>
        <v/>
      </c>
      <c r="J358" s="2" t="str">
        <f t="shared" si="14"/>
        <v/>
      </c>
    </row>
    <row r="359" spans="1:10" ht="12" customHeight="1" x14ac:dyDescent="0.3">
      <c r="A359" s="2" t="str">
        <f>Inventory_Master!D359</f>
        <v/>
      </c>
      <c r="B359" s="2" t="str">
        <f>Inventory_Master!E359</f>
        <v/>
      </c>
      <c r="C359" s="2" t="str">
        <f>Inventory_Master!C359</f>
        <v/>
      </c>
      <c r="D359" s="2" t="str">
        <f>Inventory_Master!R359</f>
        <v/>
      </c>
      <c r="E359" s="2" t="str">
        <f>Inventory_Master!W359</f>
        <v/>
      </c>
      <c r="F359" s="2" t="str">
        <f>IF($A359="","",TRIM(_xludf.textjoin("; ",TRUE(),IF(Inventory_Master!R359&lt;&gt;"OK","Invalid category",""),IF(Inventory_Master!J359="","Missing price_inr",""),IF(Inventory_Master!O359="","Missing image",""),IF(Inventory_Master!S359&gt;0,"Has size variants",""),IF(Inventory_Master!C359="ERROR","Validation error",""),IF(Inventory_Master!C359="WARNING","Review warning",""))))</f>
        <v/>
      </c>
      <c r="G359" s="2" t="str">
        <f t="shared" si="12"/>
        <v>NO</v>
      </c>
      <c r="H359" s="2" t="str">
        <f>IF($A359="","",IF(Inventory_Master!R359&lt;&gt;"OK","Invalid Category",IF(Inventory_Master!J359="","Missing Price",IF(Inventory_Master!O359="","Missing Image",IF(Inventory_Master!S359&gt;0,"Size Price Review",IF(Inventory_Master!C359="ERROR","Validation Error",""))))))</f>
        <v/>
      </c>
      <c r="I359" s="2" t="str">
        <f t="shared" si="13"/>
        <v/>
      </c>
      <c r="J359" s="2" t="str">
        <f t="shared" si="14"/>
        <v/>
      </c>
    </row>
    <row r="360" spans="1:10" ht="12" customHeight="1" x14ac:dyDescent="0.3">
      <c r="A360" s="2" t="str">
        <f>Inventory_Master!D360</f>
        <v/>
      </c>
      <c r="B360" s="2" t="str">
        <f>Inventory_Master!E360</f>
        <v/>
      </c>
      <c r="C360" s="2" t="str">
        <f>Inventory_Master!C360</f>
        <v/>
      </c>
      <c r="D360" s="2" t="str">
        <f>Inventory_Master!R360</f>
        <v/>
      </c>
      <c r="E360" s="2" t="str">
        <f>Inventory_Master!W360</f>
        <v/>
      </c>
      <c r="F360" s="2" t="str">
        <f>IF($A360="","",TRIM(_xludf.textjoin("; ",TRUE(),IF(Inventory_Master!R360&lt;&gt;"OK","Invalid category",""),IF(Inventory_Master!J360="","Missing price_inr",""),IF(Inventory_Master!O360="","Missing image",""),IF(Inventory_Master!S360&gt;0,"Has size variants",""),IF(Inventory_Master!C360="ERROR","Validation error",""),IF(Inventory_Master!C360="WARNING","Review warning",""))))</f>
        <v/>
      </c>
      <c r="G360" s="2" t="str">
        <f t="shared" si="12"/>
        <v>NO</v>
      </c>
      <c r="H360" s="2" t="str">
        <f>IF($A360="","",IF(Inventory_Master!R360&lt;&gt;"OK","Invalid Category",IF(Inventory_Master!J360="","Missing Price",IF(Inventory_Master!O360="","Missing Image",IF(Inventory_Master!S360&gt;0,"Size Price Review",IF(Inventory_Master!C360="ERROR","Validation Error",""))))))</f>
        <v/>
      </c>
      <c r="I360" s="2" t="str">
        <f t="shared" si="13"/>
        <v/>
      </c>
      <c r="J360" s="2" t="str">
        <f t="shared" si="14"/>
        <v/>
      </c>
    </row>
    <row r="361" spans="1:10" ht="12" customHeight="1" x14ac:dyDescent="0.3">
      <c r="A361" s="2" t="str">
        <f>Inventory_Master!D361</f>
        <v/>
      </c>
      <c r="B361" s="2" t="str">
        <f>Inventory_Master!E361</f>
        <v/>
      </c>
      <c r="C361" s="2" t="str">
        <f>Inventory_Master!C361</f>
        <v/>
      </c>
      <c r="D361" s="2" t="str">
        <f>Inventory_Master!R361</f>
        <v/>
      </c>
      <c r="E361" s="2" t="str">
        <f>Inventory_Master!W361</f>
        <v/>
      </c>
      <c r="F361" s="2" t="str">
        <f>IF($A361="","",TRIM(_xludf.textjoin("; ",TRUE(),IF(Inventory_Master!R361&lt;&gt;"OK","Invalid category",""),IF(Inventory_Master!J361="","Missing price_inr",""),IF(Inventory_Master!O361="","Missing image",""),IF(Inventory_Master!S361&gt;0,"Has size variants",""),IF(Inventory_Master!C361="ERROR","Validation error",""),IF(Inventory_Master!C361="WARNING","Review warning",""))))</f>
        <v/>
      </c>
      <c r="G361" s="2" t="str">
        <f t="shared" si="12"/>
        <v>NO</v>
      </c>
      <c r="H361" s="2" t="str">
        <f>IF($A361="","",IF(Inventory_Master!R361&lt;&gt;"OK","Invalid Category",IF(Inventory_Master!J361="","Missing Price",IF(Inventory_Master!O361="","Missing Image",IF(Inventory_Master!S361&gt;0,"Size Price Review",IF(Inventory_Master!C361="ERROR","Validation Error",""))))))</f>
        <v/>
      </c>
      <c r="I361" s="2" t="str">
        <f t="shared" si="13"/>
        <v/>
      </c>
      <c r="J361" s="2" t="str">
        <f t="shared" si="14"/>
        <v/>
      </c>
    </row>
    <row r="362" spans="1:10" ht="12" customHeight="1" x14ac:dyDescent="0.3">
      <c r="A362" s="2" t="str">
        <f>Inventory_Master!D362</f>
        <v/>
      </c>
      <c r="B362" s="2" t="str">
        <f>Inventory_Master!E362</f>
        <v/>
      </c>
      <c r="C362" s="2" t="str">
        <f>Inventory_Master!C362</f>
        <v/>
      </c>
      <c r="D362" s="2" t="str">
        <f>Inventory_Master!R362</f>
        <v/>
      </c>
      <c r="E362" s="2" t="str">
        <f>Inventory_Master!W362</f>
        <v/>
      </c>
      <c r="F362" s="2" t="str">
        <f>IF($A362="","",TRIM(_xludf.textjoin("; ",TRUE(),IF(Inventory_Master!R362&lt;&gt;"OK","Invalid category",""),IF(Inventory_Master!J362="","Missing price_inr",""),IF(Inventory_Master!O362="","Missing image",""),IF(Inventory_Master!S362&gt;0,"Has size variants",""),IF(Inventory_Master!C362="ERROR","Validation error",""),IF(Inventory_Master!C362="WARNING","Review warning",""))))</f>
        <v/>
      </c>
      <c r="G362" s="2" t="str">
        <f t="shared" si="12"/>
        <v>NO</v>
      </c>
      <c r="H362" s="2" t="str">
        <f>IF($A362="","",IF(Inventory_Master!R362&lt;&gt;"OK","Invalid Category",IF(Inventory_Master!J362="","Missing Price",IF(Inventory_Master!O362="","Missing Image",IF(Inventory_Master!S362&gt;0,"Size Price Review",IF(Inventory_Master!C362="ERROR","Validation Error",""))))))</f>
        <v/>
      </c>
      <c r="I362" s="2" t="str">
        <f t="shared" si="13"/>
        <v/>
      </c>
      <c r="J362" s="2" t="str">
        <f t="shared" si="14"/>
        <v/>
      </c>
    </row>
    <row r="363" spans="1:10" ht="12" customHeight="1" x14ac:dyDescent="0.3">
      <c r="A363" s="2" t="str">
        <f>Inventory_Master!D363</f>
        <v/>
      </c>
      <c r="B363" s="2" t="str">
        <f>Inventory_Master!E363</f>
        <v/>
      </c>
      <c r="C363" s="2" t="str">
        <f>Inventory_Master!C363</f>
        <v/>
      </c>
      <c r="D363" s="2" t="str">
        <f>Inventory_Master!R363</f>
        <v/>
      </c>
      <c r="E363" s="2" t="str">
        <f>Inventory_Master!W363</f>
        <v/>
      </c>
      <c r="F363" s="2" t="str">
        <f>IF($A363="","",TRIM(_xludf.textjoin("; ",TRUE(),IF(Inventory_Master!R363&lt;&gt;"OK","Invalid category",""),IF(Inventory_Master!J363="","Missing price_inr",""),IF(Inventory_Master!O363="","Missing image",""),IF(Inventory_Master!S363&gt;0,"Has size variants",""),IF(Inventory_Master!C363="ERROR","Validation error",""),IF(Inventory_Master!C363="WARNING","Review warning",""))))</f>
        <v/>
      </c>
      <c r="G363" s="2" t="str">
        <f t="shared" si="12"/>
        <v>NO</v>
      </c>
      <c r="H363" s="2" t="str">
        <f>IF($A363="","",IF(Inventory_Master!R363&lt;&gt;"OK","Invalid Category",IF(Inventory_Master!J363="","Missing Price",IF(Inventory_Master!O363="","Missing Image",IF(Inventory_Master!S363&gt;0,"Size Price Review",IF(Inventory_Master!C363="ERROR","Validation Error",""))))))</f>
        <v/>
      </c>
      <c r="I363" s="2" t="str">
        <f t="shared" si="13"/>
        <v/>
      </c>
      <c r="J363" s="2" t="str">
        <f t="shared" si="14"/>
        <v/>
      </c>
    </row>
    <row r="364" spans="1:10" ht="12" customHeight="1" x14ac:dyDescent="0.3">
      <c r="A364" s="2" t="str">
        <f>Inventory_Master!D364</f>
        <v/>
      </c>
      <c r="B364" s="2" t="str">
        <f>Inventory_Master!E364</f>
        <v/>
      </c>
      <c r="C364" s="2" t="str">
        <f>Inventory_Master!C364</f>
        <v/>
      </c>
      <c r="D364" s="2" t="str">
        <f>Inventory_Master!R364</f>
        <v/>
      </c>
      <c r="E364" s="2" t="str">
        <f>Inventory_Master!W364</f>
        <v/>
      </c>
      <c r="F364" s="2" t="str">
        <f>IF($A364="","",TRIM(_xludf.textjoin("; ",TRUE(),IF(Inventory_Master!R364&lt;&gt;"OK","Invalid category",""),IF(Inventory_Master!J364="","Missing price_inr",""),IF(Inventory_Master!O364="","Missing image",""),IF(Inventory_Master!S364&gt;0,"Has size variants",""),IF(Inventory_Master!C364="ERROR","Validation error",""),IF(Inventory_Master!C364="WARNING","Review warning",""))))</f>
        <v/>
      </c>
      <c r="G364" s="2" t="str">
        <f t="shared" si="12"/>
        <v>NO</v>
      </c>
      <c r="H364" s="2" t="str">
        <f>IF($A364="","",IF(Inventory_Master!R364&lt;&gt;"OK","Invalid Category",IF(Inventory_Master!J364="","Missing Price",IF(Inventory_Master!O364="","Missing Image",IF(Inventory_Master!S364&gt;0,"Size Price Review",IF(Inventory_Master!C364="ERROR","Validation Error",""))))))</f>
        <v/>
      </c>
      <c r="I364" s="2" t="str">
        <f t="shared" si="13"/>
        <v/>
      </c>
      <c r="J364" s="2" t="str">
        <f t="shared" si="14"/>
        <v/>
      </c>
    </row>
    <row r="365" spans="1:10" ht="12" customHeight="1" x14ac:dyDescent="0.3">
      <c r="A365" s="2" t="str">
        <f>Inventory_Master!D365</f>
        <v/>
      </c>
      <c r="B365" s="2" t="str">
        <f>Inventory_Master!E365</f>
        <v/>
      </c>
      <c r="C365" s="2" t="str">
        <f>Inventory_Master!C365</f>
        <v/>
      </c>
      <c r="D365" s="2" t="str">
        <f>Inventory_Master!R365</f>
        <v/>
      </c>
      <c r="E365" s="2" t="str">
        <f>Inventory_Master!W365</f>
        <v/>
      </c>
      <c r="F365" s="2" t="str">
        <f>IF($A365="","",TRIM(_xludf.textjoin("; ",TRUE(),IF(Inventory_Master!R365&lt;&gt;"OK","Invalid category",""),IF(Inventory_Master!J365="","Missing price_inr",""),IF(Inventory_Master!O365="","Missing image",""),IF(Inventory_Master!S365&gt;0,"Has size variants",""),IF(Inventory_Master!C365="ERROR","Validation error",""),IF(Inventory_Master!C365="WARNING","Review warning",""))))</f>
        <v/>
      </c>
      <c r="G365" s="2" t="str">
        <f t="shared" si="12"/>
        <v>NO</v>
      </c>
      <c r="H365" s="2" t="str">
        <f>IF($A365="","",IF(Inventory_Master!R365&lt;&gt;"OK","Invalid Category",IF(Inventory_Master!J365="","Missing Price",IF(Inventory_Master!O365="","Missing Image",IF(Inventory_Master!S365&gt;0,"Size Price Review",IF(Inventory_Master!C365="ERROR","Validation Error",""))))))</f>
        <v/>
      </c>
      <c r="I365" s="2" t="str">
        <f t="shared" si="13"/>
        <v/>
      </c>
      <c r="J365" s="2" t="str">
        <f t="shared" si="14"/>
        <v/>
      </c>
    </row>
    <row r="366" spans="1:10" ht="12" customHeight="1" x14ac:dyDescent="0.3">
      <c r="A366" s="2" t="str">
        <f>Inventory_Master!D366</f>
        <v/>
      </c>
      <c r="B366" s="2" t="str">
        <f>Inventory_Master!E366</f>
        <v/>
      </c>
      <c r="C366" s="2" t="str">
        <f>Inventory_Master!C366</f>
        <v/>
      </c>
      <c r="D366" s="2" t="str">
        <f>Inventory_Master!R366</f>
        <v/>
      </c>
      <c r="E366" s="2" t="str">
        <f>Inventory_Master!W366</f>
        <v/>
      </c>
      <c r="F366" s="2" t="str">
        <f>IF($A366="","",TRIM(_xludf.textjoin("; ",TRUE(),IF(Inventory_Master!R366&lt;&gt;"OK","Invalid category",""),IF(Inventory_Master!J366="","Missing price_inr",""),IF(Inventory_Master!O366="","Missing image",""),IF(Inventory_Master!S366&gt;0,"Has size variants",""),IF(Inventory_Master!C366="ERROR","Validation error",""),IF(Inventory_Master!C366="WARNING","Review warning",""))))</f>
        <v/>
      </c>
      <c r="G366" s="2" t="str">
        <f t="shared" si="12"/>
        <v>NO</v>
      </c>
      <c r="H366" s="2" t="str">
        <f>IF($A366="","",IF(Inventory_Master!R366&lt;&gt;"OK","Invalid Category",IF(Inventory_Master!J366="","Missing Price",IF(Inventory_Master!O366="","Missing Image",IF(Inventory_Master!S366&gt;0,"Size Price Review",IF(Inventory_Master!C366="ERROR","Validation Error",""))))))</f>
        <v/>
      </c>
      <c r="I366" s="2" t="str">
        <f t="shared" si="13"/>
        <v/>
      </c>
      <c r="J366" s="2" t="str">
        <f t="shared" si="14"/>
        <v/>
      </c>
    </row>
    <row r="367" spans="1:10" ht="12" customHeight="1" x14ac:dyDescent="0.3">
      <c r="A367" s="2" t="str">
        <f>Inventory_Master!D367</f>
        <v/>
      </c>
      <c r="B367" s="2" t="str">
        <f>Inventory_Master!E367</f>
        <v/>
      </c>
      <c r="C367" s="2" t="str">
        <f>Inventory_Master!C367</f>
        <v/>
      </c>
      <c r="D367" s="2" t="str">
        <f>Inventory_Master!R367</f>
        <v/>
      </c>
      <c r="E367" s="2" t="str">
        <f>Inventory_Master!W367</f>
        <v/>
      </c>
      <c r="F367" s="2" t="str">
        <f>IF($A367="","",TRIM(_xludf.textjoin("; ",TRUE(),IF(Inventory_Master!R367&lt;&gt;"OK","Invalid category",""),IF(Inventory_Master!J367="","Missing price_inr",""),IF(Inventory_Master!O367="","Missing image",""),IF(Inventory_Master!S367&gt;0,"Has size variants",""),IF(Inventory_Master!C367="ERROR","Validation error",""),IF(Inventory_Master!C367="WARNING","Review warning",""))))</f>
        <v/>
      </c>
      <c r="G367" s="2" t="str">
        <f t="shared" si="12"/>
        <v>NO</v>
      </c>
      <c r="H367" s="2" t="str">
        <f>IF($A367="","",IF(Inventory_Master!R367&lt;&gt;"OK","Invalid Category",IF(Inventory_Master!J367="","Missing Price",IF(Inventory_Master!O367="","Missing Image",IF(Inventory_Master!S367&gt;0,"Size Price Review",IF(Inventory_Master!C367="ERROR","Validation Error",""))))))</f>
        <v/>
      </c>
      <c r="I367" s="2" t="str">
        <f t="shared" si="13"/>
        <v/>
      </c>
      <c r="J367" s="2" t="str">
        <f t="shared" si="14"/>
        <v/>
      </c>
    </row>
    <row r="368" spans="1:10" ht="12" customHeight="1" x14ac:dyDescent="0.3">
      <c r="A368" s="2" t="str">
        <f>Inventory_Master!D368</f>
        <v/>
      </c>
      <c r="B368" s="2" t="str">
        <f>Inventory_Master!E368</f>
        <v/>
      </c>
      <c r="C368" s="2" t="str">
        <f>Inventory_Master!C368</f>
        <v/>
      </c>
      <c r="D368" s="2" t="str">
        <f>Inventory_Master!R368</f>
        <v/>
      </c>
      <c r="E368" s="2" t="str">
        <f>Inventory_Master!W368</f>
        <v/>
      </c>
      <c r="F368" s="2" t="str">
        <f>IF($A368="","",TRIM(_xludf.textjoin("; ",TRUE(),IF(Inventory_Master!R368&lt;&gt;"OK","Invalid category",""),IF(Inventory_Master!J368="","Missing price_inr",""),IF(Inventory_Master!O368="","Missing image",""),IF(Inventory_Master!S368&gt;0,"Has size variants",""),IF(Inventory_Master!C368="ERROR","Validation error",""),IF(Inventory_Master!C368="WARNING","Review warning",""))))</f>
        <v/>
      </c>
      <c r="G368" s="2" t="str">
        <f t="shared" si="12"/>
        <v>NO</v>
      </c>
      <c r="H368" s="2" t="str">
        <f>IF($A368="","",IF(Inventory_Master!R368&lt;&gt;"OK","Invalid Category",IF(Inventory_Master!J368="","Missing Price",IF(Inventory_Master!O368="","Missing Image",IF(Inventory_Master!S368&gt;0,"Size Price Review",IF(Inventory_Master!C368="ERROR","Validation Error",""))))))</f>
        <v/>
      </c>
      <c r="I368" s="2" t="str">
        <f t="shared" si="13"/>
        <v/>
      </c>
      <c r="J368" s="2" t="str">
        <f t="shared" si="14"/>
        <v/>
      </c>
    </row>
    <row r="369" spans="1:10" ht="12" customHeight="1" x14ac:dyDescent="0.3">
      <c r="A369" s="2" t="str">
        <f>Inventory_Master!D369</f>
        <v/>
      </c>
      <c r="B369" s="2" t="str">
        <f>Inventory_Master!E369</f>
        <v/>
      </c>
      <c r="C369" s="2" t="str">
        <f>Inventory_Master!C369</f>
        <v/>
      </c>
      <c r="D369" s="2" t="str">
        <f>Inventory_Master!R369</f>
        <v/>
      </c>
      <c r="E369" s="2" t="str">
        <f>Inventory_Master!W369</f>
        <v/>
      </c>
      <c r="F369" s="2" t="str">
        <f>IF($A369="","",TRIM(_xludf.textjoin("; ",TRUE(),IF(Inventory_Master!R369&lt;&gt;"OK","Invalid category",""),IF(Inventory_Master!J369="","Missing price_inr",""),IF(Inventory_Master!O369="","Missing image",""),IF(Inventory_Master!S369&gt;0,"Has size variants",""),IF(Inventory_Master!C369="ERROR","Validation error",""),IF(Inventory_Master!C369="WARNING","Review warning",""))))</f>
        <v/>
      </c>
      <c r="G369" s="2" t="str">
        <f t="shared" si="12"/>
        <v>NO</v>
      </c>
      <c r="H369" s="2" t="str">
        <f>IF($A369="","",IF(Inventory_Master!R369&lt;&gt;"OK","Invalid Category",IF(Inventory_Master!J369="","Missing Price",IF(Inventory_Master!O369="","Missing Image",IF(Inventory_Master!S369&gt;0,"Size Price Review",IF(Inventory_Master!C369="ERROR","Validation Error",""))))))</f>
        <v/>
      </c>
      <c r="I369" s="2" t="str">
        <f t="shared" si="13"/>
        <v/>
      </c>
      <c r="J369" s="2" t="str">
        <f t="shared" si="14"/>
        <v/>
      </c>
    </row>
    <row r="370" spans="1:10" ht="12" customHeight="1" x14ac:dyDescent="0.3">
      <c r="A370" s="2" t="str">
        <f>Inventory_Master!D370</f>
        <v/>
      </c>
      <c r="B370" s="2" t="str">
        <f>Inventory_Master!E370</f>
        <v/>
      </c>
      <c r="C370" s="2" t="str">
        <f>Inventory_Master!C370</f>
        <v/>
      </c>
      <c r="D370" s="2" t="str">
        <f>Inventory_Master!R370</f>
        <v/>
      </c>
      <c r="E370" s="2" t="str">
        <f>Inventory_Master!W370</f>
        <v/>
      </c>
      <c r="F370" s="2" t="str">
        <f>IF($A370="","",TRIM(_xludf.textjoin("; ",TRUE(),IF(Inventory_Master!R370&lt;&gt;"OK","Invalid category",""),IF(Inventory_Master!J370="","Missing price_inr",""),IF(Inventory_Master!O370="","Missing image",""),IF(Inventory_Master!S370&gt;0,"Has size variants",""),IF(Inventory_Master!C370="ERROR","Validation error",""),IF(Inventory_Master!C370="WARNING","Review warning",""))))</f>
        <v/>
      </c>
      <c r="G370" s="2" t="str">
        <f t="shared" ref="G370:G433" si="15">IF($F370="","NO","YES")</f>
        <v>NO</v>
      </c>
      <c r="H370" s="2" t="str">
        <f>IF($A370="","",IF(Inventory_Master!R370&lt;&gt;"OK","Invalid Category",IF(Inventory_Master!J370="","Missing Price",IF(Inventory_Master!O370="","Missing Image",IF(Inventory_Master!S370&gt;0,"Size Price Review",IF(Inventory_Master!C370="ERROR","Validation Error",""))))))</f>
        <v/>
      </c>
      <c r="I370" s="2" t="str">
        <f t="shared" ref="I370:I433" si="16">IF($G370="NO","",IF(OR($H370="Invalid Category",$H370="Missing Price",$H370="Validation Error"),"HIGH","MEDIUM"))</f>
        <v/>
      </c>
      <c r="J370" s="2" t="str">
        <f t="shared" ref="J370:J433" si="17">IF($G370="NO","",IF($H370="Size Price Review","REVIEW",IF($H370="Missing Image","REVIEW","REVIEW")))</f>
        <v/>
      </c>
    </row>
    <row r="371" spans="1:10" ht="12" customHeight="1" x14ac:dyDescent="0.3">
      <c r="A371" s="2" t="str">
        <f>Inventory_Master!D371</f>
        <v/>
      </c>
      <c r="B371" s="2" t="str">
        <f>Inventory_Master!E371</f>
        <v/>
      </c>
      <c r="C371" s="2" t="str">
        <f>Inventory_Master!C371</f>
        <v/>
      </c>
      <c r="D371" s="2" t="str">
        <f>Inventory_Master!R371</f>
        <v/>
      </c>
      <c r="E371" s="2" t="str">
        <f>Inventory_Master!W371</f>
        <v/>
      </c>
      <c r="F371" s="2" t="str">
        <f>IF($A371="","",TRIM(_xludf.textjoin("; ",TRUE(),IF(Inventory_Master!R371&lt;&gt;"OK","Invalid category",""),IF(Inventory_Master!J371="","Missing price_inr",""),IF(Inventory_Master!O371="","Missing image",""),IF(Inventory_Master!S371&gt;0,"Has size variants",""),IF(Inventory_Master!C371="ERROR","Validation error",""),IF(Inventory_Master!C371="WARNING","Review warning",""))))</f>
        <v/>
      </c>
      <c r="G371" s="2" t="str">
        <f t="shared" si="15"/>
        <v>NO</v>
      </c>
      <c r="H371" s="2" t="str">
        <f>IF($A371="","",IF(Inventory_Master!R371&lt;&gt;"OK","Invalid Category",IF(Inventory_Master!J371="","Missing Price",IF(Inventory_Master!O371="","Missing Image",IF(Inventory_Master!S371&gt;0,"Size Price Review",IF(Inventory_Master!C371="ERROR","Validation Error",""))))))</f>
        <v/>
      </c>
      <c r="I371" s="2" t="str">
        <f t="shared" si="16"/>
        <v/>
      </c>
      <c r="J371" s="2" t="str">
        <f t="shared" si="17"/>
        <v/>
      </c>
    </row>
    <row r="372" spans="1:10" ht="12" customHeight="1" x14ac:dyDescent="0.3">
      <c r="A372" s="2" t="str">
        <f>Inventory_Master!D372</f>
        <v/>
      </c>
      <c r="B372" s="2" t="str">
        <f>Inventory_Master!E372</f>
        <v/>
      </c>
      <c r="C372" s="2" t="str">
        <f>Inventory_Master!C372</f>
        <v/>
      </c>
      <c r="D372" s="2" t="str">
        <f>Inventory_Master!R372</f>
        <v/>
      </c>
      <c r="E372" s="2" t="str">
        <f>Inventory_Master!W372</f>
        <v/>
      </c>
      <c r="F372" s="2" t="str">
        <f>IF($A372="","",TRIM(_xludf.textjoin("; ",TRUE(),IF(Inventory_Master!R372&lt;&gt;"OK","Invalid category",""),IF(Inventory_Master!J372="","Missing price_inr",""),IF(Inventory_Master!O372="","Missing image",""),IF(Inventory_Master!S372&gt;0,"Has size variants",""),IF(Inventory_Master!C372="ERROR","Validation error",""),IF(Inventory_Master!C372="WARNING","Review warning",""))))</f>
        <v/>
      </c>
      <c r="G372" s="2" t="str">
        <f t="shared" si="15"/>
        <v>NO</v>
      </c>
      <c r="H372" s="2" t="str">
        <f>IF($A372="","",IF(Inventory_Master!R372&lt;&gt;"OK","Invalid Category",IF(Inventory_Master!J372="","Missing Price",IF(Inventory_Master!O372="","Missing Image",IF(Inventory_Master!S372&gt;0,"Size Price Review",IF(Inventory_Master!C372="ERROR","Validation Error",""))))))</f>
        <v/>
      </c>
      <c r="I372" s="2" t="str">
        <f t="shared" si="16"/>
        <v/>
      </c>
      <c r="J372" s="2" t="str">
        <f t="shared" si="17"/>
        <v/>
      </c>
    </row>
    <row r="373" spans="1:10" ht="12" customHeight="1" x14ac:dyDescent="0.3">
      <c r="A373" s="2" t="str">
        <f>Inventory_Master!D373</f>
        <v/>
      </c>
      <c r="B373" s="2" t="str">
        <f>Inventory_Master!E373</f>
        <v/>
      </c>
      <c r="C373" s="2" t="str">
        <f>Inventory_Master!C373</f>
        <v/>
      </c>
      <c r="D373" s="2" t="str">
        <f>Inventory_Master!R373</f>
        <v/>
      </c>
      <c r="E373" s="2" t="str">
        <f>Inventory_Master!W373</f>
        <v/>
      </c>
      <c r="F373" s="2" t="str">
        <f>IF($A373="","",TRIM(_xludf.textjoin("; ",TRUE(),IF(Inventory_Master!R373&lt;&gt;"OK","Invalid category",""),IF(Inventory_Master!J373="","Missing price_inr",""),IF(Inventory_Master!O373="","Missing image",""),IF(Inventory_Master!S373&gt;0,"Has size variants",""),IF(Inventory_Master!C373="ERROR","Validation error",""),IF(Inventory_Master!C373="WARNING","Review warning",""))))</f>
        <v/>
      </c>
      <c r="G373" s="2" t="str">
        <f t="shared" si="15"/>
        <v>NO</v>
      </c>
      <c r="H373" s="2" t="str">
        <f>IF($A373="","",IF(Inventory_Master!R373&lt;&gt;"OK","Invalid Category",IF(Inventory_Master!J373="","Missing Price",IF(Inventory_Master!O373="","Missing Image",IF(Inventory_Master!S373&gt;0,"Size Price Review",IF(Inventory_Master!C373="ERROR","Validation Error",""))))))</f>
        <v/>
      </c>
      <c r="I373" s="2" t="str">
        <f t="shared" si="16"/>
        <v/>
      </c>
      <c r="J373" s="2" t="str">
        <f t="shared" si="17"/>
        <v/>
      </c>
    </row>
    <row r="374" spans="1:10" ht="12" customHeight="1" x14ac:dyDescent="0.3">
      <c r="A374" s="2" t="str">
        <f>Inventory_Master!D374</f>
        <v/>
      </c>
      <c r="B374" s="2" t="str">
        <f>Inventory_Master!E374</f>
        <v/>
      </c>
      <c r="C374" s="2" t="str">
        <f>Inventory_Master!C374</f>
        <v/>
      </c>
      <c r="D374" s="2" t="str">
        <f>Inventory_Master!R374</f>
        <v/>
      </c>
      <c r="E374" s="2" t="str">
        <f>Inventory_Master!W374</f>
        <v/>
      </c>
      <c r="F374" s="2" t="str">
        <f>IF($A374="","",TRIM(_xludf.textjoin("; ",TRUE(),IF(Inventory_Master!R374&lt;&gt;"OK","Invalid category",""),IF(Inventory_Master!J374="","Missing price_inr",""),IF(Inventory_Master!O374="","Missing image",""),IF(Inventory_Master!S374&gt;0,"Has size variants",""),IF(Inventory_Master!C374="ERROR","Validation error",""),IF(Inventory_Master!C374="WARNING","Review warning",""))))</f>
        <v/>
      </c>
      <c r="G374" s="2" t="str">
        <f t="shared" si="15"/>
        <v>NO</v>
      </c>
      <c r="H374" s="2" t="str">
        <f>IF($A374="","",IF(Inventory_Master!R374&lt;&gt;"OK","Invalid Category",IF(Inventory_Master!J374="","Missing Price",IF(Inventory_Master!O374="","Missing Image",IF(Inventory_Master!S374&gt;0,"Size Price Review",IF(Inventory_Master!C374="ERROR","Validation Error",""))))))</f>
        <v/>
      </c>
      <c r="I374" s="2" t="str">
        <f t="shared" si="16"/>
        <v/>
      </c>
      <c r="J374" s="2" t="str">
        <f t="shared" si="17"/>
        <v/>
      </c>
    </row>
    <row r="375" spans="1:10" ht="12" customHeight="1" x14ac:dyDescent="0.3">
      <c r="A375" s="2" t="str">
        <f>Inventory_Master!D375</f>
        <v/>
      </c>
      <c r="B375" s="2" t="str">
        <f>Inventory_Master!E375</f>
        <v/>
      </c>
      <c r="C375" s="2" t="str">
        <f>Inventory_Master!C375</f>
        <v/>
      </c>
      <c r="D375" s="2" t="str">
        <f>Inventory_Master!R375</f>
        <v/>
      </c>
      <c r="E375" s="2" t="str">
        <f>Inventory_Master!W375</f>
        <v/>
      </c>
      <c r="F375" s="2" t="str">
        <f>IF($A375="","",TRIM(_xludf.textjoin("; ",TRUE(),IF(Inventory_Master!R375&lt;&gt;"OK","Invalid category",""),IF(Inventory_Master!J375="","Missing price_inr",""),IF(Inventory_Master!O375="","Missing image",""),IF(Inventory_Master!S375&gt;0,"Has size variants",""),IF(Inventory_Master!C375="ERROR","Validation error",""),IF(Inventory_Master!C375="WARNING","Review warning",""))))</f>
        <v/>
      </c>
      <c r="G375" s="2" t="str">
        <f t="shared" si="15"/>
        <v>NO</v>
      </c>
      <c r="H375" s="2" t="str">
        <f>IF($A375="","",IF(Inventory_Master!R375&lt;&gt;"OK","Invalid Category",IF(Inventory_Master!J375="","Missing Price",IF(Inventory_Master!O375="","Missing Image",IF(Inventory_Master!S375&gt;0,"Size Price Review",IF(Inventory_Master!C375="ERROR","Validation Error",""))))))</f>
        <v/>
      </c>
      <c r="I375" s="2" t="str">
        <f t="shared" si="16"/>
        <v/>
      </c>
      <c r="J375" s="2" t="str">
        <f t="shared" si="17"/>
        <v/>
      </c>
    </row>
    <row r="376" spans="1:10" ht="12" customHeight="1" x14ac:dyDescent="0.3">
      <c r="A376" s="2" t="str">
        <f>Inventory_Master!D376</f>
        <v/>
      </c>
      <c r="B376" s="2" t="str">
        <f>Inventory_Master!E376</f>
        <v/>
      </c>
      <c r="C376" s="2" t="str">
        <f>Inventory_Master!C376</f>
        <v/>
      </c>
      <c r="D376" s="2" t="str">
        <f>Inventory_Master!R376</f>
        <v/>
      </c>
      <c r="E376" s="2" t="str">
        <f>Inventory_Master!W376</f>
        <v/>
      </c>
      <c r="F376" s="2" t="str">
        <f>IF($A376="","",TRIM(_xludf.textjoin("; ",TRUE(),IF(Inventory_Master!R376&lt;&gt;"OK","Invalid category",""),IF(Inventory_Master!J376="","Missing price_inr",""),IF(Inventory_Master!O376="","Missing image",""),IF(Inventory_Master!S376&gt;0,"Has size variants",""),IF(Inventory_Master!C376="ERROR","Validation error",""),IF(Inventory_Master!C376="WARNING","Review warning",""))))</f>
        <v/>
      </c>
      <c r="G376" s="2" t="str">
        <f t="shared" si="15"/>
        <v>NO</v>
      </c>
      <c r="H376" s="2" t="str">
        <f>IF($A376="","",IF(Inventory_Master!R376&lt;&gt;"OK","Invalid Category",IF(Inventory_Master!J376="","Missing Price",IF(Inventory_Master!O376="","Missing Image",IF(Inventory_Master!S376&gt;0,"Size Price Review",IF(Inventory_Master!C376="ERROR","Validation Error",""))))))</f>
        <v/>
      </c>
      <c r="I376" s="2" t="str">
        <f t="shared" si="16"/>
        <v/>
      </c>
      <c r="J376" s="2" t="str">
        <f t="shared" si="17"/>
        <v/>
      </c>
    </row>
    <row r="377" spans="1:10" ht="12" customHeight="1" x14ac:dyDescent="0.3">
      <c r="A377" s="2" t="str">
        <f>Inventory_Master!D377</f>
        <v/>
      </c>
      <c r="B377" s="2" t="str">
        <f>Inventory_Master!E377</f>
        <v/>
      </c>
      <c r="C377" s="2" t="str">
        <f>Inventory_Master!C377</f>
        <v/>
      </c>
      <c r="D377" s="2" t="str">
        <f>Inventory_Master!R377</f>
        <v/>
      </c>
      <c r="E377" s="2" t="str">
        <f>Inventory_Master!W377</f>
        <v/>
      </c>
      <c r="F377" s="2" t="str">
        <f>IF($A377="","",TRIM(_xludf.textjoin("; ",TRUE(),IF(Inventory_Master!R377&lt;&gt;"OK","Invalid category",""),IF(Inventory_Master!J377="","Missing price_inr",""),IF(Inventory_Master!O377="","Missing image",""),IF(Inventory_Master!S377&gt;0,"Has size variants",""),IF(Inventory_Master!C377="ERROR","Validation error",""),IF(Inventory_Master!C377="WARNING","Review warning",""))))</f>
        <v/>
      </c>
      <c r="G377" s="2" t="str">
        <f t="shared" si="15"/>
        <v>NO</v>
      </c>
      <c r="H377" s="2" t="str">
        <f>IF($A377="","",IF(Inventory_Master!R377&lt;&gt;"OK","Invalid Category",IF(Inventory_Master!J377="","Missing Price",IF(Inventory_Master!O377="","Missing Image",IF(Inventory_Master!S377&gt;0,"Size Price Review",IF(Inventory_Master!C377="ERROR","Validation Error",""))))))</f>
        <v/>
      </c>
      <c r="I377" s="2" t="str">
        <f t="shared" si="16"/>
        <v/>
      </c>
      <c r="J377" s="2" t="str">
        <f t="shared" si="17"/>
        <v/>
      </c>
    </row>
    <row r="378" spans="1:10" ht="12" customHeight="1" x14ac:dyDescent="0.3">
      <c r="A378" s="2" t="str">
        <f>Inventory_Master!D378</f>
        <v/>
      </c>
      <c r="B378" s="2" t="str">
        <f>Inventory_Master!E378</f>
        <v/>
      </c>
      <c r="C378" s="2" t="str">
        <f>Inventory_Master!C378</f>
        <v/>
      </c>
      <c r="D378" s="2" t="str">
        <f>Inventory_Master!R378</f>
        <v/>
      </c>
      <c r="E378" s="2" t="str">
        <f>Inventory_Master!W378</f>
        <v/>
      </c>
      <c r="F378" s="2" t="str">
        <f>IF($A378="","",TRIM(_xludf.textjoin("; ",TRUE(),IF(Inventory_Master!R378&lt;&gt;"OK","Invalid category",""),IF(Inventory_Master!J378="","Missing price_inr",""),IF(Inventory_Master!O378="","Missing image",""),IF(Inventory_Master!S378&gt;0,"Has size variants",""),IF(Inventory_Master!C378="ERROR","Validation error",""),IF(Inventory_Master!C378="WARNING","Review warning",""))))</f>
        <v/>
      </c>
      <c r="G378" s="2" t="str">
        <f t="shared" si="15"/>
        <v>NO</v>
      </c>
      <c r="H378" s="2" t="str">
        <f>IF($A378="","",IF(Inventory_Master!R378&lt;&gt;"OK","Invalid Category",IF(Inventory_Master!J378="","Missing Price",IF(Inventory_Master!O378="","Missing Image",IF(Inventory_Master!S378&gt;0,"Size Price Review",IF(Inventory_Master!C378="ERROR","Validation Error",""))))))</f>
        <v/>
      </c>
      <c r="I378" s="2" t="str">
        <f t="shared" si="16"/>
        <v/>
      </c>
      <c r="J378" s="2" t="str">
        <f t="shared" si="17"/>
        <v/>
      </c>
    </row>
    <row r="379" spans="1:10" ht="12" customHeight="1" x14ac:dyDescent="0.3">
      <c r="A379" s="2" t="str">
        <f>Inventory_Master!D379</f>
        <v/>
      </c>
      <c r="B379" s="2" t="str">
        <f>Inventory_Master!E379</f>
        <v/>
      </c>
      <c r="C379" s="2" t="str">
        <f>Inventory_Master!C379</f>
        <v/>
      </c>
      <c r="D379" s="2" t="str">
        <f>Inventory_Master!R379</f>
        <v/>
      </c>
      <c r="E379" s="2" t="str">
        <f>Inventory_Master!W379</f>
        <v/>
      </c>
      <c r="F379" s="2" t="str">
        <f>IF($A379="","",TRIM(_xludf.textjoin("; ",TRUE(),IF(Inventory_Master!R379&lt;&gt;"OK","Invalid category",""),IF(Inventory_Master!J379="","Missing price_inr",""),IF(Inventory_Master!O379="","Missing image",""),IF(Inventory_Master!S379&gt;0,"Has size variants",""),IF(Inventory_Master!C379="ERROR","Validation error",""),IF(Inventory_Master!C379="WARNING","Review warning",""))))</f>
        <v/>
      </c>
      <c r="G379" s="2" t="str">
        <f t="shared" si="15"/>
        <v>NO</v>
      </c>
      <c r="H379" s="2" t="str">
        <f>IF($A379="","",IF(Inventory_Master!R379&lt;&gt;"OK","Invalid Category",IF(Inventory_Master!J379="","Missing Price",IF(Inventory_Master!O379="","Missing Image",IF(Inventory_Master!S379&gt;0,"Size Price Review",IF(Inventory_Master!C379="ERROR","Validation Error",""))))))</f>
        <v/>
      </c>
      <c r="I379" s="2" t="str">
        <f t="shared" si="16"/>
        <v/>
      </c>
      <c r="J379" s="2" t="str">
        <f t="shared" si="17"/>
        <v/>
      </c>
    </row>
    <row r="380" spans="1:10" ht="12" customHeight="1" x14ac:dyDescent="0.3">
      <c r="A380" s="2" t="str">
        <f>Inventory_Master!D380</f>
        <v/>
      </c>
      <c r="B380" s="2" t="str">
        <f>Inventory_Master!E380</f>
        <v/>
      </c>
      <c r="C380" s="2" t="str">
        <f>Inventory_Master!C380</f>
        <v/>
      </c>
      <c r="D380" s="2" t="str">
        <f>Inventory_Master!R380</f>
        <v/>
      </c>
      <c r="E380" s="2" t="str">
        <f>Inventory_Master!W380</f>
        <v/>
      </c>
      <c r="F380" s="2" t="str">
        <f>IF($A380="","",TRIM(_xludf.textjoin("; ",TRUE(),IF(Inventory_Master!R380&lt;&gt;"OK","Invalid category",""),IF(Inventory_Master!J380="","Missing price_inr",""),IF(Inventory_Master!O380="","Missing image",""),IF(Inventory_Master!S380&gt;0,"Has size variants",""),IF(Inventory_Master!C380="ERROR","Validation error",""),IF(Inventory_Master!C380="WARNING","Review warning",""))))</f>
        <v/>
      </c>
      <c r="G380" s="2" t="str">
        <f t="shared" si="15"/>
        <v>NO</v>
      </c>
      <c r="H380" s="2" t="str">
        <f>IF($A380="","",IF(Inventory_Master!R380&lt;&gt;"OK","Invalid Category",IF(Inventory_Master!J380="","Missing Price",IF(Inventory_Master!O380="","Missing Image",IF(Inventory_Master!S380&gt;0,"Size Price Review",IF(Inventory_Master!C380="ERROR","Validation Error",""))))))</f>
        <v/>
      </c>
      <c r="I380" s="2" t="str">
        <f t="shared" si="16"/>
        <v/>
      </c>
      <c r="J380" s="2" t="str">
        <f t="shared" si="17"/>
        <v/>
      </c>
    </row>
    <row r="381" spans="1:10" ht="12" customHeight="1" x14ac:dyDescent="0.3">
      <c r="A381" s="2" t="str">
        <f>Inventory_Master!D381</f>
        <v/>
      </c>
      <c r="B381" s="2" t="str">
        <f>Inventory_Master!E381</f>
        <v/>
      </c>
      <c r="C381" s="2" t="str">
        <f>Inventory_Master!C381</f>
        <v/>
      </c>
      <c r="D381" s="2" t="str">
        <f>Inventory_Master!R381</f>
        <v/>
      </c>
      <c r="E381" s="2" t="str">
        <f>Inventory_Master!W381</f>
        <v/>
      </c>
      <c r="F381" s="2" t="str">
        <f>IF($A381="","",TRIM(_xludf.textjoin("; ",TRUE(),IF(Inventory_Master!R381&lt;&gt;"OK","Invalid category",""),IF(Inventory_Master!J381="","Missing price_inr",""),IF(Inventory_Master!O381="","Missing image",""),IF(Inventory_Master!S381&gt;0,"Has size variants",""),IF(Inventory_Master!C381="ERROR","Validation error",""),IF(Inventory_Master!C381="WARNING","Review warning",""))))</f>
        <v/>
      </c>
      <c r="G381" s="2" t="str">
        <f t="shared" si="15"/>
        <v>NO</v>
      </c>
      <c r="H381" s="2" t="str">
        <f>IF($A381="","",IF(Inventory_Master!R381&lt;&gt;"OK","Invalid Category",IF(Inventory_Master!J381="","Missing Price",IF(Inventory_Master!O381="","Missing Image",IF(Inventory_Master!S381&gt;0,"Size Price Review",IF(Inventory_Master!C381="ERROR","Validation Error",""))))))</f>
        <v/>
      </c>
      <c r="I381" s="2" t="str">
        <f t="shared" si="16"/>
        <v/>
      </c>
      <c r="J381" s="2" t="str">
        <f t="shared" si="17"/>
        <v/>
      </c>
    </row>
    <row r="382" spans="1:10" ht="12" customHeight="1" x14ac:dyDescent="0.3">
      <c r="A382" s="2" t="str">
        <f>Inventory_Master!D382</f>
        <v/>
      </c>
      <c r="B382" s="2" t="str">
        <f>Inventory_Master!E382</f>
        <v/>
      </c>
      <c r="C382" s="2" t="str">
        <f>Inventory_Master!C382</f>
        <v/>
      </c>
      <c r="D382" s="2" t="str">
        <f>Inventory_Master!R382</f>
        <v/>
      </c>
      <c r="E382" s="2" t="str">
        <f>Inventory_Master!W382</f>
        <v/>
      </c>
      <c r="F382" s="2" t="str">
        <f>IF($A382="","",TRIM(_xludf.textjoin("; ",TRUE(),IF(Inventory_Master!R382&lt;&gt;"OK","Invalid category",""),IF(Inventory_Master!J382="","Missing price_inr",""),IF(Inventory_Master!O382="","Missing image",""),IF(Inventory_Master!S382&gt;0,"Has size variants",""),IF(Inventory_Master!C382="ERROR","Validation error",""),IF(Inventory_Master!C382="WARNING","Review warning",""))))</f>
        <v/>
      </c>
      <c r="G382" s="2" t="str">
        <f t="shared" si="15"/>
        <v>NO</v>
      </c>
      <c r="H382" s="2" t="str">
        <f>IF($A382="","",IF(Inventory_Master!R382&lt;&gt;"OK","Invalid Category",IF(Inventory_Master!J382="","Missing Price",IF(Inventory_Master!O382="","Missing Image",IF(Inventory_Master!S382&gt;0,"Size Price Review",IF(Inventory_Master!C382="ERROR","Validation Error",""))))))</f>
        <v/>
      </c>
      <c r="I382" s="2" t="str">
        <f t="shared" si="16"/>
        <v/>
      </c>
      <c r="J382" s="2" t="str">
        <f t="shared" si="17"/>
        <v/>
      </c>
    </row>
    <row r="383" spans="1:10" ht="12" customHeight="1" x14ac:dyDescent="0.3">
      <c r="A383" s="2" t="str">
        <f>Inventory_Master!D383</f>
        <v/>
      </c>
      <c r="B383" s="2" t="str">
        <f>Inventory_Master!E383</f>
        <v/>
      </c>
      <c r="C383" s="2" t="str">
        <f>Inventory_Master!C383</f>
        <v/>
      </c>
      <c r="D383" s="2" t="str">
        <f>Inventory_Master!R383</f>
        <v/>
      </c>
      <c r="E383" s="2" t="str">
        <f>Inventory_Master!W383</f>
        <v/>
      </c>
      <c r="F383" s="2" t="str">
        <f>IF($A383="","",TRIM(_xludf.textjoin("; ",TRUE(),IF(Inventory_Master!R383&lt;&gt;"OK","Invalid category",""),IF(Inventory_Master!J383="","Missing price_inr",""),IF(Inventory_Master!O383="","Missing image",""),IF(Inventory_Master!S383&gt;0,"Has size variants",""),IF(Inventory_Master!C383="ERROR","Validation error",""),IF(Inventory_Master!C383="WARNING","Review warning",""))))</f>
        <v/>
      </c>
      <c r="G383" s="2" t="str">
        <f t="shared" si="15"/>
        <v>NO</v>
      </c>
      <c r="H383" s="2" t="str">
        <f>IF($A383="","",IF(Inventory_Master!R383&lt;&gt;"OK","Invalid Category",IF(Inventory_Master!J383="","Missing Price",IF(Inventory_Master!O383="","Missing Image",IF(Inventory_Master!S383&gt;0,"Size Price Review",IF(Inventory_Master!C383="ERROR","Validation Error",""))))))</f>
        <v/>
      </c>
      <c r="I383" s="2" t="str">
        <f t="shared" si="16"/>
        <v/>
      </c>
      <c r="J383" s="2" t="str">
        <f t="shared" si="17"/>
        <v/>
      </c>
    </row>
    <row r="384" spans="1:10" ht="12" customHeight="1" x14ac:dyDescent="0.3">
      <c r="A384" s="2" t="str">
        <f>Inventory_Master!D384</f>
        <v/>
      </c>
      <c r="B384" s="2" t="str">
        <f>Inventory_Master!E384</f>
        <v/>
      </c>
      <c r="C384" s="2" t="str">
        <f>Inventory_Master!C384</f>
        <v/>
      </c>
      <c r="D384" s="2" t="str">
        <f>Inventory_Master!R384</f>
        <v/>
      </c>
      <c r="E384" s="2" t="str">
        <f>Inventory_Master!W384</f>
        <v/>
      </c>
      <c r="F384" s="2" t="str">
        <f>IF($A384="","",TRIM(_xludf.textjoin("; ",TRUE(),IF(Inventory_Master!R384&lt;&gt;"OK","Invalid category",""),IF(Inventory_Master!J384="","Missing price_inr",""),IF(Inventory_Master!O384="","Missing image",""),IF(Inventory_Master!S384&gt;0,"Has size variants",""),IF(Inventory_Master!C384="ERROR","Validation error",""),IF(Inventory_Master!C384="WARNING","Review warning",""))))</f>
        <v/>
      </c>
      <c r="G384" s="2" t="str">
        <f t="shared" si="15"/>
        <v>NO</v>
      </c>
      <c r="H384" s="2" t="str">
        <f>IF($A384="","",IF(Inventory_Master!R384&lt;&gt;"OK","Invalid Category",IF(Inventory_Master!J384="","Missing Price",IF(Inventory_Master!O384="","Missing Image",IF(Inventory_Master!S384&gt;0,"Size Price Review",IF(Inventory_Master!C384="ERROR","Validation Error",""))))))</f>
        <v/>
      </c>
      <c r="I384" s="2" t="str">
        <f t="shared" si="16"/>
        <v/>
      </c>
      <c r="J384" s="2" t="str">
        <f t="shared" si="17"/>
        <v/>
      </c>
    </row>
    <row r="385" spans="1:10" ht="12" customHeight="1" x14ac:dyDescent="0.3">
      <c r="A385" s="2" t="str">
        <f>Inventory_Master!D385</f>
        <v/>
      </c>
      <c r="B385" s="2" t="str">
        <f>Inventory_Master!E385</f>
        <v/>
      </c>
      <c r="C385" s="2" t="str">
        <f>Inventory_Master!C385</f>
        <v/>
      </c>
      <c r="D385" s="2" t="str">
        <f>Inventory_Master!R385</f>
        <v/>
      </c>
      <c r="E385" s="2" t="str">
        <f>Inventory_Master!W385</f>
        <v/>
      </c>
      <c r="F385" s="2" t="str">
        <f>IF($A385="","",TRIM(_xludf.textjoin("; ",TRUE(),IF(Inventory_Master!R385&lt;&gt;"OK","Invalid category",""),IF(Inventory_Master!J385="","Missing price_inr",""),IF(Inventory_Master!O385="","Missing image",""),IF(Inventory_Master!S385&gt;0,"Has size variants",""),IF(Inventory_Master!C385="ERROR","Validation error",""),IF(Inventory_Master!C385="WARNING","Review warning",""))))</f>
        <v/>
      </c>
      <c r="G385" s="2" t="str">
        <f t="shared" si="15"/>
        <v>NO</v>
      </c>
      <c r="H385" s="2" t="str">
        <f>IF($A385="","",IF(Inventory_Master!R385&lt;&gt;"OK","Invalid Category",IF(Inventory_Master!J385="","Missing Price",IF(Inventory_Master!O385="","Missing Image",IF(Inventory_Master!S385&gt;0,"Size Price Review",IF(Inventory_Master!C385="ERROR","Validation Error",""))))))</f>
        <v/>
      </c>
      <c r="I385" s="2" t="str">
        <f t="shared" si="16"/>
        <v/>
      </c>
      <c r="J385" s="2" t="str">
        <f t="shared" si="17"/>
        <v/>
      </c>
    </row>
    <row r="386" spans="1:10" ht="12" customHeight="1" x14ac:dyDescent="0.3">
      <c r="A386" s="2" t="str">
        <f>Inventory_Master!D386</f>
        <v/>
      </c>
      <c r="B386" s="2" t="str">
        <f>Inventory_Master!E386</f>
        <v/>
      </c>
      <c r="C386" s="2" t="str">
        <f>Inventory_Master!C386</f>
        <v/>
      </c>
      <c r="D386" s="2" t="str">
        <f>Inventory_Master!R386</f>
        <v/>
      </c>
      <c r="E386" s="2" t="str">
        <f>Inventory_Master!W386</f>
        <v/>
      </c>
      <c r="F386" s="2" t="str">
        <f>IF($A386="","",TRIM(_xludf.textjoin("; ",TRUE(),IF(Inventory_Master!R386&lt;&gt;"OK","Invalid category",""),IF(Inventory_Master!J386="","Missing price_inr",""),IF(Inventory_Master!O386="","Missing image",""),IF(Inventory_Master!S386&gt;0,"Has size variants",""),IF(Inventory_Master!C386="ERROR","Validation error",""),IF(Inventory_Master!C386="WARNING","Review warning",""))))</f>
        <v/>
      </c>
      <c r="G386" s="2" t="str">
        <f t="shared" si="15"/>
        <v>NO</v>
      </c>
      <c r="H386" s="2" t="str">
        <f>IF($A386="","",IF(Inventory_Master!R386&lt;&gt;"OK","Invalid Category",IF(Inventory_Master!J386="","Missing Price",IF(Inventory_Master!O386="","Missing Image",IF(Inventory_Master!S386&gt;0,"Size Price Review",IF(Inventory_Master!C386="ERROR","Validation Error",""))))))</f>
        <v/>
      </c>
      <c r="I386" s="2" t="str">
        <f t="shared" si="16"/>
        <v/>
      </c>
      <c r="J386" s="2" t="str">
        <f t="shared" si="17"/>
        <v/>
      </c>
    </row>
    <row r="387" spans="1:10" ht="12" customHeight="1" x14ac:dyDescent="0.3">
      <c r="A387" s="2" t="str">
        <f>Inventory_Master!D387</f>
        <v/>
      </c>
      <c r="B387" s="2" t="str">
        <f>Inventory_Master!E387</f>
        <v/>
      </c>
      <c r="C387" s="2" t="str">
        <f>Inventory_Master!C387</f>
        <v/>
      </c>
      <c r="D387" s="2" t="str">
        <f>Inventory_Master!R387</f>
        <v/>
      </c>
      <c r="E387" s="2" t="str">
        <f>Inventory_Master!W387</f>
        <v/>
      </c>
      <c r="F387" s="2" t="str">
        <f>IF($A387="","",TRIM(_xludf.textjoin("; ",TRUE(),IF(Inventory_Master!R387&lt;&gt;"OK","Invalid category",""),IF(Inventory_Master!J387="","Missing price_inr",""),IF(Inventory_Master!O387="","Missing image",""),IF(Inventory_Master!S387&gt;0,"Has size variants",""),IF(Inventory_Master!C387="ERROR","Validation error",""),IF(Inventory_Master!C387="WARNING","Review warning",""))))</f>
        <v/>
      </c>
      <c r="G387" s="2" t="str">
        <f t="shared" si="15"/>
        <v>NO</v>
      </c>
      <c r="H387" s="2" t="str">
        <f>IF($A387="","",IF(Inventory_Master!R387&lt;&gt;"OK","Invalid Category",IF(Inventory_Master!J387="","Missing Price",IF(Inventory_Master!O387="","Missing Image",IF(Inventory_Master!S387&gt;0,"Size Price Review",IF(Inventory_Master!C387="ERROR","Validation Error",""))))))</f>
        <v/>
      </c>
      <c r="I387" s="2" t="str">
        <f t="shared" si="16"/>
        <v/>
      </c>
      <c r="J387" s="2" t="str">
        <f t="shared" si="17"/>
        <v/>
      </c>
    </row>
    <row r="388" spans="1:10" ht="12" customHeight="1" x14ac:dyDescent="0.3">
      <c r="A388" s="2" t="str">
        <f>Inventory_Master!D388</f>
        <v/>
      </c>
      <c r="B388" s="2" t="str">
        <f>Inventory_Master!E388</f>
        <v/>
      </c>
      <c r="C388" s="2" t="str">
        <f>Inventory_Master!C388</f>
        <v/>
      </c>
      <c r="D388" s="2" t="str">
        <f>Inventory_Master!R388</f>
        <v/>
      </c>
      <c r="E388" s="2" t="str">
        <f>Inventory_Master!W388</f>
        <v/>
      </c>
      <c r="F388" s="2" t="str">
        <f>IF($A388="","",TRIM(_xludf.textjoin("; ",TRUE(),IF(Inventory_Master!R388&lt;&gt;"OK","Invalid category",""),IF(Inventory_Master!J388="","Missing price_inr",""),IF(Inventory_Master!O388="","Missing image",""),IF(Inventory_Master!S388&gt;0,"Has size variants",""),IF(Inventory_Master!C388="ERROR","Validation error",""),IF(Inventory_Master!C388="WARNING","Review warning",""))))</f>
        <v/>
      </c>
      <c r="G388" s="2" t="str">
        <f t="shared" si="15"/>
        <v>NO</v>
      </c>
      <c r="H388" s="2" t="str">
        <f>IF($A388="","",IF(Inventory_Master!R388&lt;&gt;"OK","Invalid Category",IF(Inventory_Master!J388="","Missing Price",IF(Inventory_Master!O388="","Missing Image",IF(Inventory_Master!S388&gt;0,"Size Price Review",IF(Inventory_Master!C388="ERROR","Validation Error",""))))))</f>
        <v/>
      </c>
      <c r="I388" s="2" t="str">
        <f t="shared" si="16"/>
        <v/>
      </c>
      <c r="J388" s="2" t="str">
        <f t="shared" si="17"/>
        <v/>
      </c>
    </row>
    <row r="389" spans="1:10" ht="12" customHeight="1" x14ac:dyDescent="0.3">
      <c r="A389" s="2" t="str">
        <f>Inventory_Master!D389</f>
        <v/>
      </c>
      <c r="B389" s="2" t="str">
        <f>Inventory_Master!E389</f>
        <v/>
      </c>
      <c r="C389" s="2" t="str">
        <f>Inventory_Master!C389</f>
        <v/>
      </c>
      <c r="D389" s="2" t="str">
        <f>Inventory_Master!R389</f>
        <v/>
      </c>
      <c r="E389" s="2" t="str">
        <f>Inventory_Master!W389</f>
        <v/>
      </c>
      <c r="F389" s="2" t="str">
        <f>IF($A389="","",TRIM(_xludf.textjoin("; ",TRUE(),IF(Inventory_Master!R389&lt;&gt;"OK","Invalid category",""),IF(Inventory_Master!J389="","Missing price_inr",""),IF(Inventory_Master!O389="","Missing image",""),IF(Inventory_Master!S389&gt;0,"Has size variants",""),IF(Inventory_Master!C389="ERROR","Validation error",""),IF(Inventory_Master!C389="WARNING","Review warning",""))))</f>
        <v/>
      </c>
      <c r="G389" s="2" t="str">
        <f t="shared" si="15"/>
        <v>NO</v>
      </c>
      <c r="H389" s="2" t="str">
        <f>IF($A389="","",IF(Inventory_Master!R389&lt;&gt;"OK","Invalid Category",IF(Inventory_Master!J389="","Missing Price",IF(Inventory_Master!O389="","Missing Image",IF(Inventory_Master!S389&gt;0,"Size Price Review",IF(Inventory_Master!C389="ERROR","Validation Error",""))))))</f>
        <v/>
      </c>
      <c r="I389" s="2" t="str">
        <f t="shared" si="16"/>
        <v/>
      </c>
      <c r="J389" s="2" t="str">
        <f t="shared" si="17"/>
        <v/>
      </c>
    </row>
    <row r="390" spans="1:10" ht="12" customHeight="1" x14ac:dyDescent="0.3">
      <c r="A390" s="2" t="str">
        <f>Inventory_Master!D390</f>
        <v/>
      </c>
      <c r="B390" s="2" t="str">
        <f>Inventory_Master!E390</f>
        <v/>
      </c>
      <c r="C390" s="2" t="str">
        <f>Inventory_Master!C390</f>
        <v/>
      </c>
      <c r="D390" s="2" t="str">
        <f>Inventory_Master!R390</f>
        <v/>
      </c>
      <c r="E390" s="2" t="str">
        <f>Inventory_Master!W390</f>
        <v/>
      </c>
      <c r="F390" s="2" t="str">
        <f>IF($A390="","",TRIM(_xludf.textjoin("; ",TRUE(),IF(Inventory_Master!R390&lt;&gt;"OK","Invalid category",""),IF(Inventory_Master!J390="","Missing price_inr",""),IF(Inventory_Master!O390="","Missing image",""),IF(Inventory_Master!S390&gt;0,"Has size variants",""),IF(Inventory_Master!C390="ERROR","Validation error",""),IF(Inventory_Master!C390="WARNING","Review warning",""))))</f>
        <v/>
      </c>
      <c r="G390" s="2" t="str">
        <f t="shared" si="15"/>
        <v>NO</v>
      </c>
      <c r="H390" s="2" t="str">
        <f>IF($A390="","",IF(Inventory_Master!R390&lt;&gt;"OK","Invalid Category",IF(Inventory_Master!J390="","Missing Price",IF(Inventory_Master!O390="","Missing Image",IF(Inventory_Master!S390&gt;0,"Size Price Review",IF(Inventory_Master!C390="ERROR","Validation Error",""))))))</f>
        <v/>
      </c>
      <c r="I390" s="2" t="str">
        <f t="shared" si="16"/>
        <v/>
      </c>
      <c r="J390" s="2" t="str">
        <f t="shared" si="17"/>
        <v/>
      </c>
    </row>
    <row r="391" spans="1:10" ht="12" customHeight="1" x14ac:dyDescent="0.3">
      <c r="A391" s="2" t="str">
        <f>Inventory_Master!D391</f>
        <v/>
      </c>
      <c r="B391" s="2" t="str">
        <f>Inventory_Master!E391</f>
        <v/>
      </c>
      <c r="C391" s="2" t="str">
        <f>Inventory_Master!C391</f>
        <v/>
      </c>
      <c r="D391" s="2" t="str">
        <f>Inventory_Master!R391</f>
        <v/>
      </c>
      <c r="E391" s="2" t="str">
        <f>Inventory_Master!W391</f>
        <v/>
      </c>
      <c r="F391" s="2" t="str">
        <f>IF($A391="","",TRIM(_xludf.textjoin("; ",TRUE(),IF(Inventory_Master!R391&lt;&gt;"OK","Invalid category",""),IF(Inventory_Master!J391="","Missing price_inr",""),IF(Inventory_Master!O391="","Missing image",""),IF(Inventory_Master!S391&gt;0,"Has size variants",""),IF(Inventory_Master!C391="ERROR","Validation error",""),IF(Inventory_Master!C391="WARNING","Review warning",""))))</f>
        <v/>
      </c>
      <c r="G391" s="2" t="str">
        <f t="shared" si="15"/>
        <v>NO</v>
      </c>
      <c r="H391" s="2" t="str">
        <f>IF($A391="","",IF(Inventory_Master!R391&lt;&gt;"OK","Invalid Category",IF(Inventory_Master!J391="","Missing Price",IF(Inventory_Master!O391="","Missing Image",IF(Inventory_Master!S391&gt;0,"Size Price Review",IF(Inventory_Master!C391="ERROR","Validation Error",""))))))</f>
        <v/>
      </c>
      <c r="I391" s="2" t="str">
        <f t="shared" si="16"/>
        <v/>
      </c>
      <c r="J391" s="2" t="str">
        <f t="shared" si="17"/>
        <v/>
      </c>
    </row>
    <row r="392" spans="1:10" ht="12" customHeight="1" x14ac:dyDescent="0.3">
      <c r="A392" s="2" t="str">
        <f>Inventory_Master!D392</f>
        <v/>
      </c>
      <c r="B392" s="2" t="str">
        <f>Inventory_Master!E392</f>
        <v/>
      </c>
      <c r="C392" s="2" t="str">
        <f>Inventory_Master!C392</f>
        <v/>
      </c>
      <c r="D392" s="2" t="str">
        <f>Inventory_Master!R392</f>
        <v/>
      </c>
      <c r="E392" s="2" t="str">
        <f>Inventory_Master!W392</f>
        <v/>
      </c>
      <c r="F392" s="2" t="str">
        <f>IF($A392="","",TRIM(_xludf.textjoin("; ",TRUE(),IF(Inventory_Master!R392&lt;&gt;"OK","Invalid category",""),IF(Inventory_Master!J392="","Missing price_inr",""),IF(Inventory_Master!O392="","Missing image",""),IF(Inventory_Master!S392&gt;0,"Has size variants",""),IF(Inventory_Master!C392="ERROR","Validation error",""),IF(Inventory_Master!C392="WARNING","Review warning",""))))</f>
        <v/>
      </c>
      <c r="G392" s="2" t="str">
        <f t="shared" si="15"/>
        <v>NO</v>
      </c>
      <c r="H392" s="2" t="str">
        <f>IF($A392="","",IF(Inventory_Master!R392&lt;&gt;"OK","Invalid Category",IF(Inventory_Master!J392="","Missing Price",IF(Inventory_Master!O392="","Missing Image",IF(Inventory_Master!S392&gt;0,"Size Price Review",IF(Inventory_Master!C392="ERROR","Validation Error",""))))))</f>
        <v/>
      </c>
      <c r="I392" s="2" t="str">
        <f t="shared" si="16"/>
        <v/>
      </c>
      <c r="J392" s="2" t="str">
        <f t="shared" si="17"/>
        <v/>
      </c>
    </row>
    <row r="393" spans="1:10" ht="12" customHeight="1" x14ac:dyDescent="0.3">
      <c r="A393" s="2" t="str">
        <f>Inventory_Master!D393</f>
        <v/>
      </c>
      <c r="B393" s="2" t="str">
        <f>Inventory_Master!E393</f>
        <v/>
      </c>
      <c r="C393" s="2" t="str">
        <f>Inventory_Master!C393</f>
        <v/>
      </c>
      <c r="D393" s="2" t="str">
        <f>Inventory_Master!R393</f>
        <v/>
      </c>
      <c r="E393" s="2" t="str">
        <f>Inventory_Master!W393</f>
        <v/>
      </c>
      <c r="F393" s="2" t="str">
        <f>IF($A393="","",TRIM(_xludf.textjoin("; ",TRUE(),IF(Inventory_Master!R393&lt;&gt;"OK","Invalid category",""),IF(Inventory_Master!J393="","Missing price_inr",""),IF(Inventory_Master!O393="","Missing image",""),IF(Inventory_Master!S393&gt;0,"Has size variants",""),IF(Inventory_Master!C393="ERROR","Validation error",""),IF(Inventory_Master!C393="WARNING","Review warning",""))))</f>
        <v/>
      </c>
      <c r="G393" s="2" t="str">
        <f t="shared" si="15"/>
        <v>NO</v>
      </c>
      <c r="H393" s="2" t="str">
        <f>IF($A393="","",IF(Inventory_Master!R393&lt;&gt;"OK","Invalid Category",IF(Inventory_Master!J393="","Missing Price",IF(Inventory_Master!O393="","Missing Image",IF(Inventory_Master!S393&gt;0,"Size Price Review",IF(Inventory_Master!C393="ERROR","Validation Error",""))))))</f>
        <v/>
      </c>
      <c r="I393" s="2" t="str">
        <f t="shared" si="16"/>
        <v/>
      </c>
      <c r="J393" s="2" t="str">
        <f t="shared" si="17"/>
        <v/>
      </c>
    </row>
    <row r="394" spans="1:10" ht="12" customHeight="1" x14ac:dyDescent="0.3">
      <c r="A394" s="2" t="str">
        <f>Inventory_Master!D394</f>
        <v/>
      </c>
      <c r="B394" s="2" t="str">
        <f>Inventory_Master!E394</f>
        <v/>
      </c>
      <c r="C394" s="2" t="str">
        <f>Inventory_Master!C394</f>
        <v/>
      </c>
      <c r="D394" s="2" t="str">
        <f>Inventory_Master!R394</f>
        <v/>
      </c>
      <c r="E394" s="2" t="str">
        <f>Inventory_Master!W394</f>
        <v/>
      </c>
      <c r="F394" s="2" t="str">
        <f>IF($A394="","",TRIM(_xludf.textjoin("; ",TRUE(),IF(Inventory_Master!R394&lt;&gt;"OK","Invalid category",""),IF(Inventory_Master!J394="","Missing price_inr",""),IF(Inventory_Master!O394="","Missing image",""),IF(Inventory_Master!S394&gt;0,"Has size variants",""),IF(Inventory_Master!C394="ERROR","Validation error",""),IF(Inventory_Master!C394="WARNING","Review warning",""))))</f>
        <v/>
      </c>
      <c r="G394" s="2" t="str">
        <f t="shared" si="15"/>
        <v>NO</v>
      </c>
      <c r="H394" s="2" t="str">
        <f>IF($A394="","",IF(Inventory_Master!R394&lt;&gt;"OK","Invalid Category",IF(Inventory_Master!J394="","Missing Price",IF(Inventory_Master!O394="","Missing Image",IF(Inventory_Master!S394&gt;0,"Size Price Review",IF(Inventory_Master!C394="ERROR","Validation Error",""))))))</f>
        <v/>
      </c>
      <c r="I394" s="2" t="str">
        <f t="shared" si="16"/>
        <v/>
      </c>
      <c r="J394" s="2" t="str">
        <f t="shared" si="17"/>
        <v/>
      </c>
    </row>
    <row r="395" spans="1:10" ht="12" customHeight="1" x14ac:dyDescent="0.3">
      <c r="A395" s="2" t="str">
        <f>Inventory_Master!D395</f>
        <v/>
      </c>
      <c r="B395" s="2" t="str">
        <f>Inventory_Master!E395</f>
        <v/>
      </c>
      <c r="C395" s="2" t="str">
        <f>Inventory_Master!C395</f>
        <v/>
      </c>
      <c r="D395" s="2" t="str">
        <f>Inventory_Master!R395</f>
        <v/>
      </c>
      <c r="E395" s="2" t="str">
        <f>Inventory_Master!W395</f>
        <v/>
      </c>
      <c r="F395" s="2" t="str">
        <f>IF($A395="","",TRIM(_xludf.textjoin("; ",TRUE(),IF(Inventory_Master!R395&lt;&gt;"OK","Invalid category",""),IF(Inventory_Master!J395="","Missing price_inr",""),IF(Inventory_Master!O395="","Missing image",""),IF(Inventory_Master!S395&gt;0,"Has size variants",""),IF(Inventory_Master!C395="ERROR","Validation error",""),IF(Inventory_Master!C395="WARNING","Review warning",""))))</f>
        <v/>
      </c>
      <c r="G395" s="2" t="str">
        <f t="shared" si="15"/>
        <v>NO</v>
      </c>
      <c r="H395" s="2" t="str">
        <f>IF($A395="","",IF(Inventory_Master!R395&lt;&gt;"OK","Invalid Category",IF(Inventory_Master!J395="","Missing Price",IF(Inventory_Master!O395="","Missing Image",IF(Inventory_Master!S395&gt;0,"Size Price Review",IF(Inventory_Master!C395="ERROR","Validation Error",""))))))</f>
        <v/>
      </c>
      <c r="I395" s="2" t="str">
        <f t="shared" si="16"/>
        <v/>
      </c>
      <c r="J395" s="2" t="str">
        <f t="shared" si="17"/>
        <v/>
      </c>
    </row>
    <row r="396" spans="1:10" ht="12" customHeight="1" x14ac:dyDescent="0.3">
      <c r="A396" s="2" t="str">
        <f>Inventory_Master!D396</f>
        <v/>
      </c>
      <c r="B396" s="2" t="str">
        <f>Inventory_Master!E396</f>
        <v/>
      </c>
      <c r="C396" s="2" t="str">
        <f>Inventory_Master!C396</f>
        <v/>
      </c>
      <c r="D396" s="2" t="str">
        <f>Inventory_Master!R396</f>
        <v/>
      </c>
      <c r="E396" s="2" t="str">
        <f>Inventory_Master!W396</f>
        <v/>
      </c>
      <c r="F396" s="2" t="str">
        <f>IF($A396="","",TRIM(_xludf.textjoin("; ",TRUE(),IF(Inventory_Master!R396&lt;&gt;"OK","Invalid category",""),IF(Inventory_Master!J396="","Missing price_inr",""),IF(Inventory_Master!O396="","Missing image",""),IF(Inventory_Master!S396&gt;0,"Has size variants",""),IF(Inventory_Master!C396="ERROR","Validation error",""),IF(Inventory_Master!C396="WARNING","Review warning",""))))</f>
        <v/>
      </c>
      <c r="G396" s="2" t="str">
        <f t="shared" si="15"/>
        <v>NO</v>
      </c>
      <c r="H396" s="2" t="str">
        <f>IF($A396="","",IF(Inventory_Master!R396&lt;&gt;"OK","Invalid Category",IF(Inventory_Master!J396="","Missing Price",IF(Inventory_Master!O396="","Missing Image",IF(Inventory_Master!S396&gt;0,"Size Price Review",IF(Inventory_Master!C396="ERROR","Validation Error",""))))))</f>
        <v/>
      </c>
      <c r="I396" s="2" t="str">
        <f t="shared" si="16"/>
        <v/>
      </c>
      <c r="J396" s="2" t="str">
        <f t="shared" si="17"/>
        <v/>
      </c>
    </row>
    <row r="397" spans="1:10" ht="12" customHeight="1" x14ac:dyDescent="0.3">
      <c r="A397" s="2" t="str">
        <f>Inventory_Master!D397</f>
        <v/>
      </c>
      <c r="B397" s="2" t="str">
        <f>Inventory_Master!E397</f>
        <v/>
      </c>
      <c r="C397" s="2" t="str">
        <f>Inventory_Master!C397</f>
        <v/>
      </c>
      <c r="D397" s="2" t="str">
        <f>Inventory_Master!R397</f>
        <v/>
      </c>
      <c r="E397" s="2" t="str">
        <f>Inventory_Master!W397</f>
        <v/>
      </c>
      <c r="F397" s="2" t="str">
        <f>IF($A397="","",TRIM(_xludf.textjoin("; ",TRUE(),IF(Inventory_Master!R397&lt;&gt;"OK","Invalid category",""),IF(Inventory_Master!J397="","Missing price_inr",""),IF(Inventory_Master!O397="","Missing image",""),IF(Inventory_Master!S397&gt;0,"Has size variants",""),IF(Inventory_Master!C397="ERROR","Validation error",""),IF(Inventory_Master!C397="WARNING","Review warning",""))))</f>
        <v/>
      </c>
      <c r="G397" s="2" t="str">
        <f t="shared" si="15"/>
        <v>NO</v>
      </c>
      <c r="H397" s="2" t="str">
        <f>IF($A397="","",IF(Inventory_Master!R397&lt;&gt;"OK","Invalid Category",IF(Inventory_Master!J397="","Missing Price",IF(Inventory_Master!O397="","Missing Image",IF(Inventory_Master!S397&gt;0,"Size Price Review",IF(Inventory_Master!C397="ERROR","Validation Error",""))))))</f>
        <v/>
      </c>
      <c r="I397" s="2" t="str">
        <f t="shared" si="16"/>
        <v/>
      </c>
      <c r="J397" s="2" t="str">
        <f t="shared" si="17"/>
        <v/>
      </c>
    </row>
    <row r="398" spans="1:10" ht="12" customHeight="1" x14ac:dyDescent="0.3">
      <c r="A398" s="2" t="str">
        <f>Inventory_Master!D398</f>
        <v/>
      </c>
      <c r="B398" s="2" t="str">
        <f>Inventory_Master!E398</f>
        <v/>
      </c>
      <c r="C398" s="2" t="str">
        <f>Inventory_Master!C398</f>
        <v/>
      </c>
      <c r="D398" s="2" t="str">
        <f>Inventory_Master!R398</f>
        <v/>
      </c>
      <c r="E398" s="2" t="str">
        <f>Inventory_Master!W398</f>
        <v/>
      </c>
      <c r="F398" s="2" t="str">
        <f>IF($A398="","",TRIM(_xludf.textjoin("; ",TRUE(),IF(Inventory_Master!R398&lt;&gt;"OK","Invalid category",""),IF(Inventory_Master!J398="","Missing price_inr",""),IF(Inventory_Master!O398="","Missing image",""),IF(Inventory_Master!S398&gt;0,"Has size variants",""),IF(Inventory_Master!C398="ERROR","Validation error",""),IF(Inventory_Master!C398="WARNING","Review warning",""))))</f>
        <v/>
      </c>
      <c r="G398" s="2" t="str">
        <f t="shared" si="15"/>
        <v>NO</v>
      </c>
      <c r="H398" s="2" t="str">
        <f>IF($A398="","",IF(Inventory_Master!R398&lt;&gt;"OK","Invalid Category",IF(Inventory_Master!J398="","Missing Price",IF(Inventory_Master!O398="","Missing Image",IF(Inventory_Master!S398&gt;0,"Size Price Review",IF(Inventory_Master!C398="ERROR","Validation Error",""))))))</f>
        <v/>
      </c>
      <c r="I398" s="2" t="str">
        <f t="shared" si="16"/>
        <v/>
      </c>
      <c r="J398" s="2" t="str">
        <f t="shared" si="17"/>
        <v/>
      </c>
    </row>
    <row r="399" spans="1:10" ht="12" customHeight="1" x14ac:dyDescent="0.3">
      <c r="A399" s="2" t="str">
        <f>Inventory_Master!D399</f>
        <v/>
      </c>
      <c r="B399" s="2" t="str">
        <f>Inventory_Master!E399</f>
        <v/>
      </c>
      <c r="C399" s="2" t="str">
        <f>Inventory_Master!C399</f>
        <v/>
      </c>
      <c r="D399" s="2" t="str">
        <f>Inventory_Master!R399</f>
        <v/>
      </c>
      <c r="E399" s="2" t="str">
        <f>Inventory_Master!W399</f>
        <v/>
      </c>
      <c r="F399" s="2" t="str">
        <f>IF($A399="","",TRIM(_xludf.textjoin("; ",TRUE(),IF(Inventory_Master!R399&lt;&gt;"OK","Invalid category",""),IF(Inventory_Master!J399="","Missing price_inr",""),IF(Inventory_Master!O399="","Missing image",""),IF(Inventory_Master!S399&gt;0,"Has size variants",""),IF(Inventory_Master!C399="ERROR","Validation error",""),IF(Inventory_Master!C399="WARNING","Review warning",""))))</f>
        <v/>
      </c>
      <c r="G399" s="2" t="str">
        <f t="shared" si="15"/>
        <v>NO</v>
      </c>
      <c r="H399" s="2" t="str">
        <f>IF($A399="","",IF(Inventory_Master!R399&lt;&gt;"OK","Invalid Category",IF(Inventory_Master!J399="","Missing Price",IF(Inventory_Master!O399="","Missing Image",IF(Inventory_Master!S399&gt;0,"Size Price Review",IF(Inventory_Master!C399="ERROR","Validation Error",""))))))</f>
        <v/>
      </c>
      <c r="I399" s="2" t="str">
        <f t="shared" si="16"/>
        <v/>
      </c>
      <c r="J399" s="2" t="str">
        <f t="shared" si="17"/>
        <v/>
      </c>
    </row>
    <row r="400" spans="1:10" ht="12" customHeight="1" x14ac:dyDescent="0.3">
      <c r="A400" s="2" t="str">
        <f>Inventory_Master!D400</f>
        <v/>
      </c>
      <c r="B400" s="2" t="str">
        <f>Inventory_Master!E400</f>
        <v/>
      </c>
      <c r="C400" s="2" t="str">
        <f>Inventory_Master!C400</f>
        <v/>
      </c>
      <c r="D400" s="2" t="str">
        <f>Inventory_Master!R400</f>
        <v/>
      </c>
      <c r="E400" s="2" t="str">
        <f>Inventory_Master!W400</f>
        <v/>
      </c>
      <c r="F400" s="2" t="str">
        <f>IF($A400="","",TRIM(_xludf.textjoin("; ",TRUE(),IF(Inventory_Master!R400&lt;&gt;"OK","Invalid category",""),IF(Inventory_Master!J400="","Missing price_inr",""),IF(Inventory_Master!O400="","Missing image",""),IF(Inventory_Master!S400&gt;0,"Has size variants",""),IF(Inventory_Master!C400="ERROR","Validation error",""),IF(Inventory_Master!C400="WARNING","Review warning",""))))</f>
        <v/>
      </c>
      <c r="G400" s="2" t="str">
        <f t="shared" si="15"/>
        <v>NO</v>
      </c>
      <c r="H400" s="2" t="str">
        <f>IF($A400="","",IF(Inventory_Master!R400&lt;&gt;"OK","Invalid Category",IF(Inventory_Master!J400="","Missing Price",IF(Inventory_Master!O400="","Missing Image",IF(Inventory_Master!S400&gt;0,"Size Price Review",IF(Inventory_Master!C400="ERROR","Validation Error",""))))))</f>
        <v/>
      </c>
      <c r="I400" s="2" t="str">
        <f t="shared" si="16"/>
        <v/>
      </c>
      <c r="J400" s="2" t="str">
        <f t="shared" si="17"/>
        <v/>
      </c>
    </row>
    <row r="401" spans="1:10" ht="12" customHeight="1" x14ac:dyDescent="0.3">
      <c r="A401" s="2" t="str">
        <f>Inventory_Master!D401</f>
        <v/>
      </c>
      <c r="B401" s="2" t="str">
        <f>Inventory_Master!E401</f>
        <v/>
      </c>
      <c r="C401" s="2" t="str">
        <f>Inventory_Master!C401</f>
        <v/>
      </c>
      <c r="D401" s="2" t="str">
        <f>Inventory_Master!R401</f>
        <v/>
      </c>
      <c r="E401" s="2" t="str">
        <f>Inventory_Master!W401</f>
        <v/>
      </c>
      <c r="F401" s="2" t="str">
        <f>IF($A401="","",TRIM(_xludf.textjoin("; ",TRUE(),IF(Inventory_Master!R401&lt;&gt;"OK","Invalid category",""),IF(Inventory_Master!J401="","Missing price_inr",""),IF(Inventory_Master!O401="","Missing image",""),IF(Inventory_Master!S401&gt;0,"Has size variants",""),IF(Inventory_Master!C401="ERROR","Validation error",""),IF(Inventory_Master!C401="WARNING","Review warning",""))))</f>
        <v/>
      </c>
      <c r="G401" s="2" t="str">
        <f t="shared" si="15"/>
        <v>NO</v>
      </c>
      <c r="H401" s="2" t="str">
        <f>IF($A401="","",IF(Inventory_Master!R401&lt;&gt;"OK","Invalid Category",IF(Inventory_Master!J401="","Missing Price",IF(Inventory_Master!O401="","Missing Image",IF(Inventory_Master!S401&gt;0,"Size Price Review",IF(Inventory_Master!C401="ERROR","Validation Error",""))))))</f>
        <v/>
      </c>
      <c r="I401" s="2" t="str">
        <f t="shared" si="16"/>
        <v/>
      </c>
      <c r="J401" s="2" t="str">
        <f t="shared" si="17"/>
        <v/>
      </c>
    </row>
    <row r="402" spans="1:10" ht="12" customHeight="1" x14ac:dyDescent="0.3">
      <c r="A402" s="2" t="str">
        <f>Inventory_Master!D402</f>
        <v/>
      </c>
      <c r="B402" s="2" t="str">
        <f>Inventory_Master!E402</f>
        <v/>
      </c>
      <c r="C402" s="2" t="str">
        <f>Inventory_Master!C402</f>
        <v/>
      </c>
      <c r="D402" s="2" t="str">
        <f>Inventory_Master!R402</f>
        <v/>
      </c>
      <c r="E402" s="2" t="str">
        <f>Inventory_Master!W402</f>
        <v/>
      </c>
      <c r="F402" s="2" t="str">
        <f>IF($A402="","",TRIM(_xludf.textjoin("; ",TRUE(),IF(Inventory_Master!R402&lt;&gt;"OK","Invalid category",""),IF(Inventory_Master!J402="","Missing price_inr",""),IF(Inventory_Master!O402="","Missing image",""),IF(Inventory_Master!S402&gt;0,"Has size variants",""),IF(Inventory_Master!C402="ERROR","Validation error",""),IF(Inventory_Master!C402="WARNING","Review warning",""))))</f>
        <v/>
      </c>
      <c r="G402" s="2" t="str">
        <f t="shared" si="15"/>
        <v>NO</v>
      </c>
      <c r="H402" s="2" t="str">
        <f>IF($A402="","",IF(Inventory_Master!R402&lt;&gt;"OK","Invalid Category",IF(Inventory_Master!J402="","Missing Price",IF(Inventory_Master!O402="","Missing Image",IF(Inventory_Master!S402&gt;0,"Size Price Review",IF(Inventory_Master!C402="ERROR","Validation Error",""))))))</f>
        <v/>
      </c>
      <c r="I402" s="2" t="str">
        <f t="shared" si="16"/>
        <v/>
      </c>
      <c r="J402" s="2" t="str">
        <f t="shared" si="17"/>
        <v/>
      </c>
    </row>
    <row r="403" spans="1:10" ht="12" customHeight="1" x14ac:dyDescent="0.3">
      <c r="A403" s="2" t="str">
        <f>Inventory_Master!D403</f>
        <v/>
      </c>
      <c r="B403" s="2" t="str">
        <f>Inventory_Master!E403</f>
        <v/>
      </c>
      <c r="C403" s="2" t="str">
        <f>Inventory_Master!C403</f>
        <v/>
      </c>
      <c r="D403" s="2" t="str">
        <f>Inventory_Master!R403</f>
        <v/>
      </c>
      <c r="E403" s="2" t="str">
        <f>Inventory_Master!W403</f>
        <v/>
      </c>
      <c r="F403" s="2" t="str">
        <f>IF($A403="","",TRIM(_xludf.textjoin("; ",TRUE(),IF(Inventory_Master!R403&lt;&gt;"OK","Invalid category",""),IF(Inventory_Master!J403="","Missing price_inr",""),IF(Inventory_Master!O403="","Missing image",""),IF(Inventory_Master!S403&gt;0,"Has size variants",""),IF(Inventory_Master!C403="ERROR","Validation error",""),IF(Inventory_Master!C403="WARNING","Review warning",""))))</f>
        <v/>
      </c>
      <c r="G403" s="2" t="str">
        <f t="shared" si="15"/>
        <v>NO</v>
      </c>
      <c r="H403" s="2" t="str">
        <f>IF($A403="","",IF(Inventory_Master!R403&lt;&gt;"OK","Invalid Category",IF(Inventory_Master!J403="","Missing Price",IF(Inventory_Master!O403="","Missing Image",IF(Inventory_Master!S403&gt;0,"Size Price Review",IF(Inventory_Master!C403="ERROR","Validation Error",""))))))</f>
        <v/>
      </c>
      <c r="I403" s="2" t="str">
        <f t="shared" si="16"/>
        <v/>
      </c>
      <c r="J403" s="2" t="str">
        <f t="shared" si="17"/>
        <v/>
      </c>
    </row>
    <row r="404" spans="1:10" ht="12" customHeight="1" x14ac:dyDescent="0.3">
      <c r="A404" s="2" t="str">
        <f>Inventory_Master!D404</f>
        <v/>
      </c>
      <c r="B404" s="2" t="str">
        <f>Inventory_Master!E404</f>
        <v/>
      </c>
      <c r="C404" s="2" t="str">
        <f>Inventory_Master!C404</f>
        <v/>
      </c>
      <c r="D404" s="2" t="str">
        <f>Inventory_Master!R404</f>
        <v/>
      </c>
      <c r="E404" s="2" t="str">
        <f>Inventory_Master!W404</f>
        <v/>
      </c>
      <c r="F404" s="2" t="str">
        <f>IF($A404="","",TRIM(_xludf.textjoin("; ",TRUE(),IF(Inventory_Master!R404&lt;&gt;"OK","Invalid category",""),IF(Inventory_Master!J404="","Missing price_inr",""),IF(Inventory_Master!O404="","Missing image",""),IF(Inventory_Master!S404&gt;0,"Has size variants",""),IF(Inventory_Master!C404="ERROR","Validation error",""),IF(Inventory_Master!C404="WARNING","Review warning",""))))</f>
        <v/>
      </c>
      <c r="G404" s="2" t="str">
        <f t="shared" si="15"/>
        <v>NO</v>
      </c>
      <c r="H404" s="2" t="str">
        <f>IF($A404="","",IF(Inventory_Master!R404&lt;&gt;"OK","Invalid Category",IF(Inventory_Master!J404="","Missing Price",IF(Inventory_Master!O404="","Missing Image",IF(Inventory_Master!S404&gt;0,"Size Price Review",IF(Inventory_Master!C404="ERROR","Validation Error",""))))))</f>
        <v/>
      </c>
      <c r="I404" s="2" t="str">
        <f t="shared" si="16"/>
        <v/>
      </c>
      <c r="J404" s="2" t="str">
        <f t="shared" si="17"/>
        <v/>
      </c>
    </row>
    <row r="405" spans="1:10" ht="12" customHeight="1" x14ac:dyDescent="0.3">
      <c r="A405" s="2" t="str">
        <f>Inventory_Master!D405</f>
        <v/>
      </c>
      <c r="B405" s="2" t="str">
        <f>Inventory_Master!E405</f>
        <v/>
      </c>
      <c r="C405" s="2" t="str">
        <f>Inventory_Master!C405</f>
        <v/>
      </c>
      <c r="D405" s="2" t="str">
        <f>Inventory_Master!R405</f>
        <v/>
      </c>
      <c r="E405" s="2" t="str">
        <f>Inventory_Master!W405</f>
        <v/>
      </c>
      <c r="F405" s="2" t="str">
        <f>IF($A405="","",TRIM(_xludf.textjoin("; ",TRUE(),IF(Inventory_Master!R405&lt;&gt;"OK","Invalid category",""),IF(Inventory_Master!J405="","Missing price_inr",""),IF(Inventory_Master!O405="","Missing image",""),IF(Inventory_Master!S405&gt;0,"Has size variants",""),IF(Inventory_Master!C405="ERROR","Validation error",""),IF(Inventory_Master!C405="WARNING","Review warning",""))))</f>
        <v/>
      </c>
      <c r="G405" s="2" t="str">
        <f t="shared" si="15"/>
        <v>NO</v>
      </c>
      <c r="H405" s="2" t="str">
        <f>IF($A405="","",IF(Inventory_Master!R405&lt;&gt;"OK","Invalid Category",IF(Inventory_Master!J405="","Missing Price",IF(Inventory_Master!O405="","Missing Image",IF(Inventory_Master!S405&gt;0,"Size Price Review",IF(Inventory_Master!C405="ERROR","Validation Error",""))))))</f>
        <v/>
      </c>
      <c r="I405" s="2" t="str">
        <f t="shared" si="16"/>
        <v/>
      </c>
      <c r="J405" s="2" t="str">
        <f t="shared" si="17"/>
        <v/>
      </c>
    </row>
    <row r="406" spans="1:10" ht="12" customHeight="1" x14ac:dyDescent="0.3">
      <c r="A406" s="2" t="str">
        <f>Inventory_Master!D406</f>
        <v/>
      </c>
      <c r="B406" s="2" t="str">
        <f>Inventory_Master!E406</f>
        <v/>
      </c>
      <c r="C406" s="2" t="str">
        <f>Inventory_Master!C406</f>
        <v/>
      </c>
      <c r="D406" s="2" t="str">
        <f>Inventory_Master!R406</f>
        <v/>
      </c>
      <c r="E406" s="2" t="str">
        <f>Inventory_Master!W406</f>
        <v/>
      </c>
      <c r="F406" s="2" t="str">
        <f>IF($A406="","",TRIM(_xludf.textjoin("; ",TRUE(),IF(Inventory_Master!R406&lt;&gt;"OK","Invalid category",""),IF(Inventory_Master!J406="","Missing price_inr",""),IF(Inventory_Master!O406="","Missing image",""),IF(Inventory_Master!S406&gt;0,"Has size variants",""),IF(Inventory_Master!C406="ERROR","Validation error",""),IF(Inventory_Master!C406="WARNING","Review warning",""))))</f>
        <v/>
      </c>
      <c r="G406" s="2" t="str">
        <f t="shared" si="15"/>
        <v>NO</v>
      </c>
      <c r="H406" s="2" t="str">
        <f>IF($A406="","",IF(Inventory_Master!R406&lt;&gt;"OK","Invalid Category",IF(Inventory_Master!J406="","Missing Price",IF(Inventory_Master!O406="","Missing Image",IF(Inventory_Master!S406&gt;0,"Size Price Review",IF(Inventory_Master!C406="ERROR","Validation Error",""))))))</f>
        <v/>
      </c>
      <c r="I406" s="2" t="str">
        <f t="shared" si="16"/>
        <v/>
      </c>
      <c r="J406" s="2" t="str">
        <f t="shared" si="17"/>
        <v/>
      </c>
    </row>
    <row r="407" spans="1:10" ht="12" customHeight="1" x14ac:dyDescent="0.3">
      <c r="A407" s="2" t="str">
        <f>Inventory_Master!D407</f>
        <v/>
      </c>
      <c r="B407" s="2" t="str">
        <f>Inventory_Master!E407</f>
        <v/>
      </c>
      <c r="C407" s="2" t="str">
        <f>Inventory_Master!C407</f>
        <v/>
      </c>
      <c r="D407" s="2" t="str">
        <f>Inventory_Master!R407</f>
        <v/>
      </c>
      <c r="E407" s="2" t="str">
        <f>Inventory_Master!W407</f>
        <v/>
      </c>
      <c r="F407" s="2" t="str">
        <f>IF($A407="","",TRIM(_xludf.textjoin("; ",TRUE(),IF(Inventory_Master!R407&lt;&gt;"OK","Invalid category",""),IF(Inventory_Master!J407="","Missing price_inr",""),IF(Inventory_Master!O407="","Missing image",""),IF(Inventory_Master!S407&gt;0,"Has size variants",""),IF(Inventory_Master!C407="ERROR","Validation error",""),IF(Inventory_Master!C407="WARNING","Review warning",""))))</f>
        <v/>
      </c>
      <c r="G407" s="2" t="str">
        <f t="shared" si="15"/>
        <v>NO</v>
      </c>
      <c r="H407" s="2" t="str">
        <f>IF($A407="","",IF(Inventory_Master!R407&lt;&gt;"OK","Invalid Category",IF(Inventory_Master!J407="","Missing Price",IF(Inventory_Master!O407="","Missing Image",IF(Inventory_Master!S407&gt;0,"Size Price Review",IF(Inventory_Master!C407="ERROR","Validation Error",""))))))</f>
        <v/>
      </c>
      <c r="I407" s="2" t="str">
        <f t="shared" si="16"/>
        <v/>
      </c>
      <c r="J407" s="2" t="str">
        <f t="shared" si="17"/>
        <v/>
      </c>
    </row>
    <row r="408" spans="1:10" ht="12" customHeight="1" x14ac:dyDescent="0.3">
      <c r="A408" s="2" t="str">
        <f>Inventory_Master!D408</f>
        <v/>
      </c>
      <c r="B408" s="2" t="str">
        <f>Inventory_Master!E408</f>
        <v/>
      </c>
      <c r="C408" s="2" t="str">
        <f>Inventory_Master!C408</f>
        <v/>
      </c>
      <c r="D408" s="2" t="str">
        <f>Inventory_Master!R408</f>
        <v/>
      </c>
      <c r="E408" s="2" t="str">
        <f>Inventory_Master!W408</f>
        <v/>
      </c>
      <c r="F408" s="2" t="str">
        <f>IF($A408="","",TRIM(_xludf.textjoin("; ",TRUE(),IF(Inventory_Master!R408&lt;&gt;"OK","Invalid category",""),IF(Inventory_Master!J408="","Missing price_inr",""),IF(Inventory_Master!O408="","Missing image",""),IF(Inventory_Master!S408&gt;0,"Has size variants",""),IF(Inventory_Master!C408="ERROR","Validation error",""),IF(Inventory_Master!C408="WARNING","Review warning",""))))</f>
        <v/>
      </c>
      <c r="G408" s="2" t="str">
        <f t="shared" si="15"/>
        <v>NO</v>
      </c>
      <c r="H408" s="2" t="str">
        <f>IF($A408="","",IF(Inventory_Master!R408&lt;&gt;"OK","Invalid Category",IF(Inventory_Master!J408="","Missing Price",IF(Inventory_Master!O408="","Missing Image",IF(Inventory_Master!S408&gt;0,"Size Price Review",IF(Inventory_Master!C408="ERROR","Validation Error",""))))))</f>
        <v/>
      </c>
      <c r="I408" s="2" t="str">
        <f t="shared" si="16"/>
        <v/>
      </c>
      <c r="J408" s="2" t="str">
        <f t="shared" si="17"/>
        <v/>
      </c>
    </row>
    <row r="409" spans="1:10" ht="12" customHeight="1" x14ac:dyDescent="0.3">
      <c r="A409" s="2" t="str">
        <f>Inventory_Master!D409</f>
        <v/>
      </c>
      <c r="B409" s="2" t="str">
        <f>Inventory_Master!E409</f>
        <v/>
      </c>
      <c r="C409" s="2" t="str">
        <f>Inventory_Master!C409</f>
        <v/>
      </c>
      <c r="D409" s="2" t="str">
        <f>Inventory_Master!R409</f>
        <v/>
      </c>
      <c r="E409" s="2" t="str">
        <f>Inventory_Master!W409</f>
        <v/>
      </c>
      <c r="F409" s="2" t="str">
        <f>IF($A409="","",TRIM(_xludf.textjoin("; ",TRUE(),IF(Inventory_Master!R409&lt;&gt;"OK","Invalid category",""),IF(Inventory_Master!J409="","Missing price_inr",""),IF(Inventory_Master!O409="","Missing image",""),IF(Inventory_Master!S409&gt;0,"Has size variants",""),IF(Inventory_Master!C409="ERROR","Validation error",""),IF(Inventory_Master!C409="WARNING","Review warning",""))))</f>
        <v/>
      </c>
      <c r="G409" s="2" t="str">
        <f t="shared" si="15"/>
        <v>NO</v>
      </c>
      <c r="H409" s="2" t="str">
        <f>IF($A409="","",IF(Inventory_Master!R409&lt;&gt;"OK","Invalid Category",IF(Inventory_Master!J409="","Missing Price",IF(Inventory_Master!O409="","Missing Image",IF(Inventory_Master!S409&gt;0,"Size Price Review",IF(Inventory_Master!C409="ERROR","Validation Error",""))))))</f>
        <v/>
      </c>
      <c r="I409" s="2" t="str">
        <f t="shared" si="16"/>
        <v/>
      </c>
      <c r="J409" s="2" t="str">
        <f t="shared" si="17"/>
        <v/>
      </c>
    </row>
    <row r="410" spans="1:10" ht="12" customHeight="1" x14ac:dyDescent="0.3">
      <c r="A410" s="2" t="str">
        <f>Inventory_Master!D410</f>
        <v/>
      </c>
      <c r="B410" s="2" t="str">
        <f>Inventory_Master!E410</f>
        <v/>
      </c>
      <c r="C410" s="2" t="str">
        <f>Inventory_Master!C410</f>
        <v/>
      </c>
      <c r="D410" s="2" t="str">
        <f>Inventory_Master!R410</f>
        <v/>
      </c>
      <c r="E410" s="2" t="str">
        <f>Inventory_Master!W410</f>
        <v/>
      </c>
      <c r="F410" s="2" t="str">
        <f>IF($A410="","",TRIM(_xludf.textjoin("; ",TRUE(),IF(Inventory_Master!R410&lt;&gt;"OK","Invalid category",""),IF(Inventory_Master!J410="","Missing price_inr",""),IF(Inventory_Master!O410="","Missing image",""),IF(Inventory_Master!S410&gt;0,"Has size variants",""),IF(Inventory_Master!C410="ERROR","Validation error",""),IF(Inventory_Master!C410="WARNING","Review warning",""))))</f>
        <v/>
      </c>
      <c r="G410" s="2" t="str">
        <f t="shared" si="15"/>
        <v>NO</v>
      </c>
      <c r="H410" s="2" t="str">
        <f>IF($A410="","",IF(Inventory_Master!R410&lt;&gt;"OK","Invalid Category",IF(Inventory_Master!J410="","Missing Price",IF(Inventory_Master!O410="","Missing Image",IF(Inventory_Master!S410&gt;0,"Size Price Review",IF(Inventory_Master!C410="ERROR","Validation Error",""))))))</f>
        <v/>
      </c>
      <c r="I410" s="2" t="str">
        <f t="shared" si="16"/>
        <v/>
      </c>
      <c r="J410" s="2" t="str">
        <f t="shared" si="17"/>
        <v/>
      </c>
    </row>
    <row r="411" spans="1:10" ht="12" customHeight="1" x14ac:dyDescent="0.3">
      <c r="A411" s="2" t="str">
        <f>Inventory_Master!D411</f>
        <v/>
      </c>
      <c r="B411" s="2" t="str">
        <f>Inventory_Master!E411</f>
        <v/>
      </c>
      <c r="C411" s="2" t="str">
        <f>Inventory_Master!C411</f>
        <v/>
      </c>
      <c r="D411" s="2" t="str">
        <f>Inventory_Master!R411</f>
        <v/>
      </c>
      <c r="E411" s="2" t="str">
        <f>Inventory_Master!W411</f>
        <v/>
      </c>
      <c r="F411" s="2" t="str">
        <f>IF($A411="","",TRIM(_xludf.textjoin("; ",TRUE(),IF(Inventory_Master!R411&lt;&gt;"OK","Invalid category",""),IF(Inventory_Master!J411="","Missing price_inr",""),IF(Inventory_Master!O411="","Missing image",""),IF(Inventory_Master!S411&gt;0,"Has size variants",""),IF(Inventory_Master!C411="ERROR","Validation error",""),IF(Inventory_Master!C411="WARNING","Review warning",""))))</f>
        <v/>
      </c>
      <c r="G411" s="2" t="str">
        <f t="shared" si="15"/>
        <v>NO</v>
      </c>
      <c r="H411" s="2" t="str">
        <f>IF($A411="","",IF(Inventory_Master!R411&lt;&gt;"OK","Invalid Category",IF(Inventory_Master!J411="","Missing Price",IF(Inventory_Master!O411="","Missing Image",IF(Inventory_Master!S411&gt;0,"Size Price Review",IF(Inventory_Master!C411="ERROR","Validation Error",""))))))</f>
        <v/>
      </c>
      <c r="I411" s="2" t="str">
        <f t="shared" si="16"/>
        <v/>
      </c>
      <c r="J411" s="2" t="str">
        <f t="shared" si="17"/>
        <v/>
      </c>
    </row>
    <row r="412" spans="1:10" ht="12" customHeight="1" x14ac:dyDescent="0.3">
      <c r="A412" s="2" t="str">
        <f>Inventory_Master!D412</f>
        <v/>
      </c>
      <c r="B412" s="2" t="str">
        <f>Inventory_Master!E412</f>
        <v/>
      </c>
      <c r="C412" s="2" t="str">
        <f>Inventory_Master!C412</f>
        <v/>
      </c>
      <c r="D412" s="2" t="str">
        <f>Inventory_Master!R412</f>
        <v/>
      </c>
      <c r="E412" s="2" t="str">
        <f>Inventory_Master!W412</f>
        <v/>
      </c>
      <c r="F412" s="2" t="str">
        <f>IF($A412="","",TRIM(_xludf.textjoin("; ",TRUE(),IF(Inventory_Master!R412&lt;&gt;"OK","Invalid category",""),IF(Inventory_Master!J412="","Missing price_inr",""),IF(Inventory_Master!O412="","Missing image",""),IF(Inventory_Master!S412&gt;0,"Has size variants",""),IF(Inventory_Master!C412="ERROR","Validation error",""),IF(Inventory_Master!C412="WARNING","Review warning",""))))</f>
        <v/>
      </c>
      <c r="G412" s="2" t="str">
        <f t="shared" si="15"/>
        <v>NO</v>
      </c>
      <c r="H412" s="2" t="str">
        <f>IF($A412="","",IF(Inventory_Master!R412&lt;&gt;"OK","Invalid Category",IF(Inventory_Master!J412="","Missing Price",IF(Inventory_Master!O412="","Missing Image",IF(Inventory_Master!S412&gt;0,"Size Price Review",IF(Inventory_Master!C412="ERROR","Validation Error",""))))))</f>
        <v/>
      </c>
      <c r="I412" s="2" t="str">
        <f t="shared" si="16"/>
        <v/>
      </c>
      <c r="J412" s="2" t="str">
        <f t="shared" si="17"/>
        <v/>
      </c>
    </row>
    <row r="413" spans="1:10" ht="12" customHeight="1" x14ac:dyDescent="0.3">
      <c r="A413" s="2" t="str">
        <f>Inventory_Master!D413</f>
        <v/>
      </c>
      <c r="B413" s="2" t="str">
        <f>Inventory_Master!E413</f>
        <v/>
      </c>
      <c r="C413" s="2" t="str">
        <f>Inventory_Master!C413</f>
        <v/>
      </c>
      <c r="D413" s="2" t="str">
        <f>Inventory_Master!R413</f>
        <v/>
      </c>
      <c r="E413" s="2" t="str">
        <f>Inventory_Master!W413</f>
        <v/>
      </c>
      <c r="F413" s="2" t="str">
        <f>IF($A413="","",TRIM(_xludf.textjoin("; ",TRUE(),IF(Inventory_Master!R413&lt;&gt;"OK","Invalid category",""),IF(Inventory_Master!J413="","Missing price_inr",""),IF(Inventory_Master!O413="","Missing image",""),IF(Inventory_Master!S413&gt;0,"Has size variants",""),IF(Inventory_Master!C413="ERROR","Validation error",""),IF(Inventory_Master!C413="WARNING","Review warning",""))))</f>
        <v/>
      </c>
      <c r="G413" s="2" t="str">
        <f t="shared" si="15"/>
        <v>NO</v>
      </c>
      <c r="H413" s="2" t="str">
        <f>IF($A413="","",IF(Inventory_Master!R413&lt;&gt;"OK","Invalid Category",IF(Inventory_Master!J413="","Missing Price",IF(Inventory_Master!O413="","Missing Image",IF(Inventory_Master!S413&gt;0,"Size Price Review",IF(Inventory_Master!C413="ERROR","Validation Error",""))))))</f>
        <v/>
      </c>
      <c r="I413" s="2" t="str">
        <f t="shared" si="16"/>
        <v/>
      </c>
      <c r="J413" s="2" t="str">
        <f t="shared" si="17"/>
        <v/>
      </c>
    </row>
    <row r="414" spans="1:10" ht="12" customHeight="1" x14ac:dyDescent="0.3">
      <c r="A414" s="2" t="str">
        <f>Inventory_Master!D414</f>
        <v/>
      </c>
      <c r="B414" s="2" t="str">
        <f>Inventory_Master!E414</f>
        <v/>
      </c>
      <c r="C414" s="2" t="str">
        <f>Inventory_Master!C414</f>
        <v/>
      </c>
      <c r="D414" s="2" t="str">
        <f>Inventory_Master!R414</f>
        <v/>
      </c>
      <c r="E414" s="2" t="str">
        <f>Inventory_Master!W414</f>
        <v/>
      </c>
      <c r="F414" s="2" t="str">
        <f>IF($A414="","",TRIM(_xludf.textjoin("; ",TRUE(),IF(Inventory_Master!R414&lt;&gt;"OK","Invalid category",""),IF(Inventory_Master!J414="","Missing price_inr",""),IF(Inventory_Master!O414="","Missing image",""),IF(Inventory_Master!S414&gt;0,"Has size variants",""),IF(Inventory_Master!C414="ERROR","Validation error",""),IF(Inventory_Master!C414="WARNING","Review warning",""))))</f>
        <v/>
      </c>
      <c r="G414" s="2" t="str">
        <f t="shared" si="15"/>
        <v>NO</v>
      </c>
      <c r="H414" s="2" t="str">
        <f>IF($A414="","",IF(Inventory_Master!R414&lt;&gt;"OK","Invalid Category",IF(Inventory_Master!J414="","Missing Price",IF(Inventory_Master!O414="","Missing Image",IF(Inventory_Master!S414&gt;0,"Size Price Review",IF(Inventory_Master!C414="ERROR","Validation Error",""))))))</f>
        <v/>
      </c>
      <c r="I414" s="2" t="str">
        <f t="shared" si="16"/>
        <v/>
      </c>
      <c r="J414" s="2" t="str">
        <f t="shared" si="17"/>
        <v/>
      </c>
    </row>
    <row r="415" spans="1:10" ht="12" customHeight="1" x14ac:dyDescent="0.3">
      <c r="A415" s="2" t="str">
        <f>Inventory_Master!D415</f>
        <v/>
      </c>
      <c r="B415" s="2" t="str">
        <f>Inventory_Master!E415</f>
        <v/>
      </c>
      <c r="C415" s="2" t="str">
        <f>Inventory_Master!C415</f>
        <v/>
      </c>
      <c r="D415" s="2" t="str">
        <f>Inventory_Master!R415</f>
        <v/>
      </c>
      <c r="E415" s="2" t="str">
        <f>Inventory_Master!W415</f>
        <v/>
      </c>
      <c r="F415" s="2" t="str">
        <f>IF($A415="","",TRIM(_xludf.textjoin("; ",TRUE(),IF(Inventory_Master!R415&lt;&gt;"OK","Invalid category",""),IF(Inventory_Master!J415="","Missing price_inr",""),IF(Inventory_Master!O415="","Missing image",""),IF(Inventory_Master!S415&gt;0,"Has size variants",""),IF(Inventory_Master!C415="ERROR","Validation error",""),IF(Inventory_Master!C415="WARNING","Review warning",""))))</f>
        <v/>
      </c>
      <c r="G415" s="2" t="str">
        <f t="shared" si="15"/>
        <v>NO</v>
      </c>
      <c r="H415" s="2" t="str">
        <f>IF($A415="","",IF(Inventory_Master!R415&lt;&gt;"OK","Invalid Category",IF(Inventory_Master!J415="","Missing Price",IF(Inventory_Master!O415="","Missing Image",IF(Inventory_Master!S415&gt;0,"Size Price Review",IF(Inventory_Master!C415="ERROR","Validation Error",""))))))</f>
        <v/>
      </c>
      <c r="I415" s="2" t="str">
        <f t="shared" si="16"/>
        <v/>
      </c>
      <c r="J415" s="2" t="str">
        <f t="shared" si="17"/>
        <v/>
      </c>
    </row>
    <row r="416" spans="1:10" ht="12" customHeight="1" x14ac:dyDescent="0.3">
      <c r="A416" s="2" t="str">
        <f>Inventory_Master!D416</f>
        <v/>
      </c>
      <c r="B416" s="2" t="str">
        <f>Inventory_Master!E416</f>
        <v/>
      </c>
      <c r="C416" s="2" t="str">
        <f>Inventory_Master!C416</f>
        <v/>
      </c>
      <c r="D416" s="2" t="str">
        <f>Inventory_Master!R416</f>
        <v/>
      </c>
      <c r="E416" s="2" t="str">
        <f>Inventory_Master!W416</f>
        <v/>
      </c>
      <c r="F416" s="2" t="str">
        <f>IF($A416="","",TRIM(_xludf.textjoin("; ",TRUE(),IF(Inventory_Master!R416&lt;&gt;"OK","Invalid category",""),IF(Inventory_Master!J416="","Missing price_inr",""),IF(Inventory_Master!O416="","Missing image",""),IF(Inventory_Master!S416&gt;0,"Has size variants",""),IF(Inventory_Master!C416="ERROR","Validation error",""),IF(Inventory_Master!C416="WARNING","Review warning",""))))</f>
        <v/>
      </c>
      <c r="G416" s="2" t="str">
        <f t="shared" si="15"/>
        <v>NO</v>
      </c>
      <c r="H416" s="2" t="str">
        <f>IF($A416="","",IF(Inventory_Master!R416&lt;&gt;"OK","Invalid Category",IF(Inventory_Master!J416="","Missing Price",IF(Inventory_Master!O416="","Missing Image",IF(Inventory_Master!S416&gt;0,"Size Price Review",IF(Inventory_Master!C416="ERROR","Validation Error",""))))))</f>
        <v/>
      </c>
      <c r="I416" s="2" t="str">
        <f t="shared" si="16"/>
        <v/>
      </c>
      <c r="J416" s="2" t="str">
        <f t="shared" si="17"/>
        <v/>
      </c>
    </row>
    <row r="417" spans="1:10" ht="12" customHeight="1" x14ac:dyDescent="0.3">
      <c r="A417" s="2" t="str">
        <f>Inventory_Master!D417</f>
        <v/>
      </c>
      <c r="B417" s="2" t="str">
        <f>Inventory_Master!E417</f>
        <v/>
      </c>
      <c r="C417" s="2" t="str">
        <f>Inventory_Master!C417</f>
        <v/>
      </c>
      <c r="D417" s="2" t="str">
        <f>Inventory_Master!R417</f>
        <v/>
      </c>
      <c r="E417" s="2" t="str">
        <f>Inventory_Master!W417</f>
        <v/>
      </c>
      <c r="F417" s="2" t="str">
        <f>IF($A417="","",TRIM(_xludf.textjoin("; ",TRUE(),IF(Inventory_Master!R417&lt;&gt;"OK","Invalid category",""),IF(Inventory_Master!J417="","Missing price_inr",""),IF(Inventory_Master!O417="","Missing image",""),IF(Inventory_Master!S417&gt;0,"Has size variants",""),IF(Inventory_Master!C417="ERROR","Validation error",""),IF(Inventory_Master!C417="WARNING","Review warning",""))))</f>
        <v/>
      </c>
      <c r="G417" s="2" t="str">
        <f t="shared" si="15"/>
        <v>NO</v>
      </c>
      <c r="H417" s="2" t="str">
        <f>IF($A417="","",IF(Inventory_Master!R417&lt;&gt;"OK","Invalid Category",IF(Inventory_Master!J417="","Missing Price",IF(Inventory_Master!O417="","Missing Image",IF(Inventory_Master!S417&gt;0,"Size Price Review",IF(Inventory_Master!C417="ERROR","Validation Error",""))))))</f>
        <v/>
      </c>
      <c r="I417" s="2" t="str">
        <f t="shared" si="16"/>
        <v/>
      </c>
      <c r="J417" s="2" t="str">
        <f t="shared" si="17"/>
        <v/>
      </c>
    </row>
    <row r="418" spans="1:10" ht="12" customHeight="1" x14ac:dyDescent="0.3">
      <c r="A418" s="2" t="str">
        <f>Inventory_Master!D418</f>
        <v/>
      </c>
      <c r="B418" s="2" t="str">
        <f>Inventory_Master!E418</f>
        <v/>
      </c>
      <c r="C418" s="2" t="str">
        <f>Inventory_Master!C418</f>
        <v/>
      </c>
      <c r="D418" s="2" t="str">
        <f>Inventory_Master!R418</f>
        <v/>
      </c>
      <c r="E418" s="2" t="str">
        <f>Inventory_Master!W418</f>
        <v/>
      </c>
      <c r="F418" s="2" t="str">
        <f>IF($A418="","",TRIM(_xludf.textjoin("; ",TRUE(),IF(Inventory_Master!R418&lt;&gt;"OK","Invalid category",""),IF(Inventory_Master!J418="","Missing price_inr",""),IF(Inventory_Master!O418="","Missing image",""),IF(Inventory_Master!S418&gt;0,"Has size variants",""),IF(Inventory_Master!C418="ERROR","Validation error",""),IF(Inventory_Master!C418="WARNING","Review warning",""))))</f>
        <v/>
      </c>
      <c r="G418" s="2" t="str">
        <f t="shared" si="15"/>
        <v>NO</v>
      </c>
      <c r="H418" s="2" t="str">
        <f>IF($A418="","",IF(Inventory_Master!R418&lt;&gt;"OK","Invalid Category",IF(Inventory_Master!J418="","Missing Price",IF(Inventory_Master!O418="","Missing Image",IF(Inventory_Master!S418&gt;0,"Size Price Review",IF(Inventory_Master!C418="ERROR","Validation Error",""))))))</f>
        <v/>
      </c>
      <c r="I418" s="2" t="str">
        <f t="shared" si="16"/>
        <v/>
      </c>
      <c r="J418" s="2" t="str">
        <f t="shared" si="17"/>
        <v/>
      </c>
    </row>
    <row r="419" spans="1:10" ht="12" customHeight="1" x14ac:dyDescent="0.3">
      <c r="A419" s="2" t="str">
        <f>Inventory_Master!D419</f>
        <v/>
      </c>
      <c r="B419" s="2" t="str">
        <f>Inventory_Master!E419</f>
        <v/>
      </c>
      <c r="C419" s="2" t="str">
        <f>Inventory_Master!C419</f>
        <v/>
      </c>
      <c r="D419" s="2" t="str">
        <f>Inventory_Master!R419</f>
        <v/>
      </c>
      <c r="E419" s="2" t="str">
        <f>Inventory_Master!W419</f>
        <v/>
      </c>
      <c r="F419" s="2" t="str">
        <f>IF($A419="","",TRIM(_xludf.textjoin("; ",TRUE(),IF(Inventory_Master!R419&lt;&gt;"OK","Invalid category",""),IF(Inventory_Master!J419="","Missing price_inr",""),IF(Inventory_Master!O419="","Missing image",""),IF(Inventory_Master!S419&gt;0,"Has size variants",""),IF(Inventory_Master!C419="ERROR","Validation error",""),IF(Inventory_Master!C419="WARNING","Review warning",""))))</f>
        <v/>
      </c>
      <c r="G419" s="2" t="str">
        <f t="shared" si="15"/>
        <v>NO</v>
      </c>
      <c r="H419" s="2" t="str">
        <f>IF($A419="","",IF(Inventory_Master!R419&lt;&gt;"OK","Invalid Category",IF(Inventory_Master!J419="","Missing Price",IF(Inventory_Master!O419="","Missing Image",IF(Inventory_Master!S419&gt;0,"Size Price Review",IF(Inventory_Master!C419="ERROR","Validation Error",""))))))</f>
        <v/>
      </c>
      <c r="I419" s="2" t="str">
        <f t="shared" si="16"/>
        <v/>
      </c>
      <c r="J419" s="2" t="str">
        <f t="shared" si="17"/>
        <v/>
      </c>
    </row>
    <row r="420" spans="1:10" ht="12" customHeight="1" x14ac:dyDescent="0.3">
      <c r="A420" s="2" t="str">
        <f>Inventory_Master!D420</f>
        <v/>
      </c>
      <c r="B420" s="2" t="str">
        <f>Inventory_Master!E420</f>
        <v/>
      </c>
      <c r="C420" s="2" t="str">
        <f>Inventory_Master!C420</f>
        <v/>
      </c>
      <c r="D420" s="2" t="str">
        <f>Inventory_Master!R420</f>
        <v/>
      </c>
      <c r="E420" s="2" t="str">
        <f>Inventory_Master!W420</f>
        <v/>
      </c>
      <c r="F420" s="2" t="str">
        <f>IF($A420="","",TRIM(_xludf.textjoin("; ",TRUE(),IF(Inventory_Master!R420&lt;&gt;"OK","Invalid category",""),IF(Inventory_Master!J420="","Missing price_inr",""),IF(Inventory_Master!O420="","Missing image",""),IF(Inventory_Master!S420&gt;0,"Has size variants",""),IF(Inventory_Master!C420="ERROR","Validation error",""),IF(Inventory_Master!C420="WARNING","Review warning",""))))</f>
        <v/>
      </c>
      <c r="G420" s="2" t="str">
        <f t="shared" si="15"/>
        <v>NO</v>
      </c>
      <c r="H420" s="2" t="str">
        <f>IF($A420="","",IF(Inventory_Master!R420&lt;&gt;"OK","Invalid Category",IF(Inventory_Master!J420="","Missing Price",IF(Inventory_Master!O420="","Missing Image",IF(Inventory_Master!S420&gt;0,"Size Price Review",IF(Inventory_Master!C420="ERROR","Validation Error",""))))))</f>
        <v/>
      </c>
      <c r="I420" s="2" t="str">
        <f t="shared" si="16"/>
        <v/>
      </c>
      <c r="J420" s="2" t="str">
        <f t="shared" si="17"/>
        <v/>
      </c>
    </row>
    <row r="421" spans="1:10" ht="12" customHeight="1" x14ac:dyDescent="0.3">
      <c r="A421" s="2" t="str">
        <f>Inventory_Master!D421</f>
        <v/>
      </c>
      <c r="B421" s="2" t="str">
        <f>Inventory_Master!E421</f>
        <v/>
      </c>
      <c r="C421" s="2" t="str">
        <f>Inventory_Master!C421</f>
        <v/>
      </c>
      <c r="D421" s="2" t="str">
        <f>Inventory_Master!R421</f>
        <v/>
      </c>
      <c r="E421" s="2" t="str">
        <f>Inventory_Master!W421</f>
        <v/>
      </c>
      <c r="F421" s="2" t="str">
        <f>IF($A421="","",TRIM(_xludf.textjoin("; ",TRUE(),IF(Inventory_Master!R421&lt;&gt;"OK","Invalid category",""),IF(Inventory_Master!J421="","Missing price_inr",""),IF(Inventory_Master!O421="","Missing image",""),IF(Inventory_Master!S421&gt;0,"Has size variants",""),IF(Inventory_Master!C421="ERROR","Validation error",""),IF(Inventory_Master!C421="WARNING","Review warning",""))))</f>
        <v/>
      </c>
      <c r="G421" s="2" t="str">
        <f t="shared" si="15"/>
        <v>NO</v>
      </c>
      <c r="H421" s="2" t="str">
        <f>IF($A421="","",IF(Inventory_Master!R421&lt;&gt;"OK","Invalid Category",IF(Inventory_Master!J421="","Missing Price",IF(Inventory_Master!O421="","Missing Image",IF(Inventory_Master!S421&gt;0,"Size Price Review",IF(Inventory_Master!C421="ERROR","Validation Error",""))))))</f>
        <v/>
      </c>
      <c r="I421" s="2" t="str">
        <f t="shared" si="16"/>
        <v/>
      </c>
      <c r="J421" s="2" t="str">
        <f t="shared" si="17"/>
        <v/>
      </c>
    </row>
    <row r="422" spans="1:10" ht="12" customHeight="1" x14ac:dyDescent="0.3">
      <c r="A422" s="2" t="str">
        <f>Inventory_Master!D422</f>
        <v/>
      </c>
      <c r="B422" s="2" t="str">
        <f>Inventory_Master!E422</f>
        <v/>
      </c>
      <c r="C422" s="2" t="str">
        <f>Inventory_Master!C422</f>
        <v/>
      </c>
      <c r="D422" s="2" t="str">
        <f>Inventory_Master!R422</f>
        <v/>
      </c>
      <c r="E422" s="2" t="str">
        <f>Inventory_Master!W422</f>
        <v/>
      </c>
      <c r="F422" s="2" t="str">
        <f>IF($A422="","",TRIM(_xludf.textjoin("; ",TRUE(),IF(Inventory_Master!R422&lt;&gt;"OK","Invalid category",""),IF(Inventory_Master!J422="","Missing price_inr",""),IF(Inventory_Master!O422="","Missing image",""),IF(Inventory_Master!S422&gt;0,"Has size variants",""),IF(Inventory_Master!C422="ERROR","Validation error",""),IF(Inventory_Master!C422="WARNING","Review warning",""))))</f>
        <v/>
      </c>
      <c r="G422" s="2" t="str">
        <f t="shared" si="15"/>
        <v>NO</v>
      </c>
      <c r="H422" s="2" t="str">
        <f>IF($A422="","",IF(Inventory_Master!R422&lt;&gt;"OK","Invalid Category",IF(Inventory_Master!J422="","Missing Price",IF(Inventory_Master!O422="","Missing Image",IF(Inventory_Master!S422&gt;0,"Size Price Review",IF(Inventory_Master!C422="ERROR","Validation Error",""))))))</f>
        <v/>
      </c>
      <c r="I422" s="2" t="str">
        <f t="shared" si="16"/>
        <v/>
      </c>
      <c r="J422" s="2" t="str">
        <f t="shared" si="17"/>
        <v/>
      </c>
    </row>
    <row r="423" spans="1:10" ht="12" customHeight="1" x14ac:dyDescent="0.3">
      <c r="A423" s="2" t="str">
        <f>Inventory_Master!D423</f>
        <v/>
      </c>
      <c r="B423" s="2" t="str">
        <f>Inventory_Master!E423</f>
        <v/>
      </c>
      <c r="C423" s="2" t="str">
        <f>Inventory_Master!C423</f>
        <v/>
      </c>
      <c r="D423" s="2" t="str">
        <f>Inventory_Master!R423</f>
        <v/>
      </c>
      <c r="E423" s="2" t="str">
        <f>Inventory_Master!W423</f>
        <v/>
      </c>
      <c r="F423" s="2" t="str">
        <f>IF($A423="","",TRIM(_xludf.textjoin("; ",TRUE(),IF(Inventory_Master!R423&lt;&gt;"OK","Invalid category",""),IF(Inventory_Master!J423="","Missing price_inr",""),IF(Inventory_Master!O423="","Missing image",""),IF(Inventory_Master!S423&gt;0,"Has size variants",""),IF(Inventory_Master!C423="ERROR","Validation error",""),IF(Inventory_Master!C423="WARNING","Review warning",""))))</f>
        <v/>
      </c>
      <c r="G423" s="2" t="str">
        <f t="shared" si="15"/>
        <v>NO</v>
      </c>
      <c r="H423" s="2" t="str">
        <f>IF($A423="","",IF(Inventory_Master!R423&lt;&gt;"OK","Invalid Category",IF(Inventory_Master!J423="","Missing Price",IF(Inventory_Master!O423="","Missing Image",IF(Inventory_Master!S423&gt;0,"Size Price Review",IF(Inventory_Master!C423="ERROR","Validation Error",""))))))</f>
        <v/>
      </c>
      <c r="I423" s="2" t="str">
        <f t="shared" si="16"/>
        <v/>
      </c>
      <c r="J423" s="2" t="str">
        <f t="shared" si="17"/>
        <v/>
      </c>
    </row>
    <row r="424" spans="1:10" ht="12" customHeight="1" x14ac:dyDescent="0.3">
      <c r="A424" s="2" t="str">
        <f>Inventory_Master!D424</f>
        <v/>
      </c>
      <c r="B424" s="2" t="str">
        <f>Inventory_Master!E424</f>
        <v/>
      </c>
      <c r="C424" s="2" t="str">
        <f>Inventory_Master!C424</f>
        <v/>
      </c>
      <c r="D424" s="2" t="str">
        <f>Inventory_Master!R424</f>
        <v/>
      </c>
      <c r="E424" s="2" t="str">
        <f>Inventory_Master!W424</f>
        <v/>
      </c>
      <c r="F424" s="2" t="str">
        <f>IF($A424="","",TRIM(_xludf.textjoin("; ",TRUE(),IF(Inventory_Master!R424&lt;&gt;"OK","Invalid category",""),IF(Inventory_Master!J424="","Missing price_inr",""),IF(Inventory_Master!O424="","Missing image",""),IF(Inventory_Master!S424&gt;0,"Has size variants",""),IF(Inventory_Master!C424="ERROR","Validation error",""),IF(Inventory_Master!C424="WARNING","Review warning",""))))</f>
        <v/>
      </c>
      <c r="G424" s="2" t="str">
        <f t="shared" si="15"/>
        <v>NO</v>
      </c>
      <c r="H424" s="2" t="str">
        <f>IF($A424="","",IF(Inventory_Master!R424&lt;&gt;"OK","Invalid Category",IF(Inventory_Master!J424="","Missing Price",IF(Inventory_Master!O424="","Missing Image",IF(Inventory_Master!S424&gt;0,"Size Price Review",IF(Inventory_Master!C424="ERROR","Validation Error",""))))))</f>
        <v/>
      </c>
      <c r="I424" s="2" t="str">
        <f t="shared" si="16"/>
        <v/>
      </c>
      <c r="J424" s="2" t="str">
        <f t="shared" si="17"/>
        <v/>
      </c>
    </row>
    <row r="425" spans="1:10" ht="12" customHeight="1" x14ac:dyDescent="0.3">
      <c r="A425" s="2" t="str">
        <f>Inventory_Master!D425</f>
        <v/>
      </c>
      <c r="B425" s="2" t="str">
        <f>Inventory_Master!E425</f>
        <v/>
      </c>
      <c r="C425" s="2" t="str">
        <f>Inventory_Master!C425</f>
        <v/>
      </c>
      <c r="D425" s="2" t="str">
        <f>Inventory_Master!R425</f>
        <v/>
      </c>
      <c r="E425" s="2" t="str">
        <f>Inventory_Master!W425</f>
        <v/>
      </c>
      <c r="F425" s="2" t="str">
        <f>IF($A425="","",TRIM(_xludf.textjoin("; ",TRUE(),IF(Inventory_Master!R425&lt;&gt;"OK","Invalid category",""),IF(Inventory_Master!J425="","Missing price_inr",""),IF(Inventory_Master!O425="","Missing image",""),IF(Inventory_Master!S425&gt;0,"Has size variants",""),IF(Inventory_Master!C425="ERROR","Validation error",""),IF(Inventory_Master!C425="WARNING","Review warning",""))))</f>
        <v/>
      </c>
      <c r="G425" s="2" t="str">
        <f t="shared" si="15"/>
        <v>NO</v>
      </c>
      <c r="H425" s="2" t="str">
        <f>IF($A425="","",IF(Inventory_Master!R425&lt;&gt;"OK","Invalid Category",IF(Inventory_Master!J425="","Missing Price",IF(Inventory_Master!O425="","Missing Image",IF(Inventory_Master!S425&gt;0,"Size Price Review",IF(Inventory_Master!C425="ERROR","Validation Error",""))))))</f>
        <v/>
      </c>
      <c r="I425" s="2" t="str">
        <f t="shared" si="16"/>
        <v/>
      </c>
      <c r="J425" s="2" t="str">
        <f t="shared" si="17"/>
        <v/>
      </c>
    </row>
    <row r="426" spans="1:10" ht="12" customHeight="1" x14ac:dyDescent="0.3">
      <c r="A426" s="2" t="str">
        <f>Inventory_Master!D426</f>
        <v/>
      </c>
      <c r="B426" s="2" t="str">
        <f>Inventory_Master!E426</f>
        <v/>
      </c>
      <c r="C426" s="2" t="str">
        <f>Inventory_Master!C426</f>
        <v/>
      </c>
      <c r="D426" s="2" t="str">
        <f>Inventory_Master!R426</f>
        <v/>
      </c>
      <c r="E426" s="2" t="str">
        <f>Inventory_Master!W426</f>
        <v/>
      </c>
      <c r="F426" s="2" t="str">
        <f>IF($A426="","",TRIM(_xludf.textjoin("; ",TRUE(),IF(Inventory_Master!R426&lt;&gt;"OK","Invalid category",""),IF(Inventory_Master!J426="","Missing price_inr",""),IF(Inventory_Master!O426="","Missing image",""),IF(Inventory_Master!S426&gt;0,"Has size variants",""),IF(Inventory_Master!C426="ERROR","Validation error",""),IF(Inventory_Master!C426="WARNING","Review warning",""))))</f>
        <v/>
      </c>
      <c r="G426" s="2" t="str">
        <f t="shared" si="15"/>
        <v>NO</v>
      </c>
      <c r="H426" s="2" t="str">
        <f>IF($A426="","",IF(Inventory_Master!R426&lt;&gt;"OK","Invalid Category",IF(Inventory_Master!J426="","Missing Price",IF(Inventory_Master!O426="","Missing Image",IF(Inventory_Master!S426&gt;0,"Size Price Review",IF(Inventory_Master!C426="ERROR","Validation Error",""))))))</f>
        <v/>
      </c>
      <c r="I426" s="2" t="str">
        <f t="shared" si="16"/>
        <v/>
      </c>
      <c r="J426" s="2" t="str">
        <f t="shared" si="17"/>
        <v/>
      </c>
    </row>
    <row r="427" spans="1:10" ht="12" customHeight="1" x14ac:dyDescent="0.3">
      <c r="A427" s="2" t="str">
        <f>Inventory_Master!D427</f>
        <v/>
      </c>
      <c r="B427" s="2" t="str">
        <f>Inventory_Master!E427</f>
        <v/>
      </c>
      <c r="C427" s="2" t="str">
        <f>Inventory_Master!C427</f>
        <v/>
      </c>
      <c r="D427" s="2" t="str">
        <f>Inventory_Master!R427</f>
        <v/>
      </c>
      <c r="E427" s="2" t="str">
        <f>Inventory_Master!W427</f>
        <v/>
      </c>
      <c r="F427" s="2" t="str">
        <f>IF($A427="","",TRIM(_xludf.textjoin("; ",TRUE(),IF(Inventory_Master!R427&lt;&gt;"OK","Invalid category",""),IF(Inventory_Master!J427="","Missing price_inr",""),IF(Inventory_Master!O427="","Missing image",""),IF(Inventory_Master!S427&gt;0,"Has size variants",""),IF(Inventory_Master!C427="ERROR","Validation error",""),IF(Inventory_Master!C427="WARNING","Review warning",""))))</f>
        <v/>
      </c>
      <c r="G427" s="2" t="str">
        <f t="shared" si="15"/>
        <v>NO</v>
      </c>
      <c r="H427" s="2" t="str">
        <f>IF($A427="","",IF(Inventory_Master!R427&lt;&gt;"OK","Invalid Category",IF(Inventory_Master!J427="","Missing Price",IF(Inventory_Master!O427="","Missing Image",IF(Inventory_Master!S427&gt;0,"Size Price Review",IF(Inventory_Master!C427="ERROR","Validation Error",""))))))</f>
        <v/>
      </c>
      <c r="I427" s="2" t="str">
        <f t="shared" si="16"/>
        <v/>
      </c>
      <c r="J427" s="2" t="str">
        <f t="shared" si="17"/>
        <v/>
      </c>
    </row>
    <row r="428" spans="1:10" ht="12" customHeight="1" x14ac:dyDescent="0.3">
      <c r="A428" s="2" t="str">
        <f>Inventory_Master!D428</f>
        <v/>
      </c>
      <c r="B428" s="2" t="str">
        <f>Inventory_Master!E428</f>
        <v/>
      </c>
      <c r="C428" s="2" t="str">
        <f>Inventory_Master!C428</f>
        <v/>
      </c>
      <c r="D428" s="2" t="str">
        <f>Inventory_Master!R428</f>
        <v/>
      </c>
      <c r="E428" s="2" t="str">
        <f>Inventory_Master!W428</f>
        <v/>
      </c>
      <c r="F428" s="2" t="str">
        <f>IF($A428="","",TRIM(_xludf.textjoin("; ",TRUE(),IF(Inventory_Master!R428&lt;&gt;"OK","Invalid category",""),IF(Inventory_Master!J428="","Missing price_inr",""),IF(Inventory_Master!O428="","Missing image",""),IF(Inventory_Master!S428&gt;0,"Has size variants",""),IF(Inventory_Master!C428="ERROR","Validation error",""),IF(Inventory_Master!C428="WARNING","Review warning",""))))</f>
        <v/>
      </c>
      <c r="G428" s="2" t="str">
        <f t="shared" si="15"/>
        <v>NO</v>
      </c>
      <c r="H428" s="2" t="str">
        <f>IF($A428="","",IF(Inventory_Master!R428&lt;&gt;"OK","Invalid Category",IF(Inventory_Master!J428="","Missing Price",IF(Inventory_Master!O428="","Missing Image",IF(Inventory_Master!S428&gt;0,"Size Price Review",IF(Inventory_Master!C428="ERROR","Validation Error",""))))))</f>
        <v/>
      </c>
      <c r="I428" s="2" t="str">
        <f t="shared" si="16"/>
        <v/>
      </c>
      <c r="J428" s="2" t="str">
        <f t="shared" si="17"/>
        <v/>
      </c>
    </row>
    <row r="429" spans="1:10" ht="12" customHeight="1" x14ac:dyDescent="0.3">
      <c r="A429" s="2" t="str">
        <f>Inventory_Master!D429</f>
        <v/>
      </c>
      <c r="B429" s="2" t="str">
        <f>Inventory_Master!E429</f>
        <v/>
      </c>
      <c r="C429" s="2" t="str">
        <f>Inventory_Master!C429</f>
        <v/>
      </c>
      <c r="D429" s="2" t="str">
        <f>Inventory_Master!R429</f>
        <v/>
      </c>
      <c r="E429" s="2" t="str">
        <f>Inventory_Master!W429</f>
        <v/>
      </c>
      <c r="F429" s="2" t="str">
        <f>IF($A429="","",TRIM(_xludf.textjoin("; ",TRUE(),IF(Inventory_Master!R429&lt;&gt;"OK","Invalid category",""),IF(Inventory_Master!J429="","Missing price_inr",""),IF(Inventory_Master!O429="","Missing image",""),IF(Inventory_Master!S429&gt;0,"Has size variants",""),IF(Inventory_Master!C429="ERROR","Validation error",""),IF(Inventory_Master!C429="WARNING","Review warning",""))))</f>
        <v/>
      </c>
      <c r="G429" s="2" t="str">
        <f t="shared" si="15"/>
        <v>NO</v>
      </c>
      <c r="H429" s="2" t="str">
        <f>IF($A429="","",IF(Inventory_Master!R429&lt;&gt;"OK","Invalid Category",IF(Inventory_Master!J429="","Missing Price",IF(Inventory_Master!O429="","Missing Image",IF(Inventory_Master!S429&gt;0,"Size Price Review",IF(Inventory_Master!C429="ERROR","Validation Error",""))))))</f>
        <v/>
      </c>
      <c r="I429" s="2" t="str">
        <f t="shared" si="16"/>
        <v/>
      </c>
      <c r="J429" s="2" t="str">
        <f t="shared" si="17"/>
        <v/>
      </c>
    </row>
    <row r="430" spans="1:10" ht="12" customHeight="1" x14ac:dyDescent="0.3">
      <c r="A430" s="2" t="str">
        <f>Inventory_Master!D430</f>
        <v/>
      </c>
      <c r="B430" s="2" t="str">
        <f>Inventory_Master!E430</f>
        <v/>
      </c>
      <c r="C430" s="2" t="str">
        <f>Inventory_Master!C430</f>
        <v/>
      </c>
      <c r="D430" s="2" t="str">
        <f>Inventory_Master!R430</f>
        <v/>
      </c>
      <c r="E430" s="2" t="str">
        <f>Inventory_Master!W430</f>
        <v/>
      </c>
      <c r="F430" s="2" t="str">
        <f>IF($A430="","",TRIM(_xludf.textjoin("; ",TRUE(),IF(Inventory_Master!R430&lt;&gt;"OK","Invalid category",""),IF(Inventory_Master!J430="","Missing price_inr",""),IF(Inventory_Master!O430="","Missing image",""),IF(Inventory_Master!S430&gt;0,"Has size variants",""),IF(Inventory_Master!C430="ERROR","Validation error",""),IF(Inventory_Master!C430="WARNING","Review warning",""))))</f>
        <v/>
      </c>
      <c r="G430" s="2" t="str">
        <f t="shared" si="15"/>
        <v>NO</v>
      </c>
      <c r="H430" s="2" t="str">
        <f>IF($A430="","",IF(Inventory_Master!R430&lt;&gt;"OK","Invalid Category",IF(Inventory_Master!J430="","Missing Price",IF(Inventory_Master!O430="","Missing Image",IF(Inventory_Master!S430&gt;0,"Size Price Review",IF(Inventory_Master!C430="ERROR","Validation Error",""))))))</f>
        <v/>
      </c>
      <c r="I430" s="2" t="str">
        <f t="shared" si="16"/>
        <v/>
      </c>
      <c r="J430" s="2" t="str">
        <f t="shared" si="17"/>
        <v/>
      </c>
    </row>
    <row r="431" spans="1:10" ht="12" customHeight="1" x14ac:dyDescent="0.3">
      <c r="A431" s="2" t="str">
        <f>Inventory_Master!D431</f>
        <v/>
      </c>
      <c r="B431" s="2" t="str">
        <f>Inventory_Master!E431</f>
        <v/>
      </c>
      <c r="C431" s="2" t="str">
        <f>Inventory_Master!C431</f>
        <v/>
      </c>
      <c r="D431" s="2" t="str">
        <f>Inventory_Master!R431</f>
        <v/>
      </c>
      <c r="E431" s="2" t="str">
        <f>Inventory_Master!W431</f>
        <v/>
      </c>
      <c r="F431" s="2" t="str">
        <f>IF($A431="","",TRIM(_xludf.textjoin("; ",TRUE(),IF(Inventory_Master!R431&lt;&gt;"OK","Invalid category",""),IF(Inventory_Master!J431="","Missing price_inr",""),IF(Inventory_Master!O431="","Missing image",""),IF(Inventory_Master!S431&gt;0,"Has size variants",""),IF(Inventory_Master!C431="ERROR","Validation error",""),IF(Inventory_Master!C431="WARNING","Review warning",""))))</f>
        <v/>
      </c>
      <c r="G431" s="2" t="str">
        <f t="shared" si="15"/>
        <v>NO</v>
      </c>
      <c r="H431" s="2" t="str">
        <f>IF($A431="","",IF(Inventory_Master!R431&lt;&gt;"OK","Invalid Category",IF(Inventory_Master!J431="","Missing Price",IF(Inventory_Master!O431="","Missing Image",IF(Inventory_Master!S431&gt;0,"Size Price Review",IF(Inventory_Master!C431="ERROR","Validation Error",""))))))</f>
        <v/>
      </c>
      <c r="I431" s="2" t="str">
        <f t="shared" si="16"/>
        <v/>
      </c>
      <c r="J431" s="2" t="str">
        <f t="shared" si="17"/>
        <v/>
      </c>
    </row>
    <row r="432" spans="1:10" ht="12" customHeight="1" x14ac:dyDescent="0.3">
      <c r="A432" s="2" t="str">
        <f>Inventory_Master!D432</f>
        <v/>
      </c>
      <c r="B432" s="2" t="str">
        <f>Inventory_Master!E432</f>
        <v/>
      </c>
      <c r="C432" s="2" t="str">
        <f>Inventory_Master!C432</f>
        <v/>
      </c>
      <c r="D432" s="2" t="str">
        <f>Inventory_Master!R432</f>
        <v/>
      </c>
      <c r="E432" s="2" t="str">
        <f>Inventory_Master!W432</f>
        <v/>
      </c>
      <c r="F432" s="2" t="str">
        <f>IF($A432="","",TRIM(_xludf.textjoin("; ",TRUE(),IF(Inventory_Master!R432&lt;&gt;"OK","Invalid category",""),IF(Inventory_Master!J432="","Missing price_inr",""),IF(Inventory_Master!O432="","Missing image",""),IF(Inventory_Master!S432&gt;0,"Has size variants",""),IF(Inventory_Master!C432="ERROR","Validation error",""),IF(Inventory_Master!C432="WARNING","Review warning",""))))</f>
        <v/>
      </c>
      <c r="G432" s="2" t="str">
        <f t="shared" si="15"/>
        <v>NO</v>
      </c>
      <c r="H432" s="2" t="str">
        <f>IF($A432="","",IF(Inventory_Master!R432&lt;&gt;"OK","Invalid Category",IF(Inventory_Master!J432="","Missing Price",IF(Inventory_Master!O432="","Missing Image",IF(Inventory_Master!S432&gt;0,"Size Price Review",IF(Inventory_Master!C432="ERROR","Validation Error",""))))))</f>
        <v/>
      </c>
      <c r="I432" s="2" t="str">
        <f t="shared" si="16"/>
        <v/>
      </c>
      <c r="J432" s="2" t="str">
        <f t="shared" si="17"/>
        <v/>
      </c>
    </row>
    <row r="433" spans="1:10" ht="12" customHeight="1" x14ac:dyDescent="0.3">
      <c r="A433" s="2" t="str">
        <f>Inventory_Master!D433</f>
        <v/>
      </c>
      <c r="B433" s="2" t="str">
        <f>Inventory_Master!E433</f>
        <v/>
      </c>
      <c r="C433" s="2" t="str">
        <f>Inventory_Master!C433</f>
        <v/>
      </c>
      <c r="D433" s="2" t="str">
        <f>Inventory_Master!R433</f>
        <v/>
      </c>
      <c r="E433" s="2" t="str">
        <f>Inventory_Master!W433</f>
        <v/>
      </c>
      <c r="F433" s="2" t="str">
        <f>IF($A433="","",TRIM(_xludf.textjoin("; ",TRUE(),IF(Inventory_Master!R433&lt;&gt;"OK","Invalid category",""),IF(Inventory_Master!J433="","Missing price_inr",""),IF(Inventory_Master!O433="","Missing image",""),IF(Inventory_Master!S433&gt;0,"Has size variants",""),IF(Inventory_Master!C433="ERROR","Validation error",""),IF(Inventory_Master!C433="WARNING","Review warning",""))))</f>
        <v/>
      </c>
      <c r="G433" s="2" t="str">
        <f t="shared" si="15"/>
        <v>NO</v>
      </c>
      <c r="H433" s="2" t="str">
        <f>IF($A433="","",IF(Inventory_Master!R433&lt;&gt;"OK","Invalid Category",IF(Inventory_Master!J433="","Missing Price",IF(Inventory_Master!O433="","Missing Image",IF(Inventory_Master!S433&gt;0,"Size Price Review",IF(Inventory_Master!C433="ERROR","Validation Error",""))))))</f>
        <v/>
      </c>
      <c r="I433" s="2" t="str">
        <f t="shared" si="16"/>
        <v/>
      </c>
      <c r="J433" s="2" t="str">
        <f t="shared" si="17"/>
        <v/>
      </c>
    </row>
    <row r="434" spans="1:10" ht="12" customHeight="1" x14ac:dyDescent="0.3">
      <c r="A434" s="2" t="str">
        <f>Inventory_Master!D434</f>
        <v/>
      </c>
      <c r="B434" s="2" t="str">
        <f>Inventory_Master!E434</f>
        <v/>
      </c>
      <c r="C434" s="2" t="str">
        <f>Inventory_Master!C434</f>
        <v/>
      </c>
      <c r="D434" s="2" t="str">
        <f>Inventory_Master!R434</f>
        <v/>
      </c>
      <c r="E434" s="2" t="str">
        <f>Inventory_Master!W434</f>
        <v/>
      </c>
      <c r="F434" s="2" t="str">
        <f>IF($A434="","",TRIM(_xludf.textjoin("; ",TRUE(),IF(Inventory_Master!R434&lt;&gt;"OK","Invalid category",""),IF(Inventory_Master!J434="","Missing price_inr",""),IF(Inventory_Master!O434="","Missing image",""),IF(Inventory_Master!S434&gt;0,"Has size variants",""),IF(Inventory_Master!C434="ERROR","Validation error",""),IF(Inventory_Master!C434="WARNING","Review warning",""))))</f>
        <v/>
      </c>
      <c r="G434" s="2" t="str">
        <f t="shared" ref="G434:G500" si="18">IF($F434="","NO","YES")</f>
        <v>NO</v>
      </c>
      <c r="H434" s="2" t="str">
        <f>IF($A434="","",IF(Inventory_Master!R434&lt;&gt;"OK","Invalid Category",IF(Inventory_Master!J434="","Missing Price",IF(Inventory_Master!O434="","Missing Image",IF(Inventory_Master!S434&gt;0,"Size Price Review",IF(Inventory_Master!C434="ERROR","Validation Error",""))))))</f>
        <v/>
      </c>
      <c r="I434" s="2" t="str">
        <f t="shared" ref="I434:I500" si="19">IF($G434="NO","",IF(OR($H434="Invalid Category",$H434="Missing Price",$H434="Validation Error"),"HIGH","MEDIUM"))</f>
        <v/>
      </c>
      <c r="J434" s="2" t="str">
        <f t="shared" ref="J434:J500" si="20">IF($G434="NO","",IF($H434="Size Price Review","REVIEW",IF($H434="Missing Image","REVIEW","REVIEW")))</f>
        <v/>
      </c>
    </row>
    <row r="435" spans="1:10" ht="12" customHeight="1" x14ac:dyDescent="0.3">
      <c r="A435" s="2" t="str">
        <f>Inventory_Master!D435</f>
        <v/>
      </c>
      <c r="B435" s="2" t="str">
        <f>Inventory_Master!E435</f>
        <v/>
      </c>
      <c r="C435" s="2" t="str">
        <f>Inventory_Master!C435</f>
        <v/>
      </c>
      <c r="D435" s="2" t="str">
        <f>Inventory_Master!R435</f>
        <v/>
      </c>
      <c r="E435" s="2" t="str">
        <f>Inventory_Master!W435</f>
        <v/>
      </c>
      <c r="F435" s="2" t="str">
        <f>IF($A435="","",TRIM(_xludf.textjoin("; ",TRUE(),IF(Inventory_Master!R435&lt;&gt;"OK","Invalid category",""),IF(Inventory_Master!J435="","Missing price_inr",""),IF(Inventory_Master!O435="","Missing image",""),IF(Inventory_Master!S435&gt;0,"Has size variants",""),IF(Inventory_Master!C435="ERROR","Validation error",""),IF(Inventory_Master!C435="WARNING","Review warning",""))))</f>
        <v/>
      </c>
      <c r="G435" s="2" t="str">
        <f t="shared" si="18"/>
        <v>NO</v>
      </c>
      <c r="H435" s="2" t="str">
        <f>IF($A435="","",IF(Inventory_Master!R435&lt;&gt;"OK","Invalid Category",IF(Inventory_Master!J435="","Missing Price",IF(Inventory_Master!O435="","Missing Image",IF(Inventory_Master!S435&gt;0,"Size Price Review",IF(Inventory_Master!C435="ERROR","Validation Error",""))))))</f>
        <v/>
      </c>
      <c r="I435" s="2" t="str">
        <f t="shared" si="19"/>
        <v/>
      </c>
      <c r="J435" s="2" t="str">
        <f t="shared" si="20"/>
        <v/>
      </c>
    </row>
    <row r="436" spans="1:10" ht="12" customHeight="1" x14ac:dyDescent="0.3">
      <c r="A436" s="2" t="str">
        <f>Inventory_Master!D436</f>
        <v/>
      </c>
      <c r="B436" s="2" t="str">
        <f>Inventory_Master!E436</f>
        <v/>
      </c>
      <c r="C436" s="2" t="str">
        <f>Inventory_Master!C436</f>
        <v/>
      </c>
      <c r="D436" s="2" t="str">
        <f>Inventory_Master!R436</f>
        <v/>
      </c>
      <c r="E436" s="2" t="str">
        <f>Inventory_Master!W436</f>
        <v/>
      </c>
      <c r="F436" s="2" t="str">
        <f>IF($A436="","",TRIM(_xludf.textjoin("; ",TRUE(),IF(Inventory_Master!R436&lt;&gt;"OK","Invalid category",""),IF(Inventory_Master!J436="","Missing price_inr",""),IF(Inventory_Master!O436="","Missing image",""),IF(Inventory_Master!S436&gt;0,"Has size variants",""),IF(Inventory_Master!C436="ERROR","Validation error",""),IF(Inventory_Master!C436="WARNING","Review warning",""))))</f>
        <v/>
      </c>
      <c r="G436" s="2" t="str">
        <f t="shared" si="18"/>
        <v>NO</v>
      </c>
      <c r="H436" s="2" t="str">
        <f>IF($A436="","",IF(Inventory_Master!R436&lt;&gt;"OK","Invalid Category",IF(Inventory_Master!J436="","Missing Price",IF(Inventory_Master!O436="","Missing Image",IF(Inventory_Master!S436&gt;0,"Size Price Review",IF(Inventory_Master!C436="ERROR","Validation Error",""))))))</f>
        <v/>
      </c>
      <c r="I436" s="2" t="str">
        <f t="shared" si="19"/>
        <v/>
      </c>
      <c r="J436" s="2" t="str">
        <f t="shared" si="20"/>
        <v/>
      </c>
    </row>
    <row r="437" spans="1:10" ht="12" customHeight="1" x14ac:dyDescent="0.3">
      <c r="A437" s="2" t="str">
        <f>Inventory_Master!D437</f>
        <v/>
      </c>
      <c r="B437" s="2" t="str">
        <f>Inventory_Master!E437</f>
        <v/>
      </c>
      <c r="C437" s="2" t="str">
        <f>Inventory_Master!C437</f>
        <v/>
      </c>
      <c r="D437" s="2" t="str">
        <f>Inventory_Master!R437</f>
        <v/>
      </c>
      <c r="E437" s="2" t="str">
        <f>Inventory_Master!W437</f>
        <v/>
      </c>
      <c r="F437" s="2" t="str">
        <f>IF($A437="","",TRIM(_xludf.textjoin("; ",TRUE(),IF(Inventory_Master!R437&lt;&gt;"OK","Invalid category",""),IF(Inventory_Master!J437="","Missing price_inr",""),IF(Inventory_Master!O437="","Missing image",""),IF(Inventory_Master!S437&gt;0,"Has size variants",""),IF(Inventory_Master!C437="ERROR","Validation error",""),IF(Inventory_Master!C437="WARNING","Review warning",""))))</f>
        <v/>
      </c>
      <c r="G437" s="2" t="str">
        <f t="shared" si="18"/>
        <v>NO</v>
      </c>
      <c r="H437" s="2" t="str">
        <f>IF($A437="","",IF(Inventory_Master!R437&lt;&gt;"OK","Invalid Category",IF(Inventory_Master!J437="","Missing Price",IF(Inventory_Master!O437="","Missing Image",IF(Inventory_Master!S437&gt;0,"Size Price Review",IF(Inventory_Master!C437="ERROR","Validation Error",""))))))</f>
        <v/>
      </c>
      <c r="I437" s="2" t="str">
        <f t="shared" si="19"/>
        <v/>
      </c>
      <c r="J437" s="2" t="str">
        <f t="shared" si="20"/>
        <v/>
      </c>
    </row>
    <row r="438" spans="1:10" ht="12" customHeight="1" x14ac:dyDescent="0.3">
      <c r="A438" s="2" t="str">
        <f>Inventory_Master!D438</f>
        <v/>
      </c>
      <c r="B438" s="2" t="str">
        <f>Inventory_Master!E438</f>
        <v/>
      </c>
      <c r="C438" s="2" t="str">
        <f>Inventory_Master!C438</f>
        <v/>
      </c>
      <c r="D438" s="2" t="str">
        <f>Inventory_Master!R438</f>
        <v/>
      </c>
      <c r="E438" s="2" t="str">
        <f>Inventory_Master!W438</f>
        <v/>
      </c>
      <c r="F438" s="2" t="str">
        <f>IF($A438="","",TRIM(_xludf.textjoin("; ",TRUE(),IF(Inventory_Master!R438&lt;&gt;"OK","Invalid category",""),IF(Inventory_Master!J438="","Missing price_inr",""),IF(Inventory_Master!O438="","Missing image",""),IF(Inventory_Master!S438&gt;0,"Has size variants",""),IF(Inventory_Master!C438="ERROR","Validation error",""),IF(Inventory_Master!C438="WARNING","Review warning",""))))</f>
        <v/>
      </c>
      <c r="G438" s="2" t="str">
        <f t="shared" si="18"/>
        <v>NO</v>
      </c>
      <c r="H438" s="2" t="str">
        <f>IF($A438="","",IF(Inventory_Master!R438&lt;&gt;"OK","Invalid Category",IF(Inventory_Master!J438="","Missing Price",IF(Inventory_Master!O438="","Missing Image",IF(Inventory_Master!S438&gt;0,"Size Price Review",IF(Inventory_Master!C438="ERROR","Validation Error",""))))))</f>
        <v/>
      </c>
      <c r="I438" s="2" t="str">
        <f t="shared" si="19"/>
        <v/>
      </c>
      <c r="J438" s="2" t="str">
        <f t="shared" si="20"/>
        <v/>
      </c>
    </row>
    <row r="439" spans="1:10" ht="12" customHeight="1" x14ac:dyDescent="0.3">
      <c r="A439" s="2" t="str">
        <f>Inventory_Master!D439</f>
        <v/>
      </c>
      <c r="B439" s="2" t="str">
        <f>Inventory_Master!E439</f>
        <v/>
      </c>
      <c r="C439" s="2" t="str">
        <f>Inventory_Master!C439</f>
        <v/>
      </c>
      <c r="D439" s="2" t="str">
        <f>Inventory_Master!R439</f>
        <v/>
      </c>
      <c r="E439" s="2" t="str">
        <f>Inventory_Master!W439</f>
        <v/>
      </c>
      <c r="F439" s="2" t="str">
        <f>IF($A439="","",TRIM(_xludf.textjoin("; ",TRUE(),IF(Inventory_Master!R439&lt;&gt;"OK","Invalid category",""),IF(Inventory_Master!J439="","Missing price_inr",""),IF(Inventory_Master!O439="","Missing image",""),IF(Inventory_Master!S439&gt;0,"Has size variants",""),IF(Inventory_Master!C439="ERROR","Validation error",""),IF(Inventory_Master!C439="WARNING","Review warning",""))))</f>
        <v/>
      </c>
      <c r="G439" s="2" t="str">
        <f t="shared" si="18"/>
        <v>NO</v>
      </c>
      <c r="H439" s="2" t="str">
        <f>IF($A439="","",IF(Inventory_Master!R439&lt;&gt;"OK","Invalid Category",IF(Inventory_Master!J439="","Missing Price",IF(Inventory_Master!O439="","Missing Image",IF(Inventory_Master!S439&gt;0,"Size Price Review",IF(Inventory_Master!C439="ERROR","Validation Error",""))))))</f>
        <v/>
      </c>
      <c r="I439" s="2" t="str">
        <f t="shared" si="19"/>
        <v/>
      </c>
      <c r="J439" s="2" t="str">
        <f t="shared" si="20"/>
        <v/>
      </c>
    </row>
    <row r="440" spans="1:10" ht="12" customHeight="1" x14ac:dyDescent="0.3">
      <c r="A440" s="2" t="str">
        <f>Inventory_Master!D440</f>
        <v/>
      </c>
      <c r="B440" s="2" t="str">
        <f>Inventory_Master!E440</f>
        <v/>
      </c>
      <c r="C440" s="2" t="str">
        <f>Inventory_Master!C440</f>
        <v/>
      </c>
      <c r="D440" s="2" t="str">
        <f>Inventory_Master!R440</f>
        <v/>
      </c>
      <c r="E440" s="2" t="str">
        <f>Inventory_Master!W440</f>
        <v/>
      </c>
      <c r="F440" s="2" t="str">
        <f>IF($A440="","",TRIM(_xludf.textjoin("; ",TRUE(),IF(Inventory_Master!R440&lt;&gt;"OK","Invalid category",""),IF(Inventory_Master!J440="","Missing price_inr",""),IF(Inventory_Master!O440="","Missing image",""),IF(Inventory_Master!S440&gt;0,"Has size variants",""),IF(Inventory_Master!C440="ERROR","Validation error",""),IF(Inventory_Master!C440="WARNING","Review warning",""))))</f>
        <v/>
      </c>
      <c r="G440" s="2" t="str">
        <f t="shared" si="18"/>
        <v>NO</v>
      </c>
      <c r="H440" s="2" t="str">
        <f>IF($A440="","",IF(Inventory_Master!R440&lt;&gt;"OK","Invalid Category",IF(Inventory_Master!J440="","Missing Price",IF(Inventory_Master!O440="","Missing Image",IF(Inventory_Master!S440&gt;0,"Size Price Review",IF(Inventory_Master!C440="ERROR","Validation Error",""))))))</f>
        <v/>
      </c>
      <c r="I440" s="2" t="str">
        <f t="shared" si="19"/>
        <v/>
      </c>
      <c r="J440" s="2" t="str">
        <f t="shared" si="20"/>
        <v/>
      </c>
    </row>
    <row r="441" spans="1:10" ht="12" customHeight="1" x14ac:dyDescent="0.3">
      <c r="A441" s="2" t="str">
        <f>Inventory_Master!D441</f>
        <v/>
      </c>
      <c r="B441" s="2" t="str">
        <f>Inventory_Master!E441</f>
        <v/>
      </c>
      <c r="C441" s="2" t="str">
        <f>Inventory_Master!C441</f>
        <v/>
      </c>
      <c r="D441" s="2" t="str">
        <f>Inventory_Master!R441</f>
        <v/>
      </c>
      <c r="E441" s="2" t="str">
        <f>Inventory_Master!W441</f>
        <v/>
      </c>
      <c r="F441" s="2" t="str">
        <f>IF($A441="","",TRIM(_xludf.textjoin("; ",TRUE(),IF(Inventory_Master!R441&lt;&gt;"OK","Invalid category",""),IF(Inventory_Master!J441="","Missing price_inr",""),IF(Inventory_Master!O441="","Missing image",""),IF(Inventory_Master!S441&gt;0,"Has size variants",""),IF(Inventory_Master!C441="ERROR","Validation error",""),IF(Inventory_Master!C441="WARNING","Review warning",""))))</f>
        <v/>
      </c>
      <c r="G441" s="2" t="str">
        <f t="shared" si="18"/>
        <v>NO</v>
      </c>
      <c r="H441" s="2" t="str">
        <f>IF($A441="","",IF(Inventory_Master!R441&lt;&gt;"OK","Invalid Category",IF(Inventory_Master!J441="","Missing Price",IF(Inventory_Master!O441="","Missing Image",IF(Inventory_Master!S441&gt;0,"Size Price Review",IF(Inventory_Master!C441="ERROR","Validation Error",""))))))</f>
        <v/>
      </c>
      <c r="I441" s="2" t="str">
        <f t="shared" si="19"/>
        <v/>
      </c>
      <c r="J441" s="2" t="str">
        <f t="shared" si="20"/>
        <v/>
      </c>
    </row>
    <row r="442" spans="1:10" ht="12" customHeight="1" x14ac:dyDescent="0.3">
      <c r="A442" s="2" t="str">
        <f>Inventory_Master!D442</f>
        <v/>
      </c>
      <c r="B442" s="2" t="str">
        <f>Inventory_Master!E442</f>
        <v/>
      </c>
      <c r="C442" s="2" t="str">
        <f>Inventory_Master!C442</f>
        <v/>
      </c>
      <c r="D442" s="2" t="str">
        <f>Inventory_Master!R442</f>
        <v/>
      </c>
      <c r="E442" s="2" t="str">
        <f>Inventory_Master!W442</f>
        <v/>
      </c>
      <c r="F442" s="2" t="str">
        <f>IF($A442="","",TRIM(_xludf.textjoin("; ",TRUE(),IF(Inventory_Master!R442&lt;&gt;"OK","Invalid category",""),IF(Inventory_Master!J442="","Missing price_inr",""),IF(Inventory_Master!O442="","Missing image",""),IF(Inventory_Master!S442&gt;0,"Has size variants",""),IF(Inventory_Master!C442="ERROR","Validation error",""),IF(Inventory_Master!C442="WARNING","Review warning",""))))</f>
        <v/>
      </c>
      <c r="G442" s="2" t="str">
        <f t="shared" si="18"/>
        <v>NO</v>
      </c>
      <c r="H442" s="2" t="str">
        <f>IF($A442="","",IF(Inventory_Master!R442&lt;&gt;"OK","Invalid Category",IF(Inventory_Master!J442="","Missing Price",IF(Inventory_Master!O442="","Missing Image",IF(Inventory_Master!S442&gt;0,"Size Price Review",IF(Inventory_Master!C442="ERROR","Validation Error",""))))))</f>
        <v/>
      </c>
      <c r="I442" s="2" t="str">
        <f t="shared" si="19"/>
        <v/>
      </c>
      <c r="J442" s="2" t="str">
        <f t="shared" si="20"/>
        <v/>
      </c>
    </row>
    <row r="443" spans="1:10" ht="12" customHeight="1" x14ac:dyDescent="0.3">
      <c r="A443" s="2" t="str">
        <f>Inventory_Master!D443</f>
        <v/>
      </c>
      <c r="B443" s="2" t="str">
        <f>Inventory_Master!E443</f>
        <v/>
      </c>
      <c r="C443" s="2" t="str">
        <f>Inventory_Master!C443</f>
        <v/>
      </c>
      <c r="D443" s="2" t="str">
        <f>Inventory_Master!R443</f>
        <v/>
      </c>
      <c r="E443" s="2" t="str">
        <f>Inventory_Master!W443</f>
        <v/>
      </c>
      <c r="F443" s="2" t="str">
        <f>IF($A443="","",TRIM(_xludf.textjoin("; ",TRUE(),IF(Inventory_Master!R443&lt;&gt;"OK","Invalid category",""),IF(Inventory_Master!J443="","Missing price_inr",""),IF(Inventory_Master!O443="","Missing image",""),IF(Inventory_Master!S443&gt;0,"Has size variants",""),IF(Inventory_Master!C443="ERROR","Validation error",""),IF(Inventory_Master!C443="WARNING","Review warning",""))))</f>
        <v/>
      </c>
      <c r="G443" s="2" t="str">
        <f t="shared" si="18"/>
        <v>NO</v>
      </c>
      <c r="H443" s="2" t="str">
        <f>IF($A443="","",IF(Inventory_Master!R443&lt;&gt;"OK","Invalid Category",IF(Inventory_Master!J443="","Missing Price",IF(Inventory_Master!O443="","Missing Image",IF(Inventory_Master!S443&gt;0,"Size Price Review",IF(Inventory_Master!C443="ERROR","Validation Error",""))))))</f>
        <v/>
      </c>
      <c r="I443" s="2" t="str">
        <f t="shared" si="19"/>
        <v/>
      </c>
      <c r="J443" s="2" t="str">
        <f t="shared" si="20"/>
        <v/>
      </c>
    </row>
    <row r="444" spans="1:10" ht="12" customHeight="1" x14ac:dyDescent="0.3">
      <c r="A444" s="2" t="str">
        <f>Inventory_Master!D444</f>
        <v/>
      </c>
      <c r="B444" s="2" t="str">
        <f>Inventory_Master!E444</f>
        <v/>
      </c>
      <c r="C444" s="2" t="str">
        <f>Inventory_Master!C444</f>
        <v/>
      </c>
      <c r="D444" s="2" t="str">
        <f>Inventory_Master!R444</f>
        <v/>
      </c>
      <c r="E444" s="2" t="str">
        <f>Inventory_Master!W444</f>
        <v/>
      </c>
      <c r="F444" s="2" t="str">
        <f>IF($A444="","",TRIM(_xludf.textjoin("; ",TRUE(),IF(Inventory_Master!R444&lt;&gt;"OK","Invalid category",""),IF(Inventory_Master!J444="","Missing price_inr",""),IF(Inventory_Master!O444="","Missing image",""),IF(Inventory_Master!S444&gt;0,"Has size variants",""),IF(Inventory_Master!C444="ERROR","Validation error",""),IF(Inventory_Master!C444="WARNING","Review warning",""))))</f>
        <v/>
      </c>
      <c r="G444" s="2" t="str">
        <f t="shared" si="18"/>
        <v>NO</v>
      </c>
      <c r="H444" s="2" t="str">
        <f>IF($A444="","",IF(Inventory_Master!R444&lt;&gt;"OK","Invalid Category",IF(Inventory_Master!J444="","Missing Price",IF(Inventory_Master!O444="","Missing Image",IF(Inventory_Master!S444&gt;0,"Size Price Review",IF(Inventory_Master!C444="ERROR","Validation Error",""))))))</f>
        <v/>
      </c>
      <c r="I444" s="2" t="str">
        <f t="shared" si="19"/>
        <v/>
      </c>
      <c r="J444" s="2" t="str">
        <f t="shared" si="20"/>
        <v/>
      </c>
    </row>
    <row r="445" spans="1:10" ht="12" customHeight="1" x14ac:dyDescent="0.3">
      <c r="A445" s="2" t="str">
        <f>Inventory_Master!D445</f>
        <v/>
      </c>
      <c r="B445" s="2" t="str">
        <f>Inventory_Master!E445</f>
        <v/>
      </c>
      <c r="C445" s="2" t="str">
        <f>Inventory_Master!C445</f>
        <v/>
      </c>
      <c r="D445" s="2" t="str">
        <f>Inventory_Master!R445</f>
        <v/>
      </c>
      <c r="E445" s="2" t="str">
        <f>Inventory_Master!W445</f>
        <v/>
      </c>
      <c r="F445" s="2" t="str">
        <f>IF($A445="","",TRIM(_xludf.textjoin("; ",TRUE(),IF(Inventory_Master!R445&lt;&gt;"OK","Invalid category",""),IF(Inventory_Master!J445="","Missing price_inr",""),IF(Inventory_Master!O445="","Missing image",""),IF(Inventory_Master!S445&gt;0,"Has size variants",""),IF(Inventory_Master!C445="ERROR","Validation error",""),IF(Inventory_Master!C445="WARNING","Review warning",""))))</f>
        <v/>
      </c>
      <c r="G445" s="2" t="str">
        <f t="shared" si="18"/>
        <v>NO</v>
      </c>
      <c r="H445" s="2" t="str">
        <f>IF($A445="","",IF(Inventory_Master!R445&lt;&gt;"OK","Invalid Category",IF(Inventory_Master!J445="","Missing Price",IF(Inventory_Master!O445="","Missing Image",IF(Inventory_Master!S445&gt;0,"Size Price Review",IF(Inventory_Master!C445="ERROR","Validation Error",""))))))</f>
        <v/>
      </c>
      <c r="I445" s="2" t="str">
        <f t="shared" si="19"/>
        <v/>
      </c>
      <c r="J445" s="2" t="str">
        <f t="shared" si="20"/>
        <v/>
      </c>
    </row>
    <row r="446" spans="1:10" ht="12" customHeight="1" x14ac:dyDescent="0.3">
      <c r="A446" s="2" t="str">
        <f>Inventory_Master!D446</f>
        <v/>
      </c>
      <c r="B446" s="2" t="str">
        <f>Inventory_Master!E446</f>
        <v/>
      </c>
      <c r="C446" s="2" t="str">
        <f>Inventory_Master!C446</f>
        <v/>
      </c>
      <c r="D446" s="2" t="str">
        <f>Inventory_Master!R446</f>
        <v/>
      </c>
      <c r="E446" s="2" t="str">
        <f>Inventory_Master!W446</f>
        <v/>
      </c>
      <c r="F446" s="2" t="str">
        <f>IF($A446="","",TRIM(_xludf.textjoin("; ",TRUE(),IF(Inventory_Master!R446&lt;&gt;"OK","Invalid category",""),IF(Inventory_Master!J446="","Missing price_inr",""),IF(Inventory_Master!O446="","Missing image",""),IF(Inventory_Master!S446&gt;0,"Has size variants",""),IF(Inventory_Master!C446="ERROR","Validation error",""),IF(Inventory_Master!C446="WARNING","Review warning",""))))</f>
        <v/>
      </c>
      <c r="G446" s="2" t="str">
        <f t="shared" si="18"/>
        <v>NO</v>
      </c>
      <c r="H446" s="2" t="str">
        <f>IF($A446="","",IF(Inventory_Master!R446&lt;&gt;"OK","Invalid Category",IF(Inventory_Master!J446="","Missing Price",IF(Inventory_Master!O446="","Missing Image",IF(Inventory_Master!S446&gt;0,"Size Price Review",IF(Inventory_Master!C446="ERROR","Validation Error",""))))))</f>
        <v/>
      </c>
      <c r="I446" s="2" t="str">
        <f t="shared" si="19"/>
        <v/>
      </c>
      <c r="J446" s="2" t="str">
        <f t="shared" si="20"/>
        <v/>
      </c>
    </row>
    <row r="447" spans="1:10" ht="12" customHeight="1" x14ac:dyDescent="0.3">
      <c r="A447" s="2" t="str">
        <f>Inventory_Master!D447</f>
        <v/>
      </c>
      <c r="B447" s="2" t="str">
        <f>Inventory_Master!E447</f>
        <v/>
      </c>
      <c r="C447" s="2" t="str">
        <f>Inventory_Master!C447</f>
        <v/>
      </c>
      <c r="D447" s="2" t="str">
        <f>Inventory_Master!R447</f>
        <v/>
      </c>
      <c r="E447" s="2" t="str">
        <f>Inventory_Master!W447</f>
        <v/>
      </c>
      <c r="F447" s="2" t="str">
        <f>IF($A447="","",TRIM(_xludf.textjoin("; ",TRUE(),IF(Inventory_Master!R447&lt;&gt;"OK","Invalid category",""),IF(Inventory_Master!J447="","Missing price_inr",""),IF(Inventory_Master!O447="","Missing image",""),IF(Inventory_Master!S447&gt;0,"Has size variants",""),IF(Inventory_Master!C447="ERROR","Validation error",""),IF(Inventory_Master!C447="WARNING","Review warning",""))))</f>
        <v/>
      </c>
      <c r="G447" s="2" t="str">
        <f t="shared" si="18"/>
        <v>NO</v>
      </c>
      <c r="H447" s="2" t="str">
        <f>IF($A447="","",IF(Inventory_Master!R447&lt;&gt;"OK","Invalid Category",IF(Inventory_Master!J447="","Missing Price",IF(Inventory_Master!O447="","Missing Image",IF(Inventory_Master!S447&gt;0,"Size Price Review",IF(Inventory_Master!C447="ERROR","Validation Error",""))))))</f>
        <v/>
      </c>
      <c r="I447" s="2" t="str">
        <f t="shared" si="19"/>
        <v/>
      </c>
      <c r="J447" s="2" t="str">
        <f t="shared" si="20"/>
        <v/>
      </c>
    </row>
    <row r="448" spans="1:10" ht="12" customHeight="1" x14ac:dyDescent="0.3">
      <c r="A448" s="2" t="str">
        <f>Inventory_Master!D448</f>
        <v/>
      </c>
      <c r="B448" s="2" t="str">
        <f>Inventory_Master!E448</f>
        <v/>
      </c>
      <c r="C448" s="2" t="str">
        <f>Inventory_Master!C448</f>
        <v/>
      </c>
      <c r="D448" s="2" t="str">
        <f>Inventory_Master!R448</f>
        <v/>
      </c>
      <c r="E448" s="2" t="str">
        <f>Inventory_Master!W448</f>
        <v/>
      </c>
      <c r="F448" s="2" t="str">
        <f>IF($A448="","",TRIM(_xludf.textjoin("; ",TRUE(),IF(Inventory_Master!R448&lt;&gt;"OK","Invalid category",""),IF(Inventory_Master!J448="","Missing price_inr",""),IF(Inventory_Master!O448="","Missing image",""),IF(Inventory_Master!S448&gt;0,"Has size variants",""),IF(Inventory_Master!C448="ERROR","Validation error",""),IF(Inventory_Master!C448="WARNING","Review warning",""))))</f>
        <v/>
      </c>
      <c r="G448" s="2" t="str">
        <f t="shared" si="18"/>
        <v>NO</v>
      </c>
      <c r="H448" s="2" t="str">
        <f>IF($A448="","",IF(Inventory_Master!R448&lt;&gt;"OK","Invalid Category",IF(Inventory_Master!J448="","Missing Price",IF(Inventory_Master!O448="","Missing Image",IF(Inventory_Master!S448&gt;0,"Size Price Review",IF(Inventory_Master!C448="ERROR","Validation Error",""))))))</f>
        <v/>
      </c>
      <c r="I448" s="2" t="str">
        <f t="shared" si="19"/>
        <v/>
      </c>
      <c r="J448" s="2" t="str">
        <f t="shared" si="20"/>
        <v/>
      </c>
    </row>
    <row r="449" spans="1:10" ht="12" customHeight="1" x14ac:dyDescent="0.3">
      <c r="A449" s="2" t="str">
        <f>Inventory_Master!D449</f>
        <v/>
      </c>
      <c r="B449" s="2" t="str">
        <f>Inventory_Master!E449</f>
        <v/>
      </c>
      <c r="C449" s="2" t="str">
        <f>Inventory_Master!C449</f>
        <v/>
      </c>
      <c r="D449" s="2" t="str">
        <f>Inventory_Master!R449</f>
        <v/>
      </c>
      <c r="E449" s="2" t="str">
        <f>Inventory_Master!W449</f>
        <v/>
      </c>
      <c r="F449" s="2" t="str">
        <f>IF($A449="","",TRIM(_xludf.textjoin("; ",TRUE(),IF(Inventory_Master!R449&lt;&gt;"OK","Invalid category",""),IF(Inventory_Master!J449="","Missing price_inr",""),IF(Inventory_Master!O449="","Missing image",""),IF(Inventory_Master!S449&gt;0,"Has size variants",""),IF(Inventory_Master!C449="ERROR","Validation error",""),IF(Inventory_Master!C449="WARNING","Review warning",""))))</f>
        <v/>
      </c>
      <c r="G449" s="2" t="str">
        <f t="shared" si="18"/>
        <v>NO</v>
      </c>
      <c r="H449" s="2" t="str">
        <f>IF($A449="","",IF(Inventory_Master!R449&lt;&gt;"OK","Invalid Category",IF(Inventory_Master!J449="","Missing Price",IF(Inventory_Master!O449="","Missing Image",IF(Inventory_Master!S449&gt;0,"Size Price Review",IF(Inventory_Master!C449="ERROR","Validation Error",""))))))</f>
        <v/>
      </c>
      <c r="I449" s="2" t="str">
        <f t="shared" si="19"/>
        <v/>
      </c>
      <c r="J449" s="2" t="str">
        <f t="shared" si="20"/>
        <v/>
      </c>
    </row>
    <row r="450" spans="1:10" ht="12" customHeight="1" x14ac:dyDescent="0.3">
      <c r="A450" s="2" t="str">
        <f>Inventory_Master!D450</f>
        <v/>
      </c>
      <c r="B450" s="2" t="str">
        <f>Inventory_Master!E450</f>
        <v/>
      </c>
      <c r="C450" s="2" t="str">
        <f>Inventory_Master!C450</f>
        <v/>
      </c>
      <c r="D450" s="2" t="str">
        <f>Inventory_Master!R450</f>
        <v/>
      </c>
      <c r="E450" s="2" t="str">
        <f>Inventory_Master!W450</f>
        <v/>
      </c>
      <c r="F450" s="2" t="str">
        <f>IF($A450="","",TRIM(_xludf.textjoin("; ",TRUE(),IF(Inventory_Master!R450&lt;&gt;"OK","Invalid category",""),IF(Inventory_Master!J450="","Missing price_inr",""),IF(Inventory_Master!O450="","Missing image",""),IF(Inventory_Master!S450&gt;0,"Has size variants",""),IF(Inventory_Master!C450="ERROR","Validation error",""),IF(Inventory_Master!C450="WARNING","Review warning",""))))</f>
        <v/>
      </c>
      <c r="G450" s="2" t="str">
        <f t="shared" si="18"/>
        <v>NO</v>
      </c>
      <c r="H450" s="2" t="str">
        <f>IF($A450="","",IF(Inventory_Master!R450&lt;&gt;"OK","Invalid Category",IF(Inventory_Master!J450="","Missing Price",IF(Inventory_Master!O450="","Missing Image",IF(Inventory_Master!S450&gt;0,"Size Price Review",IF(Inventory_Master!C450="ERROR","Validation Error",""))))))</f>
        <v/>
      </c>
      <c r="I450" s="2" t="str">
        <f t="shared" si="19"/>
        <v/>
      </c>
      <c r="J450" s="2" t="str">
        <f t="shared" si="20"/>
        <v/>
      </c>
    </row>
    <row r="451" spans="1:10" ht="12" customHeight="1" x14ac:dyDescent="0.3">
      <c r="A451" s="2" t="str">
        <f>Inventory_Master!D451</f>
        <v/>
      </c>
      <c r="B451" s="2" t="str">
        <f>Inventory_Master!E451</f>
        <v/>
      </c>
      <c r="C451" s="2" t="str">
        <f>Inventory_Master!C451</f>
        <v/>
      </c>
      <c r="D451" s="2" t="str">
        <f>Inventory_Master!R451</f>
        <v/>
      </c>
      <c r="E451" s="2" t="str">
        <f>Inventory_Master!W451</f>
        <v/>
      </c>
      <c r="F451" s="2" t="str">
        <f>IF($A451="","",TRIM(_xludf.textjoin("; ",TRUE(),IF(Inventory_Master!R451&lt;&gt;"OK","Invalid category",""),IF(Inventory_Master!J451="","Missing price_inr",""),IF(Inventory_Master!O451="","Missing image",""),IF(Inventory_Master!S451&gt;0,"Has size variants",""),IF(Inventory_Master!C451="ERROR","Validation error",""),IF(Inventory_Master!C451="WARNING","Review warning",""))))</f>
        <v/>
      </c>
      <c r="G451" s="2" t="str">
        <f t="shared" si="18"/>
        <v>NO</v>
      </c>
      <c r="H451" s="2" t="str">
        <f>IF($A451="","",IF(Inventory_Master!R451&lt;&gt;"OK","Invalid Category",IF(Inventory_Master!J451="","Missing Price",IF(Inventory_Master!O451="","Missing Image",IF(Inventory_Master!S451&gt;0,"Size Price Review",IF(Inventory_Master!C451="ERROR","Validation Error",""))))))</f>
        <v/>
      </c>
      <c r="I451" s="2" t="str">
        <f t="shared" si="19"/>
        <v/>
      </c>
      <c r="J451" s="2" t="str">
        <f t="shared" si="20"/>
        <v/>
      </c>
    </row>
    <row r="452" spans="1:10" ht="12" customHeight="1" x14ac:dyDescent="0.3">
      <c r="A452" s="2" t="str">
        <f>Inventory_Master!D452</f>
        <v/>
      </c>
      <c r="B452" s="2" t="str">
        <f>Inventory_Master!E452</f>
        <v/>
      </c>
      <c r="C452" s="2" t="str">
        <f>Inventory_Master!C452</f>
        <v/>
      </c>
      <c r="D452" s="2" t="str">
        <f>Inventory_Master!R452</f>
        <v/>
      </c>
      <c r="E452" s="2" t="str">
        <f>Inventory_Master!W452</f>
        <v/>
      </c>
      <c r="F452" s="2" t="str">
        <f>IF($A452="","",TRIM(_xludf.textjoin("; ",TRUE(),IF(Inventory_Master!R452&lt;&gt;"OK","Invalid category",""),IF(Inventory_Master!J452="","Missing price_inr",""),IF(Inventory_Master!O452="","Missing image",""),IF(Inventory_Master!S452&gt;0,"Has size variants",""),IF(Inventory_Master!C452="ERROR","Validation error",""),IF(Inventory_Master!C452="WARNING","Review warning",""))))</f>
        <v/>
      </c>
      <c r="G452" s="2" t="str">
        <f t="shared" si="18"/>
        <v>NO</v>
      </c>
      <c r="H452" s="2" t="str">
        <f>IF($A452="","",IF(Inventory_Master!R452&lt;&gt;"OK","Invalid Category",IF(Inventory_Master!J452="","Missing Price",IF(Inventory_Master!O452="","Missing Image",IF(Inventory_Master!S452&gt;0,"Size Price Review",IF(Inventory_Master!C452="ERROR","Validation Error",""))))))</f>
        <v/>
      </c>
      <c r="I452" s="2" t="str">
        <f t="shared" si="19"/>
        <v/>
      </c>
      <c r="J452" s="2" t="str">
        <f t="shared" si="20"/>
        <v/>
      </c>
    </row>
    <row r="453" spans="1:10" ht="12" customHeight="1" x14ac:dyDescent="0.3">
      <c r="A453" s="2" t="str">
        <f>Inventory_Master!D453</f>
        <v/>
      </c>
      <c r="B453" s="2" t="str">
        <f>Inventory_Master!E453</f>
        <v/>
      </c>
      <c r="C453" s="2" t="str">
        <f>Inventory_Master!C453</f>
        <v/>
      </c>
      <c r="D453" s="2" t="str">
        <f>Inventory_Master!R453</f>
        <v/>
      </c>
      <c r="E453" s="2" t="str">
        <f>Inventory_Master!W453</f>
        <v/>
      </c>
      <c r="F453" s="2" t="str">
        <f>IF($A453="","",TRIM(_xludf.textjoin("; ",TRUE(),IF(Inventory_Master!R453&lt;&gt;"OK","Invalid category",""),IF(Inventory_Master!J453="","Missing price_inr",""),IF(Inventory_Master!O453="","Missing image",""),IF(Inventory_Master!S453&gt;0,"Has size variants",""),IF(Inventory_Master!C453="ERROR","Validation error",""),IF(Inventory_Master!C453="WARNING","Review warning",""))))</f>
        <v/>
      </c>
      <c r="G453" s="2" t="str">
        <f t="shared" si="18"/>
        <v>NO</v>
      </c>
      <c r="H453" s="2" t="str">
        <f>IF($A453="","",IF(Inventory_Master!R453&lt;&gt;"OK","Invalid Category",IF(Inventory_Master!J453="","Missing Price",IF(Inventory_Master!O453="","Missing Image",IF(Inventory_Master!S453&gt;0,"Size Price Review",IF(Inventory_Master!C453="ERROR","Validation Error",""))))))</f>
        <v/>
      </c>
      <c r="I453" s="2" t="str">
        <f t="shared" si="19"/>
        <v/>
      </c>
      <c r="J453" s="2" t="str">
        <f t="shared" si="20"/>
        <v/>
      </c>
    </row>
    <row r="454" spans="1:10" ht="12" customHeight="1" x14ac:dyDescent="0.3">
      <c r="A454" s="2" t="str">
        <f>Inventory_Master!D454</f>
        <v/>
      </c>
      <c r="B454" s="2" t="str">
        <f>Inventory_Master!E454</f>
        <v/>
      </c>
      <c r="C454" s="2" t="str">
        <f>Inventory_Master!C454</f>
        <v/>
      </c>
      <c r="D454" s="2" t="str">
        <f>Inventory_Master!R454</f>
        <v/>
      </c>
      <c r="E454" s="2" t="str">
        <f>Inventory_Master!W454</f>
        <v/>
      </c>
      <c r="F454" s="2" t="str">
        <f>IF($A454="","",TRIM(_xludf.textjoin("; ",TRUE(),IF(Inventory_Master!R454&lt;&gt;"OK","Invalid category",""),IF(Inventory_Master!J454="","Missing price_inr",""),IF(Inventory_Master!O454="","Missing image",""),IF(Inventory_Master!S454&gt;0,"Has size variants",""),IF(Inventory_Master!C454="ERROR","Validation error",""),IF(Inventory_Master!C454="WARNING","Review warning",""))))</f>
        <v/>
      </c>
      <c r="G454" s="2" t="str">
        <f t="shared" si="18"/>
        <v>NO</v>
      </c>
      <c r="H454" s="2" t="str">
        <f>IF($A454="","",IF(Inventory_Master!R454&lt;&gt;"OK","Invalid Category",IF(Inventory_Master!J454="","Missing Price",IF(Inventory_Master!O454="","Missing Image",IF(Inventory_Master!S454&gt;0,"Size Price Review",IF(Inventory_Master!C454="ERROR","Validation Error",""))))))</f>
        <v/>
      </c>
      <c r="I454" s="2" t="str">
        <f t="shared" si="19"/>
        <v/>
      </c>
      <c r="J454" s="2" t="str">
        <f t="shared" si="20"/>
        <v/>
      </c>
    </row>
    <row r="455" spans="1:10" ht="12" customHeight="1" x14ac:dyDescent="0.3">
      <c r="A455" s="2" t="str">
        <f>Inventory_Master!D455</f>
        <v/>
      </c>
      <c r="B455" s="2" t="str">
        <f>Inventory_Master!E455</f>
        <v/>
      </c>
      <c r="C455" s="2" t="str">
        <f>Inventory_Master!C455</f>
        <v/>
      </c>
      <c r="D455" s="2" t="str">
        <f>Inventory_Master!R455</f>
        <v/>
      </c>
      <c r="E455" s="2" t="str">
        <f>Inventory_Master!W455</f>
        <v/>
      </c>
      <c r="F455" s="2" t="str">
        <f>IF($A455="","",TRIM(_xludf.textjoin("; ",TRUE(),IF(Inventory_Master!R455&lt;&gt;"OK","Invalid category",""),IF(Inventory_Master!J455="","Missing price_inr",""),IF(Inventory_Master!O455="","Missing image",""),IF(Inventory_Master!S455&gt;0,"Has size variants",""),IF(Inventory_Master!C455="ERROR","Validation error",""),IF(Inventory_Master!C455="WARNING","Review warning",""))))</f>
        <v/>
      </c>
      <c r="G455" s="2" t="str">
        <f t="shared" si="18"/>
        <v>NO</v>
      </c>
      <c r="H455" s="2" t="str">
        <f>IF($A455="","",IF(Inventory_Master!R455&lt;&gt;"OK","Invalid Category",IF(Inventory_Master!J455="","Missing Price",IF(Inventory_Master!O455="","Missing Image",IF(Inventory_Master!S455&gt;0,"Size Price Review",IF(Inventory_Master!C455="ERROR","Validation Error",""))))))</f>
        <v/>
      </c>
      <c r="I455" s="2" t="str">
        <f t="shared" si="19"/>
        <v/>
      </c>
      <c r="J455" s="2" t="str">
        <f t="shared" si="20"/>
        <v/>
      </c>
    </row>
    <row r="456" spans="1:10" ht="12" customHeight="1" x14ac:dyDescent="0.3">
      <c r="A456" s="2" t="str">
        <f>Inventory_Master!D456</f>
        <v/>
      </c>
      <c r="B456" s="2" t="str">
        <f>Inventory_Master!E456</f>
        <v/>
      </c>
      <c r="C456" s="2" t="str">
        <f>Inventory_Master!C456</f>
        <v/>
      </c>
      <c r="D456" s="2" t="str">
        <f>Inventory_Master!R456</f>
        <v/>
      </c>
      <c r="E456" s="2" t="str">
        <f>Inventory_Master!W456</f>
        <v/>
      </c>
      <c r="F456" s="2" t="str">
        <f>IF($A456="","",TRIM(_xludf.textjoin("; ",TRUE(),IF(Inventory_Master!R456&lt;&gt;"OK","Invalid category",""),IF(Inventory_Master!J456="","Missing price_inr",""),IF(Inventory_Master!O456="","Missing image",""),IF(Inventory_Master!S456&gt;0,"Has size variants",""),IF(Inventory_Master!C456="ERROR","Validation error",""),IF(Inventory_Master!C456="WARNING","Review warning",""))))</f>
        <v/>
      </c>
      <c r="G456" s="2" t="str">
        <f t="shared" si="18"/>
        <v>NO</v>
      </c>
      <c r="H456" s="2" t="str">
        <f>IF($A456="","",IF(Inventory_Master!R456&lt;&gt;"OK","Invalid Category",IF(Inventory_Master!J456="","Missing Price",IF(Inventory_Master!O456="","Missing Image",IF(Inventory_Master!S456&gt;0,"Size Price Review",IF(Inventory_Master!C456="ERROR","Validation Error",""))))))</f>
        <v/>
      </c>
      <c r="I456" s="2" t="str">
        <f t="shared" si="19"/>
        <v/>
      </c>
      <c r="J456" s="2" t="str">
        <f t="shared" si="20"/>
        <v/>
      </c>
    </row>
    <row r="457" spans="1:10" ht="12" customHeight="1" x14ac:dyDescent="0.3">
      <c r="A457" s="2" t="str">
        <f>Inventory_Master!D457</f>
        <v/>
      </c>
      <c r="B457" s="2" t="str">
        <f>Inventory_Master!E457</f>
        <v/>
      </c>
      <c r="C457" s="2" t="str">
        <f>Inventory_Master!C457</f>
        <v/>
      </c>
      <c r="D457" s="2" t="str">
        <f>Inventory_Master!R457</f>
        <v/>
      </c>
      <c r="E457" s="2" t="str">
        <f>Inventory_Master!W457</f>
        <v/>
      </c>
      <c r="F457" s="2" t="str">
        <f>IF($A457="","",TRIM(_xludf.textjoin("; ",TRUE(),IF(Inventory_Master!R457&lt;&gt;"OK","Invalid category",""),IF(Inventory_Master!J457="","Missing price_inr",""),IF(Inventory_Master!O457="","Missing image",""),IF(Inventory_Master!S457&gt;0,"Has size variants",""),IF(Inventory_Master!C457="ERROR","Validation error",""),IF(Inventory_Master!C457="WARNING","Review warning",""))))</f>
        <v/>
      </c>
      <c r="G457" s="2" t="str">
        <f t="shared" si="18"/>
        <v>NO</v>
      </c>
      <c r="H457" s="2" t="str">
        <f>IF($A457="","",IF(Inventory_Master!R457&lt;&gt;"OK","Invalid Category",IF(Inventory_Master!J457="","Missing Price",IF(Inventory_Master!O457="","Missing Image",IF(Inventory_Master!S457&gt;0,"Size Price Review",IF(Inventory_Master!C457="ERROR","Validation Error",""))))))</f>
        <v/>
      </c>
      <c r="I457" s="2" t="str">
        <f t="shared" si="19"/>
        <v/>
      </c>
      <c r="J457" s="2" t="str">
        <f t="shared" si="20"/>
        <v/>
      </c>
    </row>
    <row r="458" spans="1:10" ht="12" customHeight="1" x14ac:dyDescent="0.3">
      <c r="A458" s="2" t="str">
        <f>Inventory_Master!D458</f>
        <v/>
      </c>
      <c r="B458" s="2" t="str">
        <f>Inventory_Master!E458</f>
        <v/>
      </c>
      <c r="C458" s="2" t="str">
        <f>Inventory_Master!C458</f>
        <v/>
      </c>
      <c r="D458" s="2" t="str">
        <f>Inventory_Master!R458</f>
        <v/>
      </c>
      <c r="E458" s="2" t="str">
        <f>Inventory_Master!W458</f>
        <v/>
      </c>
      <c r="F458" s="2" t="str">
        <f>IF($A458="","",TRIM(_xludf.textjoin("; ",TRUE(),IF(Inventory_Master!R458&lt;&gt;"OK","Invalid category",""),IF(Inventory_Master!J458="","Missing price_inr",""),IF(Inventory_Master!O458="","Missing image",""),IF(Inventory_Master!S458&gt;0,"Has size variants",""),IF(Inventory_Master!C458="ERROR","Validation error",""),IF(Inventory_Master!C458="WARNING","Review warning",""))))</f>
        <v/>
      </c>
      <c r="G458" s="2" t="str">
        <f t="shared" si="18"/>
        <v>NO</v>
      </c>
      <c r="H458" s="2" t="str">
        <f>IF($A458="","",IF(Inventory_Master!R458&lt;&gt;"OK","Invalid Category",IF(Inventory_Master!J458="","Missing Price",IF(Inventory_Master!O458="","Missing Image",IF(Inventory_Master!S458&gt;0,"Size Price Review",IF(Inventory_Master!C458="ERROR","Validation Error",""))))))</f>
        <v/>
      </c>
      <c r="I458" s="2" t="str">
        <f t="shared" si="19"/>
        <v/>
      </c>
      <c r="J458" s="2" t="str">
        <f t="shared" si="20"/>
        <v/>
      </c>
    </row>
    <row r="459" spans="1:10" ht="12" customHeight="1" x14ac:dyDescent="0.3">
      <c r="A459" s="2" t="str">
        <f>Inventory_Master!D459</f>
        <v/>
      </c>
      <c r="B459" s="2" t="str">
        <f>Inventory_Master!E459</f>
        <v/>
      </c>
      <c r="C459" s="2" t="str">
        <f>Inventory_Master!C459</f>
        <v/>
      </c>
      <c r="D459" s="2" t="str">
        <f>Inventory_Master!R459</f>
        <v/>
      </c>
      <c r="E459" s="2" t="str">
        <f>Inventory_Master!W459</f>
        <v/>
      </c>
      <c r="F459" s="2" t="str">
        <f>IF($A459="","",TRIM(_xludf.textjoin("; ",TRUE(),IF(Inventory_Master!R459&lt;&gt;"OK","Invalid category",""),IF(Inventory_Master!J459="","Missing price_inr",""),IF(Inventory_Master!O459="","Missing image",""),IF(Inventory_Master!S459&gt;0,"Has size variants",""),IF(Inventory_Master!C459="ERROR","Validation error",""),IF(Inventory_Master!C459="WARNING","Review warning",""))))</f>
        <v/>
      </c>
      <c r="G459" s="2" t="str">
        <f t="shared" si="18"/>
        <v>NO</v>
      </c>
      <c r="H459" s="2" t="str">
        <f>IF($A459="","",IF(Inventory_Master!R459&lt;&gt;"OK","Invalid Category",IF(Inventory_Master!J459="","Missing Price",IF(Inventory_Master!O459="","Missing Image",IF(Inventory_Master!S459&gt;0,"Size Price Review",IF(Inventory_Master!C459="ERROR","Validation Error",""))))))</f>
        <v/>
      </c>
      <c r="I459" s="2" t="str">
        <f t="shared" si="19"/>
        <v/>
      </c>
      <c r="J459" s="2" t="str">
        <f t="shared" si="20"/>
        <v/>
      </c>
    </row>
    <row r="460" spans="1:10" ht="12" customHeight="1" x14ac:dyDescent="0.3">
      <c r="A460" s="2" t="str">
        <f>Inventory_Master!D460</f>
        <v/>
      </c>
      <c r="B460" s="2" t="str">
        <f>Inventory_Master!E460</f>
        <v/>
      </c>
      <c r="C460" s="2" t="str">
        <f>Inventory_Master!C460</f>
        <v/>
      </c>
      <c r="D460" s="2" t="str">
        <f>Inventory_Master!R460</f>
        <v/>
      </c>
      <c r="E460" s="2" t="str">
        <f>Inventory_Master!W460</f>
        <v/>
      </c>
      <c r="F460" s="2" t="str">
        <f>IF($A460="","",TRIM(_xludf.textjoin("; ",TRUE(),IF(Inventory_Master!R460&lt;&gt;"OK","Invalid category",""),IF(Inventory_Master!J460="","Missing price_inr",""),IF(Inventory_Master!O460="","Missing image",""),IF(Inventory_Master!S460&gt;0,"Has size variants",""),IF(Inventory_Master!C460="ERROR","Validation error",""),IF(Inventory_Master!C460="WARNING","Review warning",""))))</f>
        <v/>
      </c>
      <c r="G460" s="2" t="str">
        <f t="shared" si="18"/>
        <v>NO</v>
      </c>
      <c r="H460" s="2" t="str">
        <f>IF($A460="","",IF(Inventory_Master!R460&lt;&gt;"OK","Invalid Category",IF(Inventory_Master!J460="","Missing Price",IF(Inventory_Master!O460="","Missing Image",IF(Inventory_Master!S460&gt;0,"Size Price Review",IF(Inventory_Master!C460="ERROR","Validation Error",""))))))</f>
        <v/>
      </c>
      <c r="I460" s="2" t="str">
        <f t="shared" si="19"/>
        <v/>
      </c>
      <c r="J460" s="2" t="str">
        <f t="shared" si="20"/>
        <v/>
      </c>
    </row>
    <row r="461" spans="1:10" ht="12" customHeight="1" x14ac:dyDescent="0.3">
      <c r="A461" s="2" t="str">
        <f>Inventory_Master!D461</f>
        <v/>
      </c>
      <c r="B461" s="2" t="str">
        <f>Inventory_Master!E461</f>
        <v/>
      </c>
      <c r="C461" s="2" t="str">
        <f>Inventory_Master!C461</f>
        <v/>
      </c>
      <c r="D461" s="2" t="str">
        <f>Inventory_Master!R461</f>
        <v/>
      </c>
      <c r="E461" s="2" t="str">
        <f>Inventory_Master!W461</f>
        <v/>
      </c>
      <c r="F461" s="2" t="str">
        <f>IF($A461="","",TRIM(_xludf.textjoin("; ",TRUE(),IF(Inventory_Master!R461&lt;&gt;"OK","Invalid category",""),IF(Inventory_Master!J461="","Missing price_inr",""),IF(Inventory_Master!O461="","Missing image",""),IF(Inventory_Master!S461&gt;0,"Has size variants",""),IF(Inventory_Master!C461="ERROR","Validation error",""),IF(Inventory_Master!C461="WARNING","Review warning",""))))</f>
        <v/>
      </c>
      <c r="G461" s="2" t="str">
        <f t="shared" si="18"/>
        <v>NO</v>
      </c>
      <c r="H461" s="2" t="str">
        <f>IF($A461="","",IF(Inventory_Master!R461&lt;&gt;"OK","Invalid Category",IF(Inventory_Master!J461="","Missing Price",IF(Inventory_Master!O461="","Missing Image",IF(Inventory_Master!S461&gt;0,"Size Price Review",IF(Inventory_Master!C461="ERROR","Validation Error",""))))))</f>
        <v/>
      </c>
      <c r="I461" s="2" t="str">
        <f t="shared" si="19"/>
        <v/>
      </c>
      <c r="J461" s="2" t="str">
        <f t="shared" si="20"/>
        <v/>
      </c>
    </row>
    <row r="462" spans="1:10" ht="12" customHeight="1" x14ac:dyDescent="0.3">
      <c r="A462" s="2" t="str">
        <f>Inventory_Master!D462</f>
        <v/>
      </c>
      <c r="B462" s="2" t="str">
        <f>Inventory_Master!E462</f>
        <v/>
      </c>
      <c r="C462" s="2" t="str">
        <f>Inventory_Master!C462</f>
        <v/>
      </c>
      <c r="D462" s="2" t="str">
        <f>Inventory_Master!R462</f>
        <v/>
      </c>
      <c r="E462" s="2" t="str">
        <f>Inventory_Master!W462</f>
        <v/>
      </c>
      <c r="F462" s="2" t="str">
        <f>IF($A462="","",TRIM(_xludf.textjoin("; ",TRUE(),IF(Inventory_Master!R462&lt;&gt;"OK","Invalid category",""),IF(Inventory_Master!J462="","Missing price_inr",""),IF(Inventory_Master!O462="","Missing image",""),IF(Inventory_Master!S462&gt;0,"Has size variants",""),IF(Inventory_Master!C462="ERROR","Validation error",""),IF(Inventory_Master!C462="WARNING","Review warning",""))))</f>
        <v/>
      </c>
      <c r="G462" s="2" t="str">
        <f t="shared" si="18"/>
        <v>NO</v>
      </c>
      <c r="H462" s="2" t="str">
        <f>IF($A462="","",IF(Inventory_Master!R462&lt;&gt;"OK","Invalid Category",IF(Inventory_Master!J462="","Missing Price",IF(Inventory_Master!O462="","Missing Image",IF(Inventory_Master!S462&gt;0,"Size Price Review",IF(Inventory_Master!C462="ERROR","Validation Error",""))))))</f>
        <v/>
      </c>
      <c r="I462" s="2" t="str">
        <f t="shared" si="19"/>
        <v/>
      </c>
      <c r="J462" s="2" t="str">
        <f t="shared" si="20"/>
        <v/>
      </c>
    </row>
    <row r="463" spans="1:10" ht="12" customHeight="1" x14ac:dyDescent="0.3">
      <c r="A463" s="2" t="str">
        <f>Inventory_Master!D463</f>
        <v/>
      </c>
      <c r="B463" s="2" t="str">
        <f>Inventory_Master!E463</f>
        <v/>
      </c>
      <c r="C463" s="2" t="str">
        <f>Inventory_Master!C463</f>
        <v/>
      </c>
      <c r="D463" s="2" t="str">
        <f>Inventory_Master!R463</f>
        <v/>
      </c>
      <c r="E463" s="2" t="str">
        <f>Inventory_Master!W463</f>
        <v/>
      </c>
      <c r="F463" s="2" t="str">
        <f>IF($A463="","",TRIM(_xludf.textjoin("; ",TRUE(),IF(Inventory_Master!R463&lt;&gt;"OK","Invalid category",""),IF(Inventory_Master!J463="","Missing price_inr",""),IF(Inventory_Master!O463="","Missing image",""),IF(Inventory_Master!S463&gt;0,"Has size variants",""),IF(Inventory_Master!C463="ERROR","Validation error",""),IF(Inventory_Master!C463="WARNING","Review warning",""))))</f>
        <v/>
      </c>
      <c r="G463" s="2" t="str">
        <f t="shared" si="18"/>
        <v>NO</v>
      </c>
      <c r="H463" s="2" t="str">
        <f>IF($A463="","",IF(Inventory_Master!R463&lt;&gt;"OK","Invalid Category",IF(Inventory_Master!J463="","Missing Price",IF(Inventory_Master!O463="","Missing Image",IF(Inventory_Master!S463&gt;0,"Size Price Review",IF(Inventory_Master!C463="ERROR","Validation Error",""))))))</f>
        <v/>
      </c>
      <c r="I463" s="2" t="str">
        <f t="shared" si="19"/>
        <v/>
      </c>
      <c r="J463" s="2" t="str">
        <f t="shared" si="20"/>
        <v/>
      </c>
    </row>
    <row r="464" spans="1:10" ht="12" customHeight="1" x14ac:dyDescent="0.3">
      <c r="A464" s="2" t="str">
        <f>Inventory_Master!D464</f>
        <v/>
      </c>
      <c r="B464" s="2" t="str">
        <f>Inventory_Master!E464</f>
        <v/>
      </c>
      <c r="C464" s="2" t="str">
        <f>Inventory_Master!C464</f>
        <v/>
      </c>
      <c r="D464" s="2" t="str">
        <f>Inventory_Master!R464</f>
        <v/>
      </c>
      <c r="E464" s="2" t="str">
        <f>Inventory_Master!W464</f>
        <v/>
      </c>
      <c r="F464" s="2" t="str">
        <f>IF($A464="","",TRIM(_xludf.textjoin("; ",TRUE(),IF(Inventory_Master!R464&lt;&gt;"OK","Invalid category",""),IF(Inventory_Master!J464="","Missing price_inr",""),IF(Inventory_Master!O464="","Missing image",""),IF(Inventory_Master!S464&gt;0,"Has size variants",""),IF(Inventory_Master!C464="ERROR","Validation error",""),IF(Inventory_Master!C464="WARNING","Review warning",""))))</f>
        <v/>
      </c>
      <c r="G464" s="2" t="str">
        <f t="shared" si="18"/>
        <v>NO</v>
      </c>
      <c r="H464" s="2" t="str">
        <f>IF($A464="","",IF(Inventory_Master!R464&lt;&gt;"OK","Invalid Category",IF(Inventory_Master!J464="","Missing Price",IF(Inventory_Master!O464="","Missing Image",IF(Inventory_Master!S464&gt;0,"Size Price Review",IF(Inventory_Master!C464="ERROR","Validation Error",""))))))</f>
        <v/>
      </c>
      <c r="I464" s="2" t="str">
        <f t="shared" si="19"/>
        <v/>
      </c>
      <c r="J464" s="2" t="str">
        <f t="shared" si="20"/>
        <v/>
      </c>
    </row>
    <row r="465" spans="1:10" ht="12" customHeight="1" x14ac:dyDescent="0.3">
      <c r="A465" s="2" t="str">
        <f>Inventory_Master!D465</f>
        <v/>
      </c>
      <c r="B465" s="2" t="str">
        <f>Inventory_Master!E465</f>
        <v/>
      </c>
      <c r="C465" s="2" t="str">
        <f>Inventory_Master!C465</f>
        <v/>
      </c>
      <c r="D465" s="2" t="str">
        <f>Inventory_Master!R465</f>
        <v/>
      </c>
      <c r="E465" s="2" t="str">
        <f>Inventory_Master!W465</f>
        <v/>
      </c>
      <c r="F465" s="2" t="str">
        <f>IF($A465="","",TRIM(_xludf.textjoin("; ",TRUE(),IF(Inventory_Master!R465&lt;&gt;"OK","Invalid category",""),IF(Inventory_Master!J465="","Missing price_inr",""),IF(Inventory_Master!O465="","Missing image",""),IF(Inventory_Master!S465&gt;0,"Has size variants",""),IF(Inventory_Master!C465="ERROR","Validation error",""),IF(Inventory_Master!C465="WARNING","Review warning",""))))</f>
        <v/>
      </c>
      <c r="G465" s="2" t="str">
        <f t="shared" si="18"/>
        <v>NO</v>
      </c>
      <c r="H465" s="2" t="str">
        <f>IF($A465="","",IF(Inventory_Master!R465&lt;&gt;"OK","Invalid Category",IF(Inventory_Master!J465="","Missing Price",IF(Inventory_Master!O465="","Missing Image",IF(Inventory_Master!S465&gt;0,"Size Price Review",IF(Inventory_Master!C465="ERROR","Validation Error",""))))))</f>
        <v/>
      </c>
      <c r="I465" s="2" t="str">
        <f t="shared" si="19"/>
        <v/>
      </c>
      <c r="J465" s="2" t="str">
        <f t="shared" si="20"/>
        <v/>
      </c>
    </row>
    <row r="466" spans="1:10" ht="12" customHeight="1" x14ac:dyDescent="0.3">
      <c r="A466" s="2" t="str">
        <f>Inventory_Master!D466</f>
        <v/>
      </c>
      <c r="B466" s="2" t="str">
        <f>Inventory_Master!E466</f>
        <v/>
      </c>
      <c r="C466" s="2" t="str">
        <f>Inventory_Master!C466</f>
        <v/>
      </c>
      <c r="D466" s="2" t="str">
        <f>Inventory_Master!R466</f>
        <v/>
      </c>
      <c r="E466" s="2" t="str">
        <f>Inventory_Master!W466</f>
        <v/>
      </c>
      <c r="F466" s="2" t="str">
        <f>IF($A466="","",TRIM(_xludf.textjoin("; ",TRUE(),IF(Inventory_Master!R466&lt;&gt;"OK","Invalid category",""),IF(Inventory_Master!J466="","Missing price_inr",""),IF(Inventory_Master!O466="","Missing image",""),IF(Inventory_Master!S466&gt;0,"Has size variants",""),IF(Inventory_Master!C466="ERROR","Validation error",""),IF(Inventory_Master!C466="WARNING","Review warning",""))))</f>
        <v/>
      </c>
      <c r="G466" s="2" t="str">
        <f t="shared" si="18"/>
        <v>NO</v>
      </c>
      <c r="H466" s="2" t="str">
        <f>IF($A466="","",IF(Inventory_Master!R466&lt;&gt;"OK","Invalid Category",IF(Inventory_Master!J466="","Missing Price",IF(Inventory_Master!O466="","Missing Image",IF(Inventory_Master!S466&gt;0,"Size Price Review",IF(Inventory_Master!C466="ERROR","Validation Error",""))))))</f>
        <v/>
      </c>
      <c r="I466" s="2" t="str">
        <f t="shared" si="19"/>
        <v/>
      </c>
      <c r="J466" s="2" t="str">
        <f t="shared" si="20"/>
        <v/>
      </c>
    </row>
    <row r="467" spans="1:10" ht="12" customHeight="1" x14ac:dyDescent="0.3">
      <c r="A467" s="2" t="str">
        <f>Inventory_Master!D467</f>
        <v/>
      </c>
      <c r="B467" s="2" t="str">
        <f>Inventory_Master!E467</f>
        <v/>
      </c>
      <c r="C467" s="2" t="str">
        <f>Inventory_Master!C467</f>
        <v/>
      </c>
      <c r="D467" s="2" t="str">
        <f>Inventory_Master!R467</f>
        <v/>
      </c>
      <c r="E467" s="2" t="str">
        <f>Inventory_Master!W467</f>
        <v/>
      </c>
      <c r="F467" s="2" t="str">
        <f>IF($A467="","",TRIM(_xludf.textjoin("; ",TRUE(),IF(Inventory_Master!R467&lt;&gt;"OK","Invalid category",""),IF(Inventory_Master!J467="","Missing price_inr",""),IF(Inventory_Master!O467="","Missing image",""),IF(Inventory_Master!S467&gt;0,"Has size variants",""),IF(Inventory_Master!C467="ERROR","Validation error",""),IF(Inventory_Master!C467="WARNING","Review warning",""))))</f>
        <v/>
      </c>
      <c r="G467" s="2" t="str">
        <f t="shared" si="18"/>
        <v>NO</v>
      </c>
      <c r="H467" s="2" t="str">
        <f>IF($A467="","",IF(Inventory_Master!R467&lt;&gt;"OK","Invalid Category",IF(Inventory_Master!J467="","Missing Price",IF(Inventory_Master!O467="","Missing Image",IF(Inventory_Master!S467&gt;0,"Size Price Review",IF(Inventory_Master!C467="ERROR","Validation Error",""))))))</f>
        <v/>
      </c>
      <c r="I467" s="2" t="str">
        <f t="shared" si="19"/>
        <v/>
      </c>
      <c r="J467" s="2" t="str">
        <f t="shared" si="20"/>
        <v/>
      </c>
    </row>
    <row r="468" spans="1:10" ht="12" customHeight="1" x14ac:dyDescent="0.3">
      <c r="A468" s="2" t="str">
        <f>Inventory_Master!D468</f>
        <v/>
      </c>
      <c r="B468" s="2" t="str">
        <f>Inventory_Master!E468</f>
        <v/>
      </c>
      <c r="C468" s="2" t="str">
        <f>Inventory_Master!C468</f>
        <v/>
      </c>
      <c r="D468" s="2" t="str">
        <f>Inventory_Master!R468</f>
        <v/>
      </c>
      <c r="E468" s="2" t="str">
        <f>Inventory_Master!W468</f>
        <v/>
      </c>
      <c r="F468" s="2" t="str">
        <f>IF($A468="","",TRIM(_xludf.textjoin("; ",TRUE(),IF(Inventory_Master!R468&lt;&gt;"OK","Invalid category",""),IF(Inventory_Master!J468="","Missing price_inr",""),IF(Inventory_Master!O468="","Missing image",""),IF(Inventory_Master!S468&gt;0,"Has size variants",""),IF(Inventory_Master!C468="ERROR","Validation error",""),IF(Inventory_Master!C468="WARNING","Review warning",""))))</f>
        <v/>
      </c>
      <c r="G468" s="2" t="str">
        <f t="shared" si="18"/>
        <v>NO</v>
      </c>
      <c r="H468" s="2" t="str">
        <f>IF($A468="","",IF(Inventory_Master!R468&lt;&gt;"OK","Invalid Category",IF(Inventory_Master!J468="","Missing Price",IF(Inventory_Master!O468="","Missing Image",IF(Inventory_Master!S468&gt;0,"Size Price Review",IF(Inventory_Master!C468="ERROR","Validation Error",""))))))</f>
        <v/>
      </c>
      <c r="I468" s="2" t="str">
        <f t="shared" si="19"/>
        <v/>
      </c>
      <c r="J468" s="2" t="str">
        <f t="shared" si="20"/>
        <v/>
      </c>
    </row>
    <row r="469" spans="1:10" ht="12" customHeight="1" x14ac:dyDescent="0.3">
      <c r="A469" s="2" t="str">
        <f>Inventory_Master!D469</f>
        <v/>
      </c>
      <c r="B469" s="2" t="str">
        <f>Inventory_Master!E469</f>
        <v/>
      </c>
      <c r="C469" s="2" t="str">
        <f>Inventory_Master!C469</f>
        <v/>
      </c>
      <c r="D469" s="2" t="str">
        <f>Inventory_Master!R469</f>
        <v/>
      </c>
      <c r="E469" s="2" t="str">
        <f>Inventory_Master!W469</f>
        <v/>
      </c>
      <c r="F469" s="2" t="str">
        <f>IF($A469="","",TRIM(_xludf.textjoin("; ",TRUE(),IF(Inventory_Master!R469&lt;&gt;"OK","Invalid category",""),IF(Inventory_Master!J469="","Missing price_inr",""),IF(Inventory_Master!O469="","Missing image",""),IF(Inventory_Master!S469&gt;0,"Has size variants",""),IF(Inventory_Master!C469="ERROR","Validation error",""),IF(Inventory_Master!C469="WARNING","Review warning",""))))</f>
        <v/>
      </c>
      <c r="G469" s="2" t="str">
        <f t="shared" si="18"/>
        <v>NO</v>
      </c>
      <c r="H469" s="2" t="str">
        <f>IF($A469="","",IF(Inventory_Master!R469&lt;&gt;"OK","Invalid Category",IF(Inventory_Master!J469="","Missing Price",IF(Inventory_Master!O469="","Missing Image",IF(Inventory_Master!S469&gt;0,"Size Price Review",IF(Inventory_Master!C469="ERROR","Validation Error",""))))))</f>
        <v/>
      </c>
      <c r="I469" s="2" t="str">
        <f t="shared" si="19"/>
        <v/>
      </c>
      <c r="J469" s="2" t="str">
        <f t="shared" si="20"/>
        <v/>
      </c>
    </row>
    <row r="470" spans="1:10" ht="12" customHeight="1" x14ac:dyDescent="0.3">
      <c r="A470" s="2" t="str">
        <f>Inventory_Master!D470</f>
        <v/>
      </c>
      <c r="B470" s="2" t="str">
        <f>Inventory_Master!E470</f>
        <v/>
      </c>
      <c r="C470" s="2" t="str">
        <f>Inventory_Master!C470</f>
        <v/>
      </c>
      <c r="D470" s="2" t="str">
        <f>Inventory_Master!R470</f>
        <v/>
      </c>
      <c r="E470" s="2" t="str">
        <f>Inventory_Master!W470</f>
        <v/>
      </c>
      <c r="F470" s="2" t="str">
        <f>IF($A470="","",TRIM(_xludf.textjoin("; ",TRUE(),IF(Inventory_Master!R470&lt;&gt;"OK","Invalid category",""),IF(Inventory_Master!J470="","Missing price_inr",""),IF(Inventory_Master!O470="","Missing image",""),IF(Inventory_Master!S470&gt;0,"Has size variants",""),IF(Inventory_Master!C470="ERROR","Validation error",""),IF(Inventory_Master!C470="WARNING","Review warning",""))))</f>
        <v/>
      </c>
      <c r="G470" s="2" t="str">
        <f t="shared" si="18"/>
        <v>NO</v>
      </c>
      <c r="H470" s="2" t="str">
        <f>IF($A470="","",IF(Inventory_Master!R470&lt;&gt;"OK","Invalid Category",IF(Inventory_Master!J470="","Missing Price",IF(Inventory_Master!O470="","Missing Image",IF(Inventory_Master!S470&gt;0,"Size Price Review",IF(Inventory_Master!C470="ERROR","Validation Error",""))))))</f>
        <v/>
      </c>
      <c r="I470" s="2" t="str">
        <f t="shared" si="19"/>
        <v/>
      </c>
      <c r="J470" s="2" t="str">
        <f t="shared" si="20"/>
        <v/>
      </c>
    </row>
    <row r="471" spans="1:10" ht="12" customHeight="1" x14ac:dyDescent="0.3">
      <c r="A471" s="2" t="str">
        <f>Inventory_Master!D471</f>
        <v/>
      </c>
      <c r="B471" s="2" t="str">
        <f>Inventory_Master!E471</f>
        <v/>
      </c>
      <c r="C471" s="2" t="str">
        <f>Inventory_Master!C471</f>
        <v/>
      </c>
      <c r="D471" s="2" t="str">
        <f>Inventory_Master!R471</f>
        <v/>
      </c>
      <c r="E471" s="2" t="str">
        <f>Inventory_Master!W471</f>
        <v/>
      </c>
      <c r="F471" s="2" t="str">
        <f>IF($A471="","",TRIM(_xludf.textjoin("; ",TRUE(),IF(Inventory_Master!R471&lt;&gt;"OK","Invalid category",""),IF(Inventory_Master!J471="","Missing price_inr",""),IF(Inventory_Master!O471="","Missing image",""),IF(Inventory_Master!S471&gt;0,"Has size variants",""),IF(Inventory_Master!C471="ERROR","Validation error",""),IF(Inventory_Master!C471="WARNING","Review warning",""))))</f>
        <v/>
      </c>
      <c r="G471" s="2" t="str">
        <f t="shared" si="18"/>
        <v>NO</v>
      </c>
      <c r="H471" s="2" t="str">
        <f>IF($A471="","",IF(Inventory_Master!R471&lt;&gt;"OK","Invalid Category",IF(Inventory_Master!J471="","Missing Price",IF(Inventory_Master!O471="","Missing Image",IF(Inventory_Master!S471&gt;0,"Size Price Review",IF(Inventory_Master!C471="ERROR","Validation Error",""))))))</f>
        <v/>
      </c>
      <c r="I471" s="2" t="str">
        <f t="shared" si="19"/>
        <v/>
      </c>
      <c r="J471" s="2" t="str">
        <f t="shared" si="20"/>
        <v/>
      </c>
    </row>
    <row r="472" spans="1:10" ht="12" customHeight="1" x14ac:dyDescent="0.3">
      <c r="A472" s="2" t="str">
        <f>Inventory_Master!D472</f>
        <v/>
      </c>
      <c r="B472" s="2" t="str">
        <f>Inventory_Master!E472</f>
        <v/>
      </c>
      <c r="C472" s="2" t="str">
        <f>Inventory_Master!C472</f>
        <v/>
      </c>
      <c r="D472" s="2" t="str">
        <f>Inventory_Master!R472</f>
        <v/>
      </c>
      <c r="E472" s="2" t="str">
        <f>Inventory_Master!W472</f>
        <v/>
      </c>
      <c r="F472" s="2" t="str">
        <f>IF($A472="","",TRIM(_xludf.textjoin("; ",TRUE(),IF(Inventory_Master!R472&lt;&gt;"OK","Invalid category",""),IF(Inventory_Master!J472="","Missing price_inr",""),IF(Inventory_Master!O472="","Missing image",""),IF(Inventory_Master!S472&gt;0,"Has size variants",""),IF(Inventory_Master!C472="ERROR","Validation error",""),IF(Inventory_Master!C472="WARNING","Review warning",""))))</f>
        <v/>
      </c>
      <c r="G472" s="2" t="str">
        <f t="shared" si="18"/>
        <v>NO</v>
      </c>
      <c r="H472" s="2" t="str">
        <f>IF($A472="","",IF(Inventory_Master!R472&lt;&gt;"OK","Invalid Category",IF(Inventory_Master!J472="","Missing Price",IF(Inventory_Master!O472="","Missing Image",IF(Inventory_Master!S472&gt;0,"Size Price Review",IF(Inventory_Master!C472="ERROR","Validation Error",""))))))</f>
        <v/>
      </c>
      <c r="I472" s="2" t="str">
        <f t="shared" si="19"/>
        <v/>
      </c>
      <c r="J472" s="2" t="str">
        <f t="shared" si="20"/>
        <v/>
      </c>
    </row>
    <row r="473" spans="1:10" ht="12" customHeight="1" x14ac:dyDescent="0.3">
      <c r="A473" s="2" t="str">
        <f>Inventory_Master!D473</f>
        <v/>
      </c>
      <c r="B473" s="2" t="str">
        <f>Inventory_Master!E473</f>
        <v/>
      </c>
      <c r="C473" s="2" t="str">
        <f>Inventory_Master!C473</f>
        <v/>
      </c>
      <c r="D473" s="2" t="str">
        <f>Inventory_Master!R473</f>
        <v/>
      </c>
      <c r="E473" s="2" t="str">
        <f>Inventory_Master!W473</f>
        <v/>
      </c>
      <c r="F473" s="2" t="str">
        <f>IF($A473="","",TRIM(_xludf.textjoin("; ",TRUE(),IF(Inventory_Master!R473&lt;&gt;"OK","Invalid category",""),IF(Inventory_Master!J473="","Missing price_inr",""),IF(Inventory_Master!O473="","Missing image",""),IF(Inventory_Master!S473&gt;0,"Has size variants",""),IF(Inventory_Master!C473="ERROR","Validation error",""),IF(Inventory_Master!C473="WARNING","Review warning",""))))</f>
        <v/>
      </c>
      <c r="G473" s="2" t="str">
        <f t="shared" si="18"/>
        <v>NO</v>
      </c>
      <c r="H473" s="2" t="str">
        <f>IF($A473="","",IF(Inventory_Master!R473&lt;&gt;"OK","Invalid Category",IF(Inventory_Master!J473="","Missing Price",IF(Inventory_Master!O473="","Missing Image",IF(Inventory_Master!S473&gt;0,"Size Price Review",IF(Inventory_Master!C473="ERROR","Validation Error",""))))))</f>
        <v/>
      </c>
      <c r="I473" s="2" t="str">
        <f t="shared" si="19"/>
        <v/>
      </c>
      <c r="J473" s="2" t="str">
        <f t="shared" si="20"/>
        <v/>
      </c>
    </row>
    <row r="474" spans="1:10" ht="12" customHeight="1" x14ac:dyDescent="0.3">
      <c r="A474" s="2" t="str">
        <f>Inventory_Master!D474</f>
        <v/>
      </c>
      <c r="B474" s="2" t="str">
        <f>Inventory_Master!E474</f>
        <v/>
      </c>
      <c r="C474" s="2" t="str">
        <f>Inventory_Master!C474</f>
        <v/>
      </c>
      <c r="D474" s="2" t="str">
        <f>Inventory_Master!R474</f>
        <v/>
      </c>
      <c r="E474" s="2" t="str">
        <f>Inventory_Master!W474</f>
        <v/>
      </c>
      <c r="F474" s="2" t="str">
        <f>IF($A474="","",TRIM(_xludf.textjoin("; ",TRUE(),IF(Inventory_Master!R474&lt;&gt;"OK","Invalid category",""),IF(Inventory_Master!J474="","Missing price_inr",""),IF(Inventory_Master!O474="","Missing image",""),IF(Inventory_Master!S474&gt;0,"Has size variants",""),IF(Inventory_Master!C474="ERROR","Validation error",""),IF(Inventory_Master!C474="WARNING","Review warning",""))))</f>
        <v/>
      </c>
      <c r="G474" s="2" t="str">
        <f t="shared" si="18"/>
        <v>NO</v>
      </c>
      <c r="H474" s="2" t="str">
        <f>IF($A474="","",IF(Inventory_Master!R474&lt;&gt;"OK","Invalid Category",IF(Inventory_Master!J474="","Missing Price",IF(Inventory_Master!O474="","Missing Image",IF(Inventory_Master!S474&gt;0,"Size Price Review",IF(Inventory_Master!C474="ERROR","Validation Error",""))))))</f>
        <v/>
      </c>
      <c r="I474" s="2" t="str">
        <f t="shared" si="19"/>
        <v/>
      </c>
      <c r="J474" s="2" t="str">
        <f t="shared" si="20"/>
        <v/>
      </c>
    </row>
    <row r="475" spans="1:10" ht="12" customHeight="1" x14ac:dyDescent="0.3">
      <c r="A475" s="2" t="str">
        <f>Inventory_Master!D475</f>
        <v/>
      </c>
      <c r="B475" s="2" t="str">
        <f>Inventory_Master!E475</f>
        <v/>
      </c>
      <c r="C475" s="2" t="str">
        <f>Inventory_Master!C475</f>
        <v/>
      </c>
      <c r="D475" s="2" t="str">
        <f>Inventory_Master!R475</f>
        <v/>
      </c>
      <c r="E475" s="2" t="str">
        <f>Inventory_Master!W475</f>
        <v/>
      </c>
      <c r="F475" s="2" t="str">
        <f>IF($A475="","",TRIM(_xludf.textjoin("; ",TRUE(),IF(Inventory_Master!R475&lt;&gt;"OK","Invalid category",""),IF(Inventory_Master!J475="","Missing price_inr",""),IF(Inventory_Master!O475="","Missing image",""),IF(Inventory_Master!S475&gt;0,"Has size variants",""),IF(Inventory_Master!C475="ERROR","Validation error",""),IF(Inventory_Master!C475="WARNING","Review warning",""))))</f>
        <v/>
      </c>
      <c r="G475" s="2" t="str">
        <f t="shared" si="18"/>
        <v>NO</v>
      </c>
      <c r="H475" s="2" t="str">
        <f>IF($A475="","",IF(Inventory_Master!R475&lt;&gt;"OK","Invalid Category",IF(Inventory_Master!J475="","Missing Price",IF(Inventory_Master!O475="","Missing Image",IF(Inventory_Master!S475&gt;0,"Size Price Review",IF(Inventory_Master!C475="ERROR","Validation Error",""))))))</f>
        <v/>
      </c>
      <c r="I475" s="2" t="str">
        <f t="shared" si="19"/>
        <v/>
      </c>
      <c r="J475" s="2" t="str">
        <f t="shared" si="20"/>
        <v/>
      </c>
    </row>
    <row r="476" spans="1:10" ht="12" customHeight="1" x14ac:dyDescent="0.3">
      <c r="A476" s="2" t="str">
        <f>Inventory_Master!D476</f>
        <v/>
      </c>
      <c r="B476" s="2" t="str">
        <f>Inventory_Master!E476</f>
        <v/>
      </c>
      <c r="C476" s="2" t="str">
        <f>Inventory_Master!C476</f>
        <v/>
      </c>
      <c r="D476" s="2" t="str">
        <f>Inventory_Master!R476</f>
        <v/>
      </c>
      <c r="E476" s="2" t="str">
        <f>Inventory_Master!W476</f>
        <v/>
      </c>
      <c r="F476" s="2" t="str">
        <f>IF($A476="","",TRIM(_xludf.textjoin("; ",TRUE(),IF(Inventory_Master!R476&lt;&gt;"OK","Invalid category",""),IF(Inventory_Master!J476="","Missing price_inr",""),IF(Inventory_Master!O476="","Missing image",""),IF(Inventory_Master!S476&gt;0,"Has size variants",""),IF(Inventory_Master!C476="ERROR","Validation error",""),IF(Inventory_Master!C476="WARNING","Review warning",""))))</f>
        <v/>
      </c>
      <c r="G476" s="2" t="str">
        <f t="shared" si="18"/>
        <v>NO</v>
      </c>
      <c r="H476" s="2" t="str">
        <f>IF($A476="","",IF(Inventory_Master!R476&lt;&gt;"OK","Invalid Category",IF(Inventory_Master!J476="","Missing Price",IF(Inventory_Master!O476="","Missing Image",IF(Inventory_Master!S476&gt;0,"Size Price Review",IF(Inventory_Master!C476="ERROR","Validation Error",""))))))</f>
        <v/>
      </c>
      <c r="I476" s="2" t="str">
        <f t="shared" si="19"/>
        <v/>
      </c>
      <c r="J476" s="2" t="str">
        <f t="shared" si="20"/>
        <v/>
      </c>
    </row>
    <row r="477" spans="1:10" ht="12" customHeight="1" x14ac:dyDescent="0.3">
      <c r="A477" s="2" t="str">
        <f>Inventory_Master!D477</f>
        <v/>
      </c>
      <c r="B477" s="2" t="str">
        <f>Inventory_Master!E477</f>
        <v/>
      </c>
      <c r="C477" s="2" t="str">
        <f>Inventory_Master!C477</f>
        <v/>
      </c>
      <c r="D477" s="2" t="str">
        <f>Inventory_Master!R477</f>
        <v/>
      </c>
      <c r="E477" s="2" t="str">
        <f>Inventory_Master!W477</f>
        <v/>
      </c>
      <c r="F477" s="2" t="str">
        <f>IF($A477="","",TRIM(_xludf.textjoin("; ",TRUE(),IF(Inventory_Master!R477&lt;&gt;"OK","Invalid category",""),IF(Inventory_Master!J477="","Missing price_inr",""),IF(Inventory_Master!O477="","Missing image",""),IF(Inventory_Master!S477&gt;0,"Has size variants",""),IF(Inventory_Master!C477="ERROR","Validation error",""),IF(Inventory_Master!C477="WARNING","Review warning",""))))</f>
        <v/>
      </c>
      <c r="G477" s="2" t="str">
        <f t="shared" si="18"/>
        <v>NO</v>
      </c>
      <c r="H477" s="2" t="str">
        <f>IF($A477="","",IF(Inventory_Master!R477&lt;&gt;"OK","Invalid Category",IF(Inventory_Master!J477="","Missing Price",IF(Inventory_Master!O477="","Missing Image",IF(Inventory_Master!S477&gt;0,"Size Price Review",IF(Inventory_Master!C477="ERROR","Validation Error",""))))))</f>
        <v/>
      </c>
      <c r="I477" s="2" t="str">
        <f t="shared" si="19"/>
        <v/>
      </c>
      <c r="J477" s="2" t="str">
        <f t="shared" si="20"/>
        <v/>
      </c>
    </row>
    <row r="478" spans="1:10" ht="12" customHeight="1" x14ac:dyDescent="0.3">
      <c r="A478" s="2" t="str">
        <f>Inventory_Master!D478</f>
        <v/>
      </c>
      <c r="B478" s="2" t="str">
        <f>Inventory_Master!E478</f>
        <v/>
      </c>
      <c r="C478" s="2" t="str">
        <f>Inventory_Master!C478</f>
        <v/>
      </c>
      <c r="D478" s="2" t="str">
        <f>Inventory_Master!R478</f>
        <v/>
      </c>
      <c r="E478" s="2" t="str">
        <f>Inventory_Master!W478</f>
        <v/>
      </c>
      <c r="F478" s="2" t="str">
        <f>IF($A478="","",TRIM(_xludf.textjoin("; ",TRUE(),IF(Inventory_Master!R478&lt;&gt;"OK","Invalid category",""),IF(Inventory_Master!J478="","Missing price_inr",""),IF(Inventory_Master!O478="","Missing image",""),IF(Inventory_Master!S478&gt;0,"Has size variants",""),IF(Inventory_Master!C478="ERROR","Validation error",""),IF(Inventory_Master!C478="WARNING","Review warning",""))))</f>
        <v/>
      </c>
      <c r="G478" s="2" t="str">
        <f t="shared" si="18"/>
        <v>NO</v>
      </c>
      <c r="H478" s="2" t="str">
        <f>IF($A478="","",IF(Inventory_Master!R478&lt;&gt;"OK","Invalid Category",IF(Inventory_Master!J478="","Missing Price",IF(Inventory_Master!O478="","Missing Image",IF(Inventory_Master!S478&gt;0,"Size Price Review",IF(Inventory_Master!C478="ERROR","Validation Error",""))))))</f>
        <v/>
      </c>
      <c r="I478" s="2" t="str">
        <f t="shared" si="19"/>
        <v/>
      </c>
      <c r="J478" s="2" t="str">
        <f t="shared" si="20"/>
        <v/>
      </c>
    </row>
    <row r="479" spans="1:10" ht="12" customHeight="1" x14ac:dyDescent="0.3">
      <c r="A479" s="2" t="str">
        <f>Inventory_Master!D479</f>
        <v/>
      </c>
      <c r="B479" s="2" t="str">
        <f>Inventory_Master!E479</f>
        <v/>
      </c>
      <c r="C479" s="2" t="str">
        <f>Inventory_Master!C479</f>
        <v/>
      </c>
      <c r="D479" s="2" t="str">
        <f>Inventory_Master!R479</f>
        <v/>
      </c>
      <c r="E479" s="2" t="str">
        <f>Inventory_Master!W479</f>
        <v/>
      </c>
      <c r="F479" s="2" t="str">
        <f>IF($A479="","",TRIM(_xludf.textjoin("; ",TRUE(),IF(Inventory_Master!R479&lt;&gt;"OK","Invalid category",""),IF(Inventory_Master!J479="","Missing price_inr",""),IF(Inventory_Master!O479="","Missing image",""),IF(Inventory_Master!S479&gt;0,"Has size variants",""),IF(Inventory_Master!C479="ERROR","Validation error",""),IF(Inventory_Master!C479="WARNING","Review warning",""))))</f>
        <v/>
      </c>
      <c r="G479" s="2" t="str">
        <f t="shared" si="18"/>
        <v>NO</v>
      </c>
      <c r="H479" s="2" t="str">
        <f>IF($A479="","",IF(Inventory_Master!R479&lt;&gt;"OK","Invalid Category",IF(Inventory_Master!J479="","Missing Price",IF(Inventory_Master!O479="","Missing Image",IF(Inventory_Master!S479&gt;0,"Size Price Review",IF(Inventory_Master!C479="ERROR","Validation Error",""))))))</f>
        <v/>
      </c>
      <c r="I479" s="2" t="str">
        <f t="shared" si="19"/>
        <v/>
      </c>
      <c r="J479" s="2" t="str">
        <f t="shared" si="20"/>
        <v/>
      </c>
    </row>
    <row r="480" spans="1:10" ht="12" customHeight="1" x14ac:dyDescent="0.3">
      <c r="A480" s="2" t="str">
        <f>Inventory_Master!D480</f>
        <v/>
      </c>
      <c r="B480" s="2" t="str">
        <f>Inventory_Master!E480</f>
        <v/>
      </c>
      <c r="C480" s="2" t="str">
        <f>Inventory_Master!C480</f>
        <v/>
      </c>
      <c r="D480" s="2" t="str">
        <f>Inventory_Master!R480</f>
        <v/>
      </c>
      <c r="E480" s="2" t="str">
        <f>Inventory_Master!W480</f>
        <v/>
      </c>
      <c r="F480" s="2" t="str">
        <f>IF($A480="","",TRIM(_xludf.textjoin("; ",TRUE(),IF(Inventory_Master!R480&lt;&gt;"OK","Invalid category",""),IF(Inventory_Master!J480="","Missing price_inr",""),IF(Inventory_Master!O480="","Missing image",""),IF(Inventory_Master!S480&gt;0,"Has size variants",""),IF(Inventory_Master!C480="ERROR","Validation error",""),IF(Inventory_Master!C480="WARNING","Review warning",""))))</f>
        <v/>
      </c>
      <c r="G480" s="2" t="str">
        <f t="shared" si="18"/>
        <v>NO</v>
      </c>
      <c r="H480" s="2" t="str">
        <f>IF($A480="","",IF(Inventory_Master!R480&lt;&gt;"OK","Invalid Category",IF(Inventory_Master!J480="","Missing Price",IF(Inventory_Master!O480="","Missing Image",IF(Inventory_Master!S480&gt;0,"Size Price Review",IF(Inventory_Master!C480="ERROR","Validation Error",""))))))</f>
        <v/>
      </c>
      <c r="I480" s="2" t="str">
        <f t="shared" si="19"/>
        <v/>
      </c>
      <c r="J480" s="2" t="str">
        <f t="shared" si="20"/>
        <v/>
      </c>
    </row>
    <row r="481" spans="1:10" ht="12" customHeight="1" x14ac:dyDescent="0.3">
      <c r="A481" s="2" t="str">
        <f>Inventory_Master!D481</f>
        <v/>
      </c>
      <c r="B481" s="2" t="str">
        <f>Inventory_Master!E481</f>
        <v/>
      </c>
      <c r="C481" s="2" t="str">
        <f>Inventory_Master!C481</f>
        <v/>
      </c>
      <c r="D481" s="2" t="str">
        <f>Inventory_Master!R481</f>
        <v/>
      </c>
      <c r="E481" s="2" t="str">
        <f>Inventory_Master!W481</f>
        <v/>
      </c>
      <c r="F481" s="2" t="str">
        <f>IF($A481="","",TRIM(_xludf.textjoin("; ",TRUE(),IF(Inventory_Master!R481&lt;&gt;"OK","Invalid category",""),IF(Inventory_Master!J481="","Missing price_inr",""),IF(Inventory_Master!O481="","Missing image",""),IF(Inventory_Master!S481&gt;0,"Has size variants",""),IF(Inventory_Master!C481="ERROR","Validation error",""),IF(Inventory_Master!C481="WARNING","Review warning",""))))</f>
        <v/>
      </c>
      <c r="G481" s="2" t="str">
        <f t="shared" si="18"/>
        <v>NO</v>
      </c>
      <c r="H481" s="2" t="str">
        <f>IF($A481="","",IF(Inventory_Master!R481&lt;&gt;"OK","Invalid Category",IF(Inventory_Master!J481="","Missing Price",IF(Inventory_Master!O481="","Missing Image",IF(Inventory_Master!S481&gt;0,"Size Price Review",IF(Inventory_Master!C481="ERROR","Validation Error",""))))))</f>
        <v/>
      </c>
      <c r="I481" s="2" t="str">
        <f t="shared" si="19"/>
        <v/>
      </c>
      <c r="J481" s="2" t="str">
        <f t="shared" si="20"/>
        <v/>
      </c>
    </row>
    <row r="482" spans="1:10" ht="12" customHeight="1" x14ac:dyDescent="0.3">
      <c r="A482" s="2" t="str">
        <f>Inventory_Master!D482</f>
        <v/>
      </c>
      <c r="B482" s="2" t="str">
        <f>Inventory_Master!E482</f>
        <v/>
      </c>
      <c r="C482" s="2" t="str">
        <f>Inventory_Master!C482</f>
        <v/>
      </c>
      <c r="D482" s="2" t="str">
        <f>Inventory_Master!R482</f>
        <v/>
      </c>
      <c r="E482" s="2" t="str">
        <f>Inventory_Master!W482</f>
        <v/>
      </c>
      <c r="F482" s="2" t="str">
        <f>IF($A482="","",TRIM(_xludf.textjoin("; ",TRUE(),IF(Inventory_Master!R482&lt;&gt;"OK","Invalid category",""),IF(Inventory_Master!J482="","Missing price_inr",""),IF(Inventory_Master!O482="","Missing image",""),IF(Inventory_Master!S482&gt;0,"Has size variants",""),IF(Inventory_Master!C482="ERROR","Validation error",""),IF(Inventory_Master!C482="WARNING","Review warning",""))))</f>
        <v/>
      </c>
      <c r="G482" s="2" t="str">
        <f t="shared" si="18"/>
        <v>NO</v>
      </c>
      <c r="H482" s="2" t="str">
        <f>IF($A482="","",IF(Inventory_Master!R482&lt;&gt;"OK","Invalid Category",IF(Inventory_Master!J482="","Missing Price",IF(Inventory_Master!O482="","Missing Image",IF(Inventory_Master!S482&gt;0,"Size Price Review",IF(Inventory_Master!C482="ERROR","Validation Error",""))))))</f>
        <v/>
      </c>
      <c r="I482" s="2" t="str">
        <f t="shared" si="19"/>
        <v/>
      </c>
      <c r="J482" s="2" t="str">
        <f t="shared" si="20"/>
        <v/>
      </c>
    </row>
    <row r="483" spans="1:10" ht="12" customHeight="1" x14ac:dyDescent="0.3">
      <c r="A483" s="2" t="str">
        <f>Inventory_Master!D483</f>
        <v/>
      </c>
      <c r="B483" s="2" t="str">
        <f>Inventory_Master!E483</f>
        <v/>
      </c>
      <c r="C483" s="2" t="str">
        <f>Inventory_Master!C483</f>
        <v/>
      </c>
      <c r="D483" s="2" t="str">
        <f>Inventory_Master!R483</f>
        <v/>
      </c>
      <c r="E483" s="2" t="str">
        <f>Inventory_Master!W483</f>
        <v/>
      </c>
      <c r="F483" s="2" t="str">
        <f>IF($A483="","",TRIM(_xludf.textjoin("; ",TRUE(),IF(Inventory_Master!R483&lt;&gt;"OK","Invalid category",""),IF(Inventory_Master!J483="","Missing price_inr",""),IF(Inventory_Master!O483="","Missing image",""),IF(Inventory_Master!S483&gt;0,"Has size variants",""),IF(Inventory_Master!C483="ERROR","Validation error",""),IF(Inventory_Master!C483="WARNING","Review warning",""))))</f>
        <v/>
      </c>
      <c r="G483" s="2" t="str">
        <f t="shared" si="18"/>
        <v>NO</v>
      </c>
      <c r="H483" s="2" t="str">
        <f>IF($A483="","",IF(Inventory_Master!R483&lt;&gt;"OK","Invalid Category",IF(Inventory_Master!J483="","Missing Price",IF(Inventory_Master!O483="","Missing Image",IF(Inventory_Master!S483&gt;0,"Size Price Review",IF(Inventory_Master!C483="ERROR","Validation Error",""))))))</f>
        <v/>
      </c>
      <c r="I483" s="2" t="str">
        <f t="shared" si="19"/>
        <v/>
      </c>
      <c r="J483" s="2" t="str">
        <f t="shared" si="20"/>
        <v/>
      </c>
    </row>
    <row r="484" spans="1:10" ht="12" customHeight="1" x14ac:dyDescent="0.3">
      <c r="A484" s="2" t="str">
        <f>Inventory_Master!D484</f>
        <v/>
      </c>
      <c r="B484" s="2" t="str">
        <f>Inventory_Master!E484</f>
        <v/>
      </c>
      <c r="C484" s="2" t="str">
        <f>Inventory_Master!C484</f>
        <v/>
      </c>
      <c r="D484" s="2" t="str">
        <f>Inventory_Master!R484</f>
        <v/>
      </c>
      <c r="E484" s="2" t="str">
        <f>Inventory_Master!W484</f>
        <v/>
      </c>
      <c r="F484" s="2" t="str">
        <f>IF($A484="","",TRIM(_xludf.textjoin("; ",TRUE(),IF(Inventory_Master!R484&lt;&gt;"OK","Invalid category",""),IF(Inventory_Master!J484="","Missing price_inr",""),IF(Inventory_Master!O484="","Missing image",""),IF(Inventory_Master!S484&gt;0,"Has size variants",""),IF(Inventory_Master!C484="ERROR","Validation error",""),IF(Inventory_Master!C484="WARNING","Review warning",""))))</f>
        <v/>
      </c>
      <c r="G484" s="2" t="str">
        <f t="shared" si="18"/>
        <v>NO</v>
      </c>
      <c r="H484" s="2" t="str">
        <f>IF($A484="","",IF(Inventory_Master!R484&lt;&gt;"OK","Invalid Category",IF(Inventory_Master!J484="","Missing Price",IF(Inventory_Master!O484="","Missing Image",IF(Inventory_Master!S484&gt;0,"Size Price Review",IF(Inventory_Master!C484="ERROR","Validation Error",""))))))</f>
        <v/>
      </c>
      <c r="I484" s="2" t="str">
        <f t="shared" si="19"/>
        <v/>
      </c>
      <c r="J484" s="2" t="str">
        <f t="shared" si="20"/>
        <v/>
      </c>
    </row>
    <row r="485" spans="1:10" ht="12" customHeight="1" x14ac:dyDescent="0.3">
      <c r="A485" s="2" t="str">
        <f>Inventory_Master!D485</f>
        <v/>
      </c>
      <c r="B485" s="2" t="str">
        <f>Inventory_Master!E485</f>
        <v/>
      </c>
      <c r="C485" s="2" t="str">
        <f>Inventory_Master!C485</f>
        <v/>
      </c>
      <c r="D485" s="2" t="str">
        <f>Inventory_Master!R485</f>
        <v/>
      </c>
      <c r="E485" s="2" t="str">
        <f>Inventory_Master!W485</f>
        <v/>
      </c>
      <c r="F485" s="2" t="str">
        <f>IF($A485="","",TRIM(_xludf.textjoin("; ",TRUE(),IF(Inventory_Master!R485&lt;&gt;"OK","Invalid category",""),IF(Inventory_Master!J485="","Missing price_inr",""),IF(Inventory_Master!O485="","Missing image",""),IF(Inventory_Master!S485&gt;0,"Has size variants",""),IF(Inventory_Master!C485="ERROR","Validation error",""),IF(Inventory_Master!C485="WARNING","Review warning",""))))</f>
        <v/>
      </c>
      <c r="G485" s="2" t="str">
        <f t="shared" si="18"/>
        <v>NO</v>
      </c>
      <c r="H485" s="2" t="str">
        <f>IF($A485="","",IF(Inventory_Master!R485&lt;&gt;"OK","Invalid Category",IF(Inventory_Master!J485="","Missing Price",IF(Inventory_Master!O485="","Missing Image",IF(Inventory_Master!S485&gt;0,"Size Price Review",IF(Inventory_Master!C485="ERROR","Validation Error",""))))))</f>
        <v/>
      </c>
      <c r="I485" s="2" t="str">
        <f t="shared" si="19"/>
        <v/>
      </c>
      <c r="J485" s="2" t="str">
        <f t="shared" si="20"/>
        <v/>
      </c>
    </row>
    <row r="486" spans="1:10" ht="12" customHeight="1" x14ac:dyDescent="0.3">
      <c r="A486" s="2" t="str">
        <f>Inventory_Master!D486</f>
        <v/>
      </c>
      <c r="B486" s="2" t="str">
        <f>Inventory_Master!E486</f>
        <v/>
      </c>
      <c r="C486" s="2" t="str">
        <f>Inventory_Master!C486</f>
        <v/>
      </c>
      <c r="D486" s="2" t="str">
        <f>Inventory_Master!R486</f>
        <v/>
      </c>
      <c r="E486" s="2" t="str">
        <f>Inventory_Master!W486</f>
        <v/>
      </c>
      <c r="F486" s="2" t="str">
        <f>IF($A486="","",TRIM(_xludf.textjoin("; ",TRUE(),IF(Inventory_Master!R486&lt;&gt;"OK","Invalid category",""),IF(Inventory_Master!J486="","Missing price_inr",""),IF(Inventory_Master!O486="","Missing image",""),IF(Inventory_Master!S486&gt;0,"Has size variants",""),IF(Inventory_Master!C486="ERROR","Validation error",""),IF(Inventory_Master!C486="WARNING","Review warning",""))))</f>
        <v/>
      </c>
      <c r="G486" s="2" t="str">
        <f t="shared" si="18"/>
        <v>NO</v>
      </c>
      <c r="H486" s="2" t="str">
        <f>IF($A486="","",IF(Inventory_Master!R486&lt;&gt;"OK","Invalid Category",IF(Inventory_Master!J486="","Missing Price",IF(Inventory_Master!O486="","Missing Image",IF(Inventory_Master!S486&gt;0,"Size Price Review",IF(Inventory_Master!C486="ERROR","Validation Error",""))))))</f>
        <v/>
      </c>
      <c r="I486" s="2" t="str">
        <f t="shared" si="19"/>
        <v/>
      </c>
      <c r="J486" s="2" t="str">
        <f t="shared" si="20"/>
        <v/>
      </c>
    </row>
    <row r="487" spans="1:10" ht="12" customHeight="1" x14ac:dyDescent="0.3">
      <c r="A487" s="2" t="str">
        <f>Inventory_Master!D487</f>
        <v/>
      </c>
      <c r="B487" s="2" t="str">
        <f>Inventory_Master!E487</f>
        <v/>
      </c>
      <c r="C487" s="2" t="str">
        <f>Inventory_Master!C487</f>
        <v/>
      </c>
      <c r="D487" s="2" t="str">
        <f>Inventory_Master!R487</f>
        <v/>
      </c>
      <c r="E487" s="2" t="str">
        <f>Inventory_Master!W487</f>
        <v/>
      </c>
      <c r="F487" s="2" t="str">
        <f>IF($A487="","",TRIM(_xludf.textjoin("; ",TRUE(),IF(Inventory_Master!R487&lt;&gt;"OK","Invalid category",""),IF(Inventory_Master!J487="","Missing price_inr",""),IF(Inventory_Master!O487="","Missing image",""),IF(Inventory_Master!S487&gt;0,"Has size variants",""),IF(Inventory_Master!C487="ERROR","Validation error",""),IF(Inventory_Master!C487="WARNING","Review warning",""))))</f>
        <v/>
      </c>
      <c r="G487" s="2" t="str">
        <f t="shared" si="18"/>
        <v>NO</v>
      </c>
      <c r="H487" s="2" t="str">
        <f>IF($A487="","",IF(Inventory_Master!R487&lt;&gt;"OK","Invalid Category",IF(Inventory_Master!J487="","Missing Price",IF(Inventory_Master!O487="","Missing Image",IF(Inventory_Master!S487&gt;0,"Size Price Review",IF(Inventory_Master!C487="ERROR","Validation Error",""))))))</f>
        <v/>
      </c>
      <c r="I487" s="2" t="str">
        <f t="shared" si="19"/>
        <v/>
      </c>
      <c r="J487" s="2" t="str">
        <f t="shared" si="20"/>
        <v/>
      </c>
    </row>
    <row r="488" spans="1:10" ht="12" customHeight="1" x14ac:dyDescent="0.3">
      <c r="A488" s="2" t="str">
        <f>Inventory_Master!D488</f>
        <v/>
      </c>
      <c r="B488" s="2" t="str">
        <f>Inventory_Master!E488</f>
        <v/>
      </c>
      <c r="C488" s="2" t="str">
        <f>Inventory_Master!C488</f>
        <v/>
      </c>
      <c r="D488" s="2" t="str">
        <f>Inventory_Master!R488</f>
        <v/>
      </c>
      <c r="E488" s="2" t="str">
        <f>Inventory_Master!W488</f>
        <v/>
      </c>
      <c r="F488" s="2" t="str">
        <f>IF($A488="","",TRIM(_xludf.textjoin("; ",TRUE(),IF(Inventory_Master!R488&lt;&gt;"OK","Invalid category",""),IF(Inventory_Master!J488="","Missing price_inr",""),IF(Inventory_Master!O488="","Missing image",""),IF(Inventory_Master!S488&gt;0,"Has size variants",""),IF(Inventory_Master!C488="ERROR","Validation error",""),IF(Inventory_Master!C488="WARNING","Review warning",""))))</f>
        <v/>
      </c>
      <c r="G488" s="2" t="str">
        <f t="shared" si="18"/>
        <v>NO</v>
      </c>
      <c r="H488" s="2" t="str">
        <f>IF($A488="","",IF(Inventory_Master!R488&lt;&gt;"OK","Invalid Category",IF(Inventory_Master!J488="","Missing Price",IF(Inventory_Master!O488="","Missing Image",IF(Inventory_Master!S488&gt;0,"Size Price Review",IF(Inventory_Master!C488="ERROR","Validation Error",""))))))</f>
        <v/>
      </c>
      <c r="I488" s="2" t="str">
        <f t="shared" si="19"/>
        <v/>
      </c>
      <c r="J488" s="2" t="str">
        <f t="shared" si="20"/>
        <v/>
      </c>
    </row>
    <row r="489" spans="1:10" ht="12" customHeight="1" x14ac:dyDescent="0.3">
      <c r="A489" s="2" t="str">
        <f>Inventory_Master!D489</f>
        <v/>
      </c>
      <c r="B489" s="2" t="str">
        <f>Inventory_Master!E489</f>
        <v/>
      </c>
      <c r="C489" s="2" t="str">
        <f>Inventory_Master!C489</f>
        <v/>
      </c>
      <c r="D489" s="2" t="str">
        <f>Inventory_Master!R489</f>
        <v/>
      </c>
      <c r="E489" s="2" t="str">
        <f>Inventory_Master!W489</f>
        <v/>
      </c>
      <c r="F489" s="2" t="str">
        <f>IF($A489="","",TRIM(_xludf.textjoin("; ",TRUE(),IF(Inventory_Master!R489&lt;&gt;"OK","Invalid category",""),IF(Inventory_Master!J489="","Missing price_inr",""),IF(Inventory_Master!O489="","Missing image",""),IF(Inventory_Master!S489&gt;0,"Has size variants",""),IF(Inventory_Master!C489="ERROR","Validation error",""),IF(Inventory_Master!C489="WARNING","Review warning",""))))</f>
        <v/>
      </c>
      <c r="G489" s="2" t="str">
        <f t="shared" si="18"/>
        <v>NO</v>
      </c>
      <c r="H489" s="2" t="str">
        <f>IF($A489="","",IF(Inventory_Master!R489&lt;&gt;"OK","Invalid Category",IF(Inventory_Master!J489="","Missing Price",IF(Inventory_Master!O489="","Missing Image",IF(Inventory_Master!S489&gt;0,"Size Price Review",IF(Inventory_Master!C489="ERROR","Validation Error",""))))))</f>
        <v/>
      </c>
      <c r="I489" s="2" t="str">
        <f t="shared" si="19"/>
        <v/>
      </c>
      <c r="J489" s="2" t="str">
        <f t="shared" si="20"/>
        <v/>
      </c>
    </row>
    <row r="490" spans="1:10" ht="12" customHeight="1" x14ac:dyDescent="0.3">
      <c r="A490" s="2" t="str">
        <f>Inventory_Master!D490</f>
        <v/>
      </c>
      <c r="B490" s="2" t="str">
        <f>Inventory_Master!E490</f>
        <v/>
      </c>
      <c r="C490" s="2" t="str">
        <f>Inventory_Master!C490</f>
        <v/>
      </c>
      <c r="D490" s="2" t="str">
        <f>Inventory_Master!R490</f>
        <v/>
      </c>
      <c r="E490" s="2" t="str">
        <f>Inventory_Master!W490</f>
        <v/>
      </c>
      <c r="F490" s="2" t="str">
        <f>IF($A490="","",TRIM(_xludf.textjoin("; ",TRUE(),IF(Inventory_Master!R490&lt;&gt;"OK","Invalid category",""),IF(Inventory_Master!J490="","Missing price_inr",""),IF(Inventory_Master!O490="","Missing image",""),IF(Inventory_Master!S490&gt;0,"Has size variants",""),IF(Inventory_Master!C490="ERROR","Validation error",""),IF(Inventory_Master!C490="WARNING","Review warning",""))))</f>
        <v/>
      </c>
      <c r="G490" s="2" t="str">
        <f t="shared" si="18"/>
        <v>NO</v>
      </c>
      <c r="H490" s="2" t="str">
        <f>IF($A490="","",IF(Inventory_Master!R490&lt;&gt;"OK","Invalid Category",IF(Inventory_Master!J490="","Missing Price",IF(Inventory_Master!O490="","Missing Image",IF(Inventory_Master!S490&gt;0,"Size Price Review",IF(Inventory_Master!C490="ERROR","Validation Error",""))))))</f>
        <v/>
      </c>
      <c r="I490" s="2" t="str">
        <f t="shared" si="19"/>
        <v/>
      </c>
      <c r="J490" s="2" t="str">
        <f t="shared" si="20"/>
        <v/>
      </c>
    </row>
    <row r="491" spans="1:10" ht="12" customHeight="1" x14ac:dyDescent="0.3">
      <c r="A491" s="2" t="str">
        <f>Inventory_Master!D491</f>
        <v/>
      </c>
      <c r="B491" s="2" t="str">
        <f>Inventory_Master!E491</f>
        <v/>
      </c>
      <c r="C491" s="2" t="str">
        <f>Inventory_Master!C491</f>
        <v/>
      </c>
      <c r="D491" s="2" t="str">
        <f>Inventory_Master!R491</f>
        <v/>
      </c>
      <c r="E491" s="2" t="str">
        <f>Inventory_Master!W491</f>
        <v/>
      </c>
      <c r="F491" s="2" t="str">
        <f>IF($A491="","",TRIM(_xludf.textjoin("; ",TRUE(),IF(Inventory_Master!R491&lt;&gt;"OK","Invalid category",""),IF(Inventory_Master!J491="","Missing price_inr",""),IF(Inventory_Master!O491="","Missing image",""),IF(Inventory_Master!S491&gt;0,"Has size variants",""),IF(Inventory_Master!C491="ERROR","Validation error",""),IF(Inventory_Master!C491="WARNING","Review warning",""))))</f>
        <v/>
      </c>
      <c r="G491" s="2" t="str">
        <f t="shared" si="18"/>
        <v>NO</v>
      </c>
      <c r="H491" s="2" t="str">
        <f>IF($A491="","",IF(Inventory_Master!R491&lt;&gt;"OK","Invalid Category",IF(Inventory_Master!J491="","Missing Price",IF(Inventory_Master!O491="","Missing Image",IF(Inventory_Master!S491&gt;0,"Size Price Review",IF(Inventory_Master!C491="ERROR","Validation Error",""))))))</f>
        <v/>
      </c>
      <c r="I491" s="2" t="str">
        <f t="shared" si="19"/>
        <v/>
      </c>
      <c r="J491" s="2" t="str">
        <f t="shared" si="20"/>
        <v/>
      </c>
    </row>
    <row r="492" spans="1:10" ht="12" customHeight="1" x14ac:dyDescent="0.3">
      <c r="A492" s="2" t="str">
        <f>Inventory_Master!D492</f>
        <v/>
      </c>
      <c r="B492" s="2" t="str">
        <f>Inventory_Master!E492</f>
        <v/>
      </c>
      <c r="C492" s="2" t="str">
        <f>Inventory_Master!C492</f>
        <v/>
      </c>
      <c r="D492" s="2" t="str">
        <f>Inventory_Master!R492</f>
        <v/>
      </c>
      <c r="E492" s="2" t="str">
        <f>Inventory_Master!W492</f>
        <v/>
      </c>
      <c r="F492" s="2" t="str">
        <f>IF($A492="","",TRIM(_xludf.textjoin("; ",TRUE(),IF(Inventory_Master!R492&lt;&gt;"OK","Invalid category",""),IF(Inventory_Master!J492="","Missing price_inr",""),IF(Inventory_Master!O492="","Missing image",""),IF(Inventory_Master!S492&gt;0,"Has size variants",""),IF(Inventory_Master!C492="ERROR","Validation error",""),IF(Inventory_Master!C492="WARNING","Review warning",""))))</f>
        <v/>
      </c>
      <c r="G492" s="2" t="str">
        <f t="shared" si="18"/>
        <v>NO</v>
      </c>
      <c r="H492" s="2" t="str">
        <f>IF($A492="","",IF(Inventory_Master!R492&lt;&gt;"OK","Invalid Category",IF(Inventory_Master!J492="","Missing Price",IF(Inventory_Master!O492="","Missing Image",IF(Inventory_Master!S492&gt;0,"Size Price Review",IF(Inventory_Master!C492="ERROR","Validation Error",""))))))</f>
        <v/>
      </c>
      <c r="I492" s="2" t="str">
        <f t="shared" si="19"/>
        <v/>
      </c>
      <c r="J492" s="2" t="str">
        <f t="shared" si="20"/>
        <v/>
      </c>
    </row>
    <row r="493" spans="1:10" ht="12" customHeight="1" x14ac:dyDescent="0.3">
      <c r="A493" s="2" t="str">
        <f>Inventory_Master!D493</f>
        <v/>
      </c>
      <c r="B493" s="2" t="str">
        <f>Inventory_Master!E493</f>
        <v/>
      </c>
      <c r="C493" s="2" t="str">
        <f>Inventory_Master!C493</f>
        <v/>
      </c>
      <c r="D493" s="2" t="str">
        <f>Inventory_Master!R493</f>
        <v/>
      </c>
      <c r="E493" s="2" t="str">
        <f>Inventory_Master!W493</f>
        <v/>
      </c>
      <c r="F493" s="2" t="str">
        <f>IF($A493="","",TRIM(_xludf.textjoin("; ",TRUE(),IF(Inventory_Master!R493&lt;&gt;"OK","Invalid category",""),IF(Inventory_Master!J493="","Missing price_inr",""),IF(Inventory_Master!O493="","Missing image",""),IF(Inventory_Master!S493&gt;0,"Has size variants",""),IF(Inventory_Master!C493="ERROR","Validation error",""),IF(Inventory_Master!C493="WARNING","Review warning",""))))</f>
        <v/>
      </c>
      <c r="G493" s="2" t="str">
        <f t="shared" si="18"/>
        <v>NO</v>
      </c>
      <c r="H493" s="2" t="str">
        <f>IF($A493="","",IF(Inventory_Master!R493&lt;&gt;"OK","Invalid Category",IF(Inventory_Master!J493="","Missing Price",IF(Inventory_Master!O493="","Missing Image",IF(Inventory_Master!S493&gt;0,"Size Price Review",IF(Inventory_Master!C493="ERROR","Validation Error",""))))))</f>
        <v/>
      </c>
      <c r="I493" s="2" t="str">
        <f t="shared" si="19"/>
        <v/>
      </c>
      <c r="J493" s="2" t="str">
        <f t="shared" si="20"/>
        <v/>
      </c>
    </row>
    <row r="494" spans="1:10" ht="12" customHeight="1" x14ac:dyDescent="0.3">
      <c r="A494" s="2" t="str">
        <f>Inventory_Master!D494</f>
        <v/>
      </c>
      <c r="B494" s="2" t="str">
        <f>Inventory_Master!E494</f>
        <v/>
      </c>
      <c r="C494" s="2" t="str">
        <f>Inventory_Master!C494</f>
        <v/>
      </c>
      <c r="D494" s="2" t="str">
        <f>Inventory_Master!R494</f>
        <v/>
      </c>
      <c r="E494" s="2" t="str">
        <f>Inventory_Master!W494</f>
        <v/>
      </c>
      <c r="F494" s="2" t="str">
        <f>IF($A494="","",TRIM(_xludf.textjoin("; ",TRUE(),IF(Inventory_Master!R494&lt;&gt;"OK","Invalid category",""),IF(Inventory_Master!J494="","Missing price_inr",""),IF(Inventory_Master!O494="","Missing image",""),IF(Inventory_Master!S494&gt;0,"Has size variants",""),IF(Inventory_Master!C494="ERROR","Validation error",""),IF(Inventory_Master!C494="WARNING","Review warning",""))))</f>
        <v/>
      </c>
      <c r="G494" s="2" t="str">
        <f t="shared" si="18"/>
        <v>NO</v>
      </c>
      <c r="H494" s="2" t="str">
        <f>IF($A494="","",IF(Inventory_Master!R494&lt;&gt;"OK","Invalid Category",IF(Inventory_Master!J494="","Missing Price",IF(Inventory_Master!O494="","Missing Image",IF(Inventory_Master!S494&gt;0,"Size Price Review",IF(Inventory_Master!C494="ERROR","Validation Error",""))))))</f>
        <v/>
      </c>
      <c r="I494" s="2" t="str">
        <f t="shared" si="19"/>
        <v/>
      </c>
      <c r="J494" s="2" t="str">
        <f t="shared" si="20"/>
        <v/>
      </c>
    </row>
    <row r="495" spans="1:10" ht="12" customHeight="1" x14ac:dyDescent="0.3">
      <c r="A495" s="2" t="str">
        <f>Inventory_Master!D495</f>
        <v/>
      </c>
      <c r="B495" s="2" t="str">
        <f>Inventory_Master!E495</f>
        <v/>
      </c>
      <c r="C495" s="2" t="str">
        <f>Inventory_Master!C495</f>
        <v/>
      </c>
      <c r="D495" s="2" t="str">
        <f>Inventory_Master!R495</f>
        <v/>
      </c>
      <c r="E495" s="2" t="str">
        <f>Inventory_Master!W495</f>
        <v/>
      </c>
      <c r="F495" s="2" t="str">
        <f>IF($A495="","",TRIM(_xludf.textjoin("; ",TRUE(),IF(Inventory_Master!R495&lt;&gt;"OK","Invalid category",""),IF(Inventory_Master!J495="","Missing price_inr",""),IF(Inventory_Master!O495="","Missing image",""),IF(Inventory_Master!S495&gt;0,"Has size variants",""),IF(Inventory_Master!C495="ERROR","Validation error",""),IF(Inventory_Master!C495="WARNING","Review warning",""))))</f>
        <v/>
      </c>
      <c r="G495" s="2" t="str">
        <f t="shared" si="18"/>
        <v>NO</v>
      </c>
      <c r="H495" s="2" t="str">
        <f>IF($A495="","",IF(Inventory_Master!R495&lt;&gt;"OK","Invalid Category",IF(Inventory_Master!J495="","Missing Price",IF(Inventory_Master!O495="","Missing Image",IF(Inventory_Master!S495&gt;0,"Size Price Review",IF(Inventory_Master!C495="ERROR","Validation Error",""))))))</f>
        <v/>
      </c>
      <c r="I495" s="2" t="str">
        <f t="shared" si="19"/>
        <v/>
      </c>
      <c r="J495" s="2" t="str">
        <f t="shared" si="20"/>
        <v/>
      </c>
    </row>
    <row r="496" spans="1:10" ht="12" customHeight="1" x14ac:dyDescent="0.3">
      <c r="A496" s="2" t="str">
        <f>Inventory_Master!D496</f>
        <v/>
      </c>
      <c r="B496" s="2" t="str">
        <f>Inventory_Master!E496</f>
        <v/>
      </c>
      <c r="C496" s="2" t="str">
        <f>Inventory_Master!C496</f>
        <v/>
      </c>
      <c r="D496" s="2" t="str">
        <f>Inventory_Master!R496</f>
        <v/>
      </c>
      <c r="E496" s="2" t="str">
        <f>Inventory_Master!W496</f>
        <v/>
      </c>
      <c r="F496" s="2" t="str">
        <f>IF($A496="","",TRIM(_xludf.textjoin("; ",TRUE(),IF(Inventory_Master!R496&lt;&gt;"OK","Invalid category",""),IF(Inventory_Master!J496="","Missing price_inr",""),IF(Inventory_Master!O496="","Missing image",""),IF(Inventory_Master!S496&gt;0,"Has size variants",""),IF(Inventory_Master!C496="ERROR","Validation error",""),IF(Inventory_Master!C496="WARNING","Review warning",""))))</f>
        <v/>
      </c>
      <c r="G496" s="2" t="str">
        <f t="shared" si="18"/>
        <v>NO</v>
      </c>
      <c r="H496" s="2" t="str">
        <f>IF($A496="","",IF(Inventory_Master!R496&lt;&gt;"OK","Invalid Category",IF(Inventory_Master!J496="","Missing Price",IF(Inventory_Master!O496="","Missing Image",IF(Inventory_Master!S496&gt;0,"Size Price Review",IF(Inventory_Master!C496="ERROR","Validation Error",""))))))</f>
        <v/>
      </c>
      <c r="I496" s="2" t="str">
        <f t="shared" si="19"/>
        <v/>
      </c>
      <c r="J496" s="2" t="str">
        <f t="shared" si="20"/>
        <v/>
      </c>
    </row>
    <row r="497" spans="1:10" ht="12" customHeight="1" x14ac:dyDescent="0.3">
      <c r="A497" s="2" t="str">
        <f>Inventory_Master!D497</f>
        <v/>
      </c>
      <c r="B497" s="2" t="str">
        <f>Inventory_Master!E497</f>
        <v/>
      </c>
      <c r="C497" s="2" t="str">
        <f>Inventory_Master!C497</f>
        <v/>
      </c>
      <c r="D497" s="2" t="str">
        <f>Inventory_Master!R497</f>
        <v/>
      </c>
      <c r="E497" s="2" t="str">
        <f>Inventory_Master!W497</f>
        <v/>
      </c>
      <c r="F497" s="2" t="str">
        <f>IF($A497="","",TRIM(_xludf.textjoin("; ",TRUE(),IF(Inventory_Master!R497&lt;&gt;"OK","Invalid category",""),IF(Inventory_Master!J497="","Missing price_inr",""),IF(Inventory_Master!O497="","Missing image",""),IF(Inventory_Master!S497&gt;0,"Has size variants",""),IF(Inventory_Master!C497="ERROR","Validation error",""),IF(Inventory_Master!C497="WARNING","Review warning",""))))</f>
        <v/>
      </c>
      <c r="G497" s="2" t="str">
        <f t="shared" si="18"/>
        <v>NO</v>
      </c>
      <c r="H497" s="2" t="str">
        <f>IF($A497="","",IF(Inventory_Master!R497&lt;&gt;"OK","Invalid Category",IF(Inventory_Master!J497="","Missing Price",IF(Inventory_Master!O497="","Missing Image",IF(Inventory_Master!S497&gt;0,"Size Price Review",IF(Inventory_Master!C497="ERROR","Validation Error",""))))))</f>
        <v/>
      </c>
      <c r="I497" s="2" t="str">
        <f t="shared" si="19"/>
        <v/>
      </c>
      <c r="J497" s="2" t="str">
        <f t="shared" si="20"/>
        <v/>
      </c>
    </row>
    <row r="498" spans="1:10" ht="12" customHeight="1" x14ac:dyDescent="0.3">
      <c r="A498" s="2" t="str">
        <f>Inventory_Master!D498</f>
        <v/>
      </c>
      <c r="B498" s="2" t="str">
        <f>Inventory_Master!E498</f>
        <v/>
      </c>
      <c r="C498" s="2" t="str">
        <f>Inventory_Master!C498</f>
        <v/>
      </c>
      <c r="D498" s="2" t="str">
        <f>Inventory_Master!R498</f>
        <v/>
      </c>
      <c r="E498" s="2" t="str">
        <f>Inventory_Master!W498</f>
        <v/>
      </c>
      <c r="F498" s="2" t="str">
        <f>IF($A498="","",TRIM(_xludf.textjoin("; ",TRUE(),IF(Inventory_Master!R498&lt;&gt;"OK","Invalid category",""),IF(Inventory_Master!J498="","Missing price_inr",""),IF(Inventory_Master!O498="","Missing image",""),IF(Inventory_Master!S498&gt;0,"Has size variants",""),IF(Inventory_Master!C498="ERROR","Validation error",""),IF(Inventory_Master!C498="WARNING","Review warning",""))))</f>
        <v/>
      </c>
      <c r="G498" s="2" t="str">
        <f t="shared" si="18"/>
        <v>NO</v>
      </c>
      <c r="H498" s="2" t="str">
        <f>IF($A498="","",IF(Inventory_Master!R498&lt;&gt;"OK","Invalid Category",IF(Inventory_Master!J498="","Missing Price",IF(Inventory_Master!O498="","Missing Image",IF(Inventory_Master!S498&gt;0,"Size Price Review",IF(Inventory_Master!C498="ERROR","Validation Error",""))))))</f>
        <v/>
      </c>
      <c r="I498" s="2" t="str">
        <f t="shared" si="19"/>
        <v/>
      </c>
      <c r="J498" s="2" t="str">
        <f t="shared" si="20"/>
        <v/>
      </c>
    </row>
    <row r="499" spans="1:10" ht="12" customHeight="1" x14ac:dyDescent="0.3">
      <c r="A499" s="2" t="str">
        <f>Inventory_Master!D499</f>
        <v/>
      </c>
      <c r="B499" s="2" t="str">
        <f>Inventory_Master!E499</f>
        <v/>
      </c>
      <c r="C499" s="2" t="str">
        <f>Inventory_Master!C499</f>
        <v/>
      </c>
      <c r="D499" s="2" t="str">
        <f>Inventory_Master!R499</f>
        <v/>
      </c>
      <c r="E499" s="2" t="str">
        <f>Inventory_Master!W499</f>
        <v/>
      </c>
      <c r="F499" s="2" t="str">
        <f>IF($A499="","",TRIM(_xludf.textjoin("; ",TRUE(),IF(Inventory_Master!R499&lt;&gt;"OK","Invalid category",""),IF(Inventory_Master!J499="","Missing price_inr",""),IF(Inventory_Master!O499="","Missing image",""),IF(Inventory_Master!S499&gt;0,"Has size variants",""),IF(Inventory_Master!C499="ERROR","Validation error",""),IF(Inventory_Master!C499="WARNING","Review warning",""))))</f>
        <v/>
      </c>
      <c r="G499" s="2" t="str">
        <f t="shared" si="18"/>
        <v>NO</v>
      </c>
      <c r="H499" s="2" t="str">
        <f>IF($A499="","",IF(Inventory_Master!R499&lt;&gt;"OK","Invalid Category",IF(Inventory_Master!J499="","Missing Price",IF(Inventory_Master!O499="","Missing Image",IF(Inventory_Master!S499&gt;0,"Size Price Review",IF(Inventory_Master!C499="ERROR","Validation Error",""))))))</f>
        <v/>
      </c>
      <c r="I499" s="2" t="str">
        <f t="shared" si="19"/>
        <v/>
      </c>
      <c r="J499" s="2" t="str">
        <f t="shared" si="20"/>
        <v/>
      </c>
    </row>
    <row r="500" spans="1:10" ht="12" customHeight="1" x14ac:dyDescent="0.3">
      <c r="A500" s="2" t="str">
        <f>Inventory_Master!D500</f>
        <v/>
      </c>
      <c r="B500" s="2" t="str">
        <f>Inventory_Master!E500</f>
        <v/>
      </c>
      <c r="C500" s="2" t="str">
        <f>Inventory_Master!C500</f>
        <v/>
      </c>
      <c r="D500" s="2" t="str">
        <f>Inventory_Master!R500</f>
        <v/>
      </c>
      <c r="E500" s="2" t="str">
        <f>Inventory_Master!W500</f>
        <v/>
      </c>
      <c r="F500" s="2" t="str">
        <f>IF($A500="","",TRIM(_xludf.textjoin("; ",TRUE(),IF(Inventory_Master!R500&lt;&gt;"OK","Invalid category",""),IF(Inventory_Master!J500="","Missing price_inr",""),IF(Inventory_Master!O500="","Missing image",""),IF(Inventory_Master!S500&gt;0,"Has size variants",""),IF(Inventory_Master!C500="ERROR","Validation error",""),IF(Inventory_Master!C500="WARNING","Review warning",""))))</f>
        <v/>
      </c>
      <c r="G500" s="2" t="str">
        <f t="shared" si="18"/>
        <v>NO</v>
      </c>
      <c r="H500" s="2" t="str">
        <f>IF($A500="","",IF(Inventory_Master!R500&lt;&gt;"OK","Invalid Category",IF(Inventory_Master!J500="","Missing Price",IF(Inventory_Master!O500="","Missing Image",IF(Inventory_Master!S500&gt;0,"Size Price Review",IF(Inventory_Master!C500="ERROR","Validation Error",""))))))</f>
        <v/>
      </c>
      <c r="I500" s="2" t="str">
        <f t="shared" si="19"/>
        <v/>
      </c>
      <c r="J500" s="2" t="str">
        <f t="shared" si="20"/>
        <v/>
      </c>
    </row>
  </sheetData>
  <conditionalFormatting sqref="G2:G500">
    <cfRule type="expression" dxfId="0" priority="2">
      <formula>$G2="YES"</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500"/>
  <sheetViews>
    <sheetView workbookViewId="0"/>
  </sheetViews>
  <sheetFormatPr defaultColWidth="8.6640625" defaultRowHeight="13.2" x14ac:dyDescent="0.25"/>
  <cols>
    <col min="1" max="1" width="12" customWidth="1"/>
    <col min="2" max="2" width="20" customWidth="1"/>
    <col min="3" max="3" width="10" customWidth="1"/>
    <col min="4" max="5" width="22" customWidth="1"/>
    <col min="6" max="6" width="14" customWidth="1"/>
    <col min="7" max="7" width="40" customWidth="1"/>
    <col min="8" max="8" width="30" customWidth="1"/>
    <col min="9" max="9" width="45" customWidth="1"/>
    <col min="10" max="10" width="40" customWidth="1"/>
    <col min="11" max="11" width="35" customWidth="1"/>
    <col min="12" max="12" width="55" customWidth="1"/>
    <col min="13" max="13" width="12" customWidth="1"/>
    <col min="14" max="14" width="16" customWidth="1"/>
    <col min="15" max="15" width="10" customWidth="1"/>
    <col min="16" max="16" width="40" customWidth="1"/>
  </cols>
  <sheetData>
    <row r="1" spans="1:16" ht="28.8" customHeight="1" x14ac:dyDescent="0.25">
      <c r="A1" s="3" t="s">
        <v>589</v>
      </c>
      <c r="B1" s="3" t="s">
        <v>590</v>
      </c>
      <c r="C1" s="3" t="s">
        <v>591</v>
      </c>
      <c r="D1" s="3" t="s">
        <v>592</v>
      </c>
      <c r="E1" s="3" t="s">
        <v>573</v>
      </c>
      <c r="F1" s="3" t="s">
        <v>549</v>
      </c>
      <c r="G1" s="3" t="s">
        <v>574</v>
      </c>
      <c r="H1" s="3" t="s">
        <v>593</v>
      </c>
      <c r="I1" s="3" t="s">
        <v>594</v>
      </c>
      <c r="J1" s="3" t="s">
        <v>595</v>
      </c>
      <c r="K1" s="3" t="s">
        <v>596</v>
      </c>
      <c r="L1" s="3" t="s">
        <v>597</v>
      </c>
      <c r="M1" s="3" t="s">
        <v>526</v>
      </c>
      <c r="N1" s="3" t="s">
        <v>598</v>
      </c>
      <c r="O1" s="3" t="s">
        <v>599</v>
      </c>
      <c r="P1" s="3" t="s">
        <v>600</v>
      </c>
    </row>
    <row r="2" spans="1:16" ht="55.8" customHeight="1" x14ac:dyDescent="0.3">
      <c r="A2" s="2" t="s">
        <v>601</v>
      </c>
      <c r="B2" s="2" t="s">
        <v>584</v>
      </c>
      <c r="C2" s="6" t="s">
        <v>585</v>
      </c>
      <c r="D2" s="2" t="s">
        <v>602</v>
      </c>
      <c r="E2" s="2" t="s">
        <v>62</v>
      </c>
      <c r="F2" s="2"/>
      <c r="G2" s="2" t="s">
        <v>63</v>
      </c>
      <c r="H2" s="2" t="s">
        <v>603</v>
      </c>
      <c r="I2" s="5" t="s">
        <v>604</v>
      </c>
      <c r="J2" s="5" t="s">
        <v>605</v>
      </c>
      <c r="K2" s="5" t="s">
        <v>606</v>
      </c>
      <c r="L2" s="5" t="s">
        <v>607</v>
      </c>
      <c r="M2" s="2" t="s">
        <v>586</v>
      </c>
      <c r="N2" s="2" t="s">
        <v>608</v>
      </c>
      <c r="O2" s="2" t="s">
        <v>588</v>
      </c>
      <c r="P2" s="5"/>
    </row>
    <row r="3" spans="1:16" ht="55.8" customHeight="1" x14ac:dyDescent="0.3">
      <c r="A3" s="2" t="s">
        <v>609</v>
      </c>
      <c r="B3" s="2" t="s">
        <v>584</v>
      </c>
      <c r="C3" s="7" t="s">
        <v>610</v>
      </c>
      <c r="D3" s="2" t="s">
        <v>602</v>
      </c>
      <c r="E3" s="2" t="s">
        <v>62</v>
      </c>
      <c r="F3" s="2"/>
      <c r="G3" s="2" t="s">
        <v>63</v>
      </c>
      <c r="H3" s="2" t="s">
        <v>611</v>
      </c>
      <c r="I3" s="5" t="s">
        <v>612</v>
      </c>
      <c r="J3" s="5" t="s">
        <v>613</v>
      </c>
      <c r="K3" s="5" t="s">
        <v>614</v>
      </c>
      <c r="L3" s="5" t="s">
        <v>615</v>
      </c>
      <c r="M3" s="2" t="s">
        <v>586</v>
      </c>
      <c r="N3" s="2" t="s">
        <v>608</v>
      </c>
      <c r="O3" s="2" t="s">
        <v>588</v>
      </c>
      <c r="P3" s="5" t="s">
        <v>616</v>
      </c>
    </row>
    <row r="4" spans="1:16" ht="55.8" customHeight="1" x14ac:dyDescent="0.3">
      <c r="A4" s="2" t="s">
        <v>617</v>
      </c>
      <c r="B4" s="2" t="s">
        <v>584</v>
      </c>
      <c r="C4" s="6" t="s">
        <v>585</v>
      </c>
      <c r="D4" s="2" t="s">
        <v>602</v>
      </c>
      <c r="E4" s="2" t="s">
        <v>81</v>
      </c>
      <c r="F4" s="2"/>
      <c r="G4" s="2" t="s">
        <v>82</v>
      </c>
      <c r="H4" s="2" t="s">
        <v>618</v>
      </c>
      <c r="I4" s="5" t="s">
        <v>619</v>
      </c>
      <c r="J4" s="5" t="s">
        <v>620</v>
      </c>
      <c r="K4" s="5" t="s">
        <v>621</v>
      </c>
      <c r="L4" s="5" t="s">
        <v>622</v>
      </c>
      <c r="M4" s="2" t="s">
        <v>568</v>
      </c>
      <c r="N4" s="2" t="s">
        <v>608</v>
      </c>
      <c r="O4" s="2" t="s">
        <v>588</v>
      </c>
      <c r="P4" s="5" t="s">
        <v>623</v>
      </c>
    </row>
    <row r="5" spans="1:16" ht="55.8" customHeight="1" x14ac:dyDescent="0.3">
      <c r="A5" s="2" t="s">
        <v>624</v>
      </c>
      <c r="B5" s="2" t="s">
        <v>584</v>
      </c>
      <c r="C5" s="6" t="s">
        <v>585</v>
      </c>
      <c r="D5" s="2" t="s">
        <v>602</v>
      </c>
      <c r="E5" s="2" t="s">
        <v>134</v>
      </c>
      <c r="F5" s="2"/>
      <c r="G5" s="2" t="s">
        <v>135</v>
      </c>
      <c r="H5" s="2" t="s">
        <v>625</v>
      </c>
      <c r="I5" s="5" t="s">
        <v>626</v>
      </c>
      <c r="J5" s="5" t="s">
        <v>627</v>
      </c>
      <c r="K5" s="5" t="s">
        <v>628</v>
      </c>
      <c r="L5" s="5" t="s">
        <v>629</v>
      </c>
      <c r="M5" s="2" t="s">
        <v>586</v>
      </c>
      <c r="N5" s="2" t="s">
        <v>608</v>
      </c>
      <c r="O5" s="2" t="s">
        <v>588</v>
      </c>
      <c r="P5" s="5"/>
    </row>
    <row r="6" spans="1:16" ht="55.8" customHeight="1" x14ac:dyDescent="0.3">
      <c r="A6" s="2" t="s">
        <v>630</v>
      </c>
      <c r="B6" s="2" t="s">
        <v>584</v>
      </c>
      <c r="C6" s="6" t="s">
        <v>585</v>
      </c>
      <c r="D6" s="2" t="s">
        <v>602</v>
      </c>
      <c r="E6" s="2" t="s">
        <v>154</v>
      </c>
      <c r="F6" s="2"/>
      <c r="G6" s="2" t="s">
        <v>155</v>
      </c>
      <c r="H6" s="2" t="s">
        <v>618</v>
      </c>
      <c r="I6" s="5" t="s">
        <v>631</v>
      </c>
      <c r="J6" s="5" t="s">
        <v>632</v>
      </c>
      <c r="K6" s="5" t="s">
        <v>633</v>
      </c>
      <c r="L6" s="5" t="s">
        <v>634</v>
      </c>
      <c r="M6" s="2" t="s">
        <v>586</v>
      </c>
      <c r="N6" s="2" t="s">
        <v>608</v>
      </c>
      <c r="O6" s="2" t="s">
        <v>588</v>
      </c>
      <c r="P6" s="5"/>
    </row>
    <row r="7" spans="1:16" ht="55.8" customHeight="1" x14ac:dyDescent="0.3">
      <c r="A7" s="2" t="s">
        <v>635</v>
      </c>
      <c r="B7" s="2" t="s">
        <v>584</v>
      </c>
      <c r="C7" s="6" t="s">
        <v>585</v>
      </c>
      <c r="D7" s="2" t="s">
        <v>602</v>
      </c>
      <c r="E7" s="2" t="s">
        <v>162</v>
      </c>
      <c r="F7" s="2"/>
      <c r="G7" s="2" t="s">
        <v>163</v>
      </c>
      <c r="H7" s="2" t="s">
        <v>618</v>
      </c>
      <c r="I7" s="5" t="s">
        <v>636</v>
      </c>
      <c r="J7" s="5" t="s">
        <v>637</v>
      </c>
      <c r="K7" s="5" t="s">
        <v>638</v>
      </c>
      <c r="L7" s="5" t="s">
        <v>639</v>
      </c>
      <c r="M7" s="2" t="s">
        <v>586</v>
      </c>
      <c r="N7" s="2" t="s">
        <v>608</v>
      </c>
      <c r="O7" s="2" t="s">
        <v>588</v>
      </c>
      <c r="P7" s="5"/>
    </row>
    <row r="8" spans="1:16" ht="55.8" customHeight="1" x14ac:dyDescent="0.3">
      <c r="A8" s="2" t="s">
        <v>640</v>
      </c>
      <c r="B8" s="2" t="s">
        <v>584</v>
      </c>
      <c r="C8" s="6" t="s">
        <v>585</v>
      </c>
      <c r="D8" s="2" t="s">
        <v>602</v>
      </c>
      <c r="E8" s="2" t="s">
        <v>200</v>
      </c>
      <c r="F8" s="2"/>
      <c r="G8" s="2" t="s">
        <v>201</v>
      </c>
      <c r="H8" s="2" t="s">
        <v>618</v>
      </c>
      <c r="I8" s="5" t="s">
        <v>641</v>
      </c>
      <c r="J8" s="5" t="s">
        <v>642</v>
      </c>
      <c r="K8" s="5" t="s">
        <v>643</v>
      </c>
      <c r="L8" s="5" t="s">
        <v>644</v>
      </c>
      <c r="M8" s="2" t="s">
        <v>586</v>
      </c>
      <c r="N8" s="2" t="s">
        <v>608</v>
      </c>
      <c r="O8" s="2" t="s">
        <v>588</v>
      </c>
      <c r="P8" s="5"/>
    </row>
    <row r="9" spans="1:16" ht="55.8" customHeight="1" x14ac:dyDescent="0.3">
      <c r="A9" s="2" t="s">
        <v>645</v>
      </c>
      <c r="B9" s="2" t="s">
        <v>584</v>
      </c>
      <c r="C9" s="6" t="s">
        <v>585</v>
      </c>
      <c r="D9" s="2" t="s">
        <v>602</v>
      </c>
      <c r="E9" s="2" t="s">
        <v>242</v>
      </c>
      <c r="F9" s="2"/>
      <c r="G9" s="2" t="s">
        <v>243</v>
      </c>
      <c r="H9" s="2" t="s">
        <v>646</v>
      </c>
      <c r="I9" s="5" t="s">
        <v>647</v>
      </c>
      <c r="J9" s="5" t="s">
        <v>648</v>
      </c>
      <c r="K9" s="5" t="s">
        <v>649</v>
      </c>
      <c r="L9" s="5" t="s">
        <v>650</v>
      </c>
      <c r="M9" s="2" t="s">
        <v>586</v>
      </c>
      <c r="N9" s="2" t="s">
        <v>608</v>
      </c>
      <c r="O9" s="2" t="s">
        <v>588</v>
      </c>
      <c r="P9" s="5"/>
    </row>
    <row r="10" spans="1:16" ht="55.8" customHeight="1" x14ac:dyDescent="0.3">
      <c r="A10" s="2" t="s">
        <v>651</v>
      </c>
      <c r="B10" s="2" t="s">
        <v>584</v>
      </c>
      <c r="C10" s="6" t="s">
        <v>585</v>
      </c>
      <c r="D10" s="2" t="s">
        <v>602</v>
      </c>
      <c r="E10" s="2" t="s">
        <v>250</v>
      </c>
      <c r="F10" s="2"/>
      <c r="G10" s="2" t="s">
        <v>251</v>
      </c>
      <c r="H10" s="2" t="s">
        <v>618</v>
      </c>
      <c r="I10" s="5" t="s">
        <v>652</v>
      </c>
      <c r="J10" s="5" t="s">
        <v>653</v>
      </c>
      <c r="K10" s="5" t="s">
        <v>654</v>
      </c>
      <c r="L10" s="5" t="s">
        <v>655</v>
      </c>
      <c r="M10" s="2" t="s">
        <v>586</v>
      </c>
      <c r="N10" s="2" t="s">
        <v>608</v>
      </c>
      <c r="O10" s="2" t="s">
        <v>588</v>
      </c>
      <c r="P10" s="5"/>
    </row>
    <row r="11" spans="1:16" ht="55.8" customHeight="1" x14ac:dyDescent="0.3">
      <c r="A11" s="2" t="s">
        <v>656</v>
      </c>
      <c r="B11" s="2" t="s">
        <v>584</v>
      </c>
      <c r="C11" s="6" t="s">
        <v>585</v>
      </c>
      <c r="D11" s="2" t="s">
        <v>602</v>
      </c>
      <c r="E11" s="2" t="s">
        <v>256</v>
      </c>
      <c r="F11" s="2"/>
      <c r="G11" s="2" t="s">
        <v>257</v>
      </c>
      <c r="H11" s="2" t="s">
        <v>646</v>
      </c>
      <c r="I11" s="5" t="s">
        <v>657</v>
      </c>
      <c r="J11" s="5" t="s">
        <v>658</v>
      </c>
      <c r="K11" s="5" t="s">
        <v>659</v>
      </c>
      <c r="L11" s="5" t="s">
        <v>660</v>
      </c>
      <c r="M11" s="2" t="s">
        <v>586</v>
      </c>
      <c r="N11" s="2" t="s">
        <v>608</v>
      </c>
      <c r="O11" s="2" t="s">
        <v>588</v>
      </c>
      <c r="P11" s="5"/>
    </row>
    <row r="12" spans="1:16" ht="55.8" customHeight="1" x14ac:dyDescent="0.3">
      <c r="A12" s="2" t="s">
        <v>661</v>
      </c>
      <c r="B12" s="2" t="s">
        <v>584</v>
      </c>
      <c r="C12" s="6" t="s">
        <v>585</v>
      </c>
      <c r="D12" s="2" t="s">
        <v>602</v>
      </c>
      <c r="E12" s="2" t="s">
        <v>148</v>
      </c>
      <c r="F12" s="2"/>
      <c r="G12" s="2" t="s">
        <v>149</v>
      </c>
      <c r="H12" s="2" t="s">
        <v>618</v>
      </c>
      <c r="I12" s="5" t="s">
        <v>662</v>
      </c>
      <c r="J12" s="5" t="s">
        <v>663</v>
      </c>
      <c r="K12" s="5" t="s">
        <v>664</v>
      </c>
      <c r="L12" s="5" t="s">
        <v>665</v>
      </c>
      <c r="M12" s="2" t="s">
        <v>586</v>
      </c>
      <c r="N12" s="2" t="s">
        <v>608</v>
      </c>
      <c r="O12" s="2" t="s">
        <v>588</v>
      </c>
      <c r="P12" s="5"/>
    </row>
    <row r="13" spans="1:16" ht="55.8" customHeight="1" x14ac:dyDescent="0.3">
      <c r="A13" s="2" t="s">
        <v>666</v>
      </c>
      <c r="B13" s="2" t="s">
        <v>667</v>
      </c>
      <c r="C13" s="7" t="s">
        <v>610</v>
      </c>
      <c r="D13" s="2" t="s">
        <v>668</v>
      </c>
      <c r="E13" s="2" t="s">
        <v>221</v>
      </c>
      <c r="F13" s="2"/>
      <c r="G13" s="2" t="s">
        <v>135</v>
      </c>
      <c r="H13" s="2" t="s">
        <v>49</v>
      </c>
      <c r="I13" s="5" t="s">
        <v>669</v>
      </c>
      <c r="J13" s="5" t="s">
        <v>670</v>
      </c>
      <c r="K13" s="5" t="s">
        <v>671</v>
      </c>
      <c r="L13" s="5" t="s">
        <v>672</v>
      </c>
      <c r="M13" s="2" t="s">
        <v>568</v>
      </c>
      <c r="N13" s="2" t="s">
        <v>673</v>
      </c>
      <c r="O13" s="2" t="s">
        <v>588</v>
      </c>
      <c r="P13" s="5" t="s">
        <v>674</v>
      </c>
    </row>
    <row r="14" spans="1:16" ht="55.8" customHeight="1" x14ac:dyDescent="0.3">
      <c r="A14" s="2" t="s">
        <v>675</v>
      </c>
      <c r="B14" s="2" t="s">
        <v>667</v>
      </c>
      <c r="C14" s="7" t="s">
        <v>610</v>
      </c>
      <c r="D14" s="2" t="s">
        <v>668</v>
      </c>
      <c r="E14" s="2" t="s">
        <v>226</v>
      </c>
      <c r="F14" s="2"/>
      <c r="G14" s="2" t="s">
        <v>227</v>
      </c>
      <c r="H14" s="2" t="s">
        <v>49</v>
      </c>
      <c r="I14" s="5" t="s">
        <v>676</v>
      </c>
      <c r="J14" s="5" t="s">
        <v>677</v>
      </c>
      <c r="K14" s="5" t="s">
        <v>671</v>
      </c>
      <c r="L14" s="5" t="s">
        <v>678</v>
      </c>
      <c r="M14" s="2" t="s">
        <v>568</v>
      </c>
      <c r="N14" s="2" t="s">
        <v>673</v>
      </c>
      <c r="O14" s="2" t="s">
        <v>588</v>
      </c>
      <c r="P14" s="5" t="s">
        <v>679</v>
      </c>
    </row>
    <row r="15" spans="1:16" ht="55.8" customHeight="1" x14ac:dyDescent="0.3">
      <c r="A15" s="2" t="s">
        <v>680</v>
      </c>
      <c r="B15" s="2" t="s">
        <v>681</v>
      </c>
      <c r="C15" s="8" t="s">
        <v>682</v>
      </c>
      <c r="D15" s="2" t="s">
        <v>10</v>
      </c>
      <c r="E15" s="2" t="s">
        <v>100</v>
      </c>
      <c r="F15" s="2"/>
      <c r="G15" s="2" t="s">
        <v>101</v>
      </c>
      <c r="H15" s="2" t="s">
        <v>53</v>
      </c>
      <c r="I15" s="5" t="s">
        <v>103</v>
      </c>
      <c r="J15" s="5" t="s">
        <v>67</v>
      </c>
      <c r="K15" s="5" t="s">
        <v>67</v>
      </c>
      <c r="L15" s="5" t="s">
        <v>683</v>
      </c>
      <c r="M15" s="2" t="s">
        <v>568</v>
      </c>
      <c r="N15" s="2" t="s">
        <v>684</v>
      </c>
      <c r="O15" s="2" t="s">
        <v>588</v>
      </c>
      <c r="P15" s="5"/>
    </row>
    <row r="16" spans="1:16" ht="55.8" customHeight="1" x14ac:dyDescent="0.3">
      <c r="A16" s="2" t="s">
        <v>685</v>
      </c>
      <c r="B16" s="2" t="s">
        <v>681</v>
      </c>
      <c r="C16" s="8" t="s">
        <v>682</v>
      </c>
      <c r="D16" s="2" t="s">
        <v>10</v>
      </c>
      <c r="E16" s="2" t="s">
        <v>278</v>
      </c>
      <c r="F16" s="2"/>
      <c r="G16" s="2" t="s">
        <v>279</v>
      </c>
      <c r="H16" s="2" t="s">
        <v>53</v>
      </c>
      <c r="I16" s="5" t="s">
        <v>103</v>
      </c>
      <c r="J16" s="5" t="s">
        <v>67</v>
      </c>
      <c r="K16" s="5" t="s">
        <v>67</v>
      </c>
      <c r="L16" s="5" t="s">
        <v>686</v>
      </c>
      <c r="M16" s="2" t="s">
        <v>568</v>
      </c>
      <c r="N16" s="2" t="s">
        <v>684</v>
      </c>
      <c r="O16" s="2" t="s">
        <v>588</v>
      </c>
      <c r="P16" s="5"/>
    </row>
    <row r="17" spans="1:16" ht="55.8" customHeight="1" x14ac:dyDescent="0.3">
      <c r="A17" s="2" t="s">
        <v>687</v>
      </c>
      <c r="B17" s="2" t="s">
        <v>681</v>
      </c>
      <c r="C17" s="8" t="s">
        <v>682</v>
      </c>
      <c r="D17" s="2" t="s">
        <v>10</v>
      </c>
      <c r="E17" s="2" t="s">
        <v>284</v>
      </c>
      <c r="F17" s="2"/>
      <c r="G17" s="2" t="s">
        <v>285</v>
      </c>
      <c r="H17" s="2" t="s">
        <v>53</v>
      </c>
      <c r="I17" s="5" t="s">
        <v>103</v>
      </c>
      <c r="J17" s="5" t="s">
        <v>67</v>
      </c>
      <c r="K17" s="5" t="s">
        <v>67</v>
      </c>
      <c r="L17" s="5" t="s">
        <v>686</v>
      </c>
      <c r="M17" s="2" t="s">
        <v>568</v>
      </c>
      <c r="N17" s="2" t="s">
        <v>684</v>
      </c>
      <c r="O17" s="2" t="s">
        <v>588</v>
      </c>
      <c r="P17" s="5"/>
    </row>
    <row r="18" spans="1:16" ht="55.8" customHeight="1" x14ac:dyDescent="0.3">
      <c r="A18" s="2" t="s">
        <v>688</v>
      </c>
      <c r="B18" s="2" t="s">
        <v>681</v>
      </c>
      <c r="C18" s="6" t="s">
        <v>585</v>
      </c>
      <c r="D18" s="2" t="s">
        <v>668</v>
      </c>
      <c r="E18" s="2" t="s">
        <v>182</v>
      </c>
      <c r="F18" s="2"/>
      <c r="G18" s="2" t="s">
        <v>183</v>
      </c>
      <c r="H18" s="2" t="s">
        <v>53</v>
      </c>
      <c r="I18" s="5" t="s">
        <v>185</v>
      </c>
      <c r="J18" s="5" t="s">
        <v>689</v>
      </c>
      <c r="K18" s="5" t="s">
        <v>690</v>
      </c>
      <c r="L18" s="5" t="s">
        <v>691</v>
      </c>
      <c r="M18" s="2" t="s">
        <v>568</v>
      </c>
      <c r="N18" s="2" t="s">
        <v>673</v>
      </c>
      <c r="O18" s="2" t="s">
        <v>588</v>
      </c>
      <c r="P18" s="5" t="s">
        <v>692</v>
      </c>
    </row>
    <row r="19" spans="1:16" ht="55.8" customHeight="1" x14ac:dyDescent="0.3">
      <c r="A19" s="2" t="s">
        <v>693</v>
      </c>
      <c r="B19" s="2" t="s">
        <v>681</v>
      </c>
      <c r="C19" s="8" t="s">
        <v>682</v>
      </c>
      <c r="D19" s="2" t="s">
        <v>10</v>
      </c>
      <c r="E19" s="2" t="s">
        <v>76</v>
      </c>
      <c r="F19" s="2"/>
      <c r="G19" s="2" t="s">
        <v>77</v>
      </c>
      <c r="H19" s="2" t="s">
        <v>58</v>
      </c>
      <c r="I19" s="5" t="s">
        <v>694</v>
      </c>
      <c r="J19" s="5" t="s">
        <v>695</v>
      </c>
      <c r="K19" s="5" t="s">
        <v>696</v>
      </c>
      <c r="L19" s="5" t="s">
        <v>697</v>
      </c>
      <c r="M19" s="2" t="s">
        <v>586</v>
      </c>
      <c r="N19" s="2" t="s">
        <v>608</v>
      </c>
      <c r="O19" s="2" t="s">
        <v>588</v>
      </c>
      <c r="P19" s="5" t="s">
        <v>698</v>
      </c>
    </row>
    <row r="20" spans="1:16" ht="55.8" customHeight="1" x14ac:dyDescent="0.3">
      <c r="A20" s="2" t="s">
        <v>699</v>
      </c>
      <c r="B20" s="2" t="s">
        <v>681</v>
      </c>
      <c r="C20" s="6" t="s">
        <v>585</v>
      </c>
      <c r="D20" s="2" t="s">
        <v>668</v>
      </c>
      <c r="E20" s="2" t="s">
        <v>81</v>
      </c>
      <c r="F20" s="2"/>
      <c r="G20" s="2" t="s">
        <v>82</v>
      </c>
      <c r="H20" s="2" t="s">
        <v>52</v>
      </c>
      <c r="I20" s="5" t="s">
        <v>700</v>
      </c>
      <c r="J20" s="5" t="s">
        <v>701</v>
      </c>
      <c r="K20" s="5" t="s">
        <v>702</v>
      </c>
      <c r="L20" s="5" t="s">
        <v>703</v>
      </c>
      <c r="M20" s="2" t="s">
        <v>568</v>
      </c>
      <c r="N20" s="2" t="s">
        <v>684</v>
      </c>
      <c r="O20" s="2" t="s">
        <v>588</v>
      </c>
      <c r="P20" s="5" t="s">
        <v>704</v>
      </c>
    </row>
    <row r="21" spans="1:16" ht="55.8" customHeight="1" x14ac:dyDescent="0.3">
      <c r="A21" s="2" t="s">
        <v>705</v>
      </c>
      <c r="B21" s="2" t="s">
        <v>681</v>
      </c>
      <c r="C21" s="6" t="s">
        <v>585</v>
      </c>
      <c r="D21" s="2" t="s">
        <v>668</v>
      </c>
      <c r="E21" s="2" t="s">
        <v>235</v>
      </c>
      <c r="F21" s="2"/>
      <c r="G21" s="2" t="s">
        <v>706</v>
      </c>
      <c r="H21" s="2" t="s">
        <v>53</v>
      </c>
      <c r="I21" s="5" t="s">
        <v>67</v>
      </c>
      <c r="J21" s="5" t="s">
        <v>229</v>
      </c>
      <c r="K21" s="5" t="s">
        <v>707</v>
      </c>
      <c r="L21" s="5" t="s">
        <v>708</v>
      </c>
      <c r="M21" s="2" t="s">
        <v>568</v>
      </c>
      <c r="N21" s="2" t="s">
        <v>684</v>
      </c>
      <c r="O21" s="2" t="s">
        <v>588</v>
      </c>
      <c r="P21" s="5" t="s">
        <v>709</v>
      </c>
    </row>
    <row r="22" spans="1:16" ht="55.8" customHeight="1" x14ac:dyDescent="0.3">
      <c r="A22" s="2" t="s">
        <v>710</v>
      </c>
      <c r="B22" s="2" t="s">
        <v>584</v>
      </c>
      <c r="C22" s="6" t="s">
        <v>585</v>
      </c>
      <c r="D22" s="2" t="s">
        <v>602</v>
      </c>
      <c r="E22" s="2" t="s">
        <v>108</v>
      </c>
      <c r="F22" s="2"/>
      <c r="G22" s="2" t="s">
        <v>109</v>
      </c>
      <c r="H22" s="2" t="s">
        <v>711</v>
      </c>
      <c r="I22" s="5" t="s">
        <v>712</v>
      </c>
      <c r="J22" s="5" t="s">
        <v>713</v>
      </c>
      <c r="K22" s="5" t="s">
        <v>714</v>
      </c>
      <c r="L22" s="5" t="s">
        <v>715</v>
      </c>
      <c r="M22" s="2" t="s">
        <v>586</v>
      </c>
      <c r="N22" s="2" t="s">
        <v>608</v>
      </c>
      <c r="O22" s="2" t="s">
        <v>588</v>
      </c>
      <c r="P22" s="5" t="s">
        <v>716</v>
      </c>
    </row>
    <row r="23" spans="1:16" ht="55.8" customHeight="1" x14ac:dyDescent="0.3">
      <c r="A23" s="2" t="s">
        <v>717</v>
      </c>
      <c r="B23" s="2" t="s">
        <v>584</v>
      </c>
      <c r="C23" s="6" t="s">
        <v>585</v>
      </c>
      <c r="D23" s="2" t="s">
        <v>602</v>
      </c>
      <c r="E23" s="2" t="s">
        <v>206</v>
      </c>
      <c r="F23" s="2"/>
      <c r="G23" s="2" t="s">
        <v>207</v>
      </c>
      <c r="H23" s="2" t="s">
        <v>718</v>
      </c>
      <c r="I23" s="5" t="s">
        <v>719</v>
      </c>
      <c r="J23" s="5" t="s">
        <v>720</v>
      </c>
      <c r="K23" s="5" t="s">
        <v>721</v>
      </c>
      <c r="L23" s="5" t="s">
        <v>722</v>
      </c>
      <c r="M23" s="2" t="s">
        <v>586</v>
      </c>
      <c r="N23" s="2" t="s">
        <v>608</v>
      </c>
      <c r="O23" s="2" t="s">
        <v>588</v>
      </c>
      <c r="P23" s="5" t="s">
        <v>723</v>
      </c>
    </row>
    <row r="24" spans="1:16" ht="55.8" customHeight="1" x14ac:dyDescent="0.3">
      <c r="A24" s="2" t="s">
        <v>724</v>
      </c>
      <c r="B24" s="2" t="s">
        <v>584</v>
      </c>
      <c r="C24" s="6" t="s">
        <v>585</v>
      </c>
      <c r="D24" s="2" t="s">
        <v>602</v>
      </c>
      <c r="E24" s="2" t="s">
        <v>270</v>
      </c>
      <c r="F24" s="2"/>
      <c r="G24" s="2" t="s">
        <v>271</v>
      </c>
      <c r="H24" s="2" t="s">
        <v>711</v>
      </c>
      <c r="I24" s="5" t="s">
        <v>725</v>
      </c>
      <c r="J24" s="5" t="s">
        <v>720</v>
      </c>
      <c r="K24" s="5" t="s">
        <v>726</v>
      </c>
      <c r="L24" s="5" t="s">
        <v>727</v>
      </c>
      <c r="M24" s="2" t="s">
        <v>586</v>
      </c>
      <c r="N24" s="2" t="s">
        <v>608</v>
      </c>
      <c r="O24" s="2" t="s">
        <v>588</v>
      </c>
      <c r="P24" s="5"/>
    </row>
    <row r="25" spans="1:16" ht="96" customHeight="1" x14ac:dyDescent="0.3">
      <c r="A25" s="2" t="s">
        <v>728</v>
      </c>
      <c r="B25" s="2" t="s">
        <v>584</v>
      </c>
      <c r="C25" s="7" t="s">
        <v>610</v>
      </c>
      <c r="D25" s="2" t="s">
        <v>16</v>
      </c>
      <c r="E25" s="5" t="s">
        <v>729</v>
      </c>
      <c r="F25" s="2"/>
      <c r="G25" s="2" t="s">
        <v>730</v>
      </c>
      <c r="H25" s="2" t="s">
        <v>731</v>
      </c>
      <c r="I25" s="5" t="s">
        <v>732</v>
      </c>
      <c r="J25" s="5" t="s">
        <v>733</v>
      </c>
      <c r="K25" s="5" t="s">
        <v>734</v>
      </c>
      <c r="L25" s="5" t="s">
        <v>735</v>
      </c>
      <c r="M25" s="2" t="s">
        <v>586</v>
      </c>
      <c r="N25" s="2" t="s">
        <v>736</v>
      </c>
      <c r="O25" s="2" t="s">
        <v>588</v>
      </c>
      <c r="P25" s="5" t="s">
        <v>737</v>
      </c>
    </row>
    <row r="26" spans="1:16" ht="12" customHeight="1" x14ac:dyDescent="0.3">
      <c r="A26" s="2" t="str">
        <f t="shared" ref="A26:A89" si="0">IF(B26&lt;&gt;"","REC-"&amp;TEXT(ROW()-1,"000"),"")</f>
        <v/>
      </c>
      <c r="B26" s="2"/>
      <c r="C26" s="2"/>
      <c r="D26" s="2"/>
      <c r="E26" s="2"/>
      <c r="F26" s="2"/>
      <c r="G26" s="2"/>
      <c r="H26" s="2"/>
      <c r="I26" s="2"/>
      <c r="J26" s="2"/>
      <c r="K26" s="2"/>
      <c r="L26" s="2"/>
      <c r="M26" s="2"/>
      <c r="N26" s="2"/>
      <c r="O26" s="2"/>
      <c r="P26" s="2"/>
    </row>
    <row r="27" spans="1:16" ht="12" customHeight="1" x14ac:dyDescent="0.3">
      <c r="A27" s="2" t="str">
        <f t="shared" si="0"/>
        <v/>
      </c>
      <c r="B27" s="2"/>
      <c r="C27" s="2"/>
      <c r="D27" s="2"/>
      <c r="E27" s="2"/>
      <c r="F27" s="2"/>
      <c r="G27" s="2"/>
      <c r="H27" s="2"/>
      <c r="I27" s="2"/>
      <c r="J27" s="2"/>
      <c r="K27" s="2"/>
      <c r="L27" s="2"/>
      <c r="M27" s="2"/>
      <c r="N27" s="2"/>
      <c r="O27" s="2"/>
      <c r="P27" s="2"/>
    </row>
    <row r="28" spans="1:16" ht="12" customHeight="1" x14ac:dyDescent="0.3">
      <c r="A28" s="2" t="str">
        <f t="shared" si="0"/>
        <v/>
      </c>
      <c r="B28" s="2"/>
      <c r="C28" s="2"/>
      <c r="D28" s="2"/>
      <c r="E28" s="2"/>
      <c r="F28" s="2"/>
      <c r="G28" s="2"/>
      <c r="H28" s="2"/>
      <c r="I28" s="2"/>
      <c r="J28" s="2"/>
      <c r="K28" s="2"/>
      <c r="L28" s="2"/>
      <c r="M28" s="2"/>
      <c r="N28" s="2"/>
      <c r="O28" s="2"/>
      <c r="P28" s="2"/>
    </row>
    <row r="29" spans="1:16" ht="12" customHeight="1" x14ac:dyDescent="0.3">
      <c r="A29" s="2" t="str">
        <f t="shared" si="0"/>
        <v/>
      </c>
      <c r="B29" s="2"/>
      <c r="C29" s="2"/>
      <c r="D29" s="2"/>
      <c r="E29" s="2"/>
      <c r="F29" s="2"/>
      <c r="G29" s="2"/>
      <c r="H29" s="2"/>
      <c r="I29" s="2"/>
      <c r="J29" s="2"/>
      <c r="K29" s="2"/>
      <c r="L29" s="2"/>
      <c r="M29" s="2"/>
      <c r="N29" s="2"/>
      <c r="O29" s="2"/>
      <c r="P29" s="2"/>
    </row>
    <row r="30" spans="1:16" ht="12" customHeight="1" x14ac:dyDescent="0.3">
      <c r="A30" s="2" t="str">
        <f t="shared" si="0"/>
        <v/>
      </c>
      <c r="B30" s="2"/>
      <c r="C30" s="2"/>
      <c r="D30" s="2"/>
      <c r="E30" s="2"/>
      <c r="F30" s="2"/>
      <c r="G30" s="2"/>
      <c r="H30" s="2"/>
      <c r="I30" s="2"/>
      <c r="J30" s="2"/>
      <c r="K30" s="2"/>
      <c r="L30" s="2"/>
      <c r="M30" s="2"/>
      <c r="N30" s="2"/>
      <c r="O30" s="2"/>
      <c r="P30" s="2"/>
    </row>
    <row r="31" spans="1:16" ht="12" customHeight="1" x14ac:dyDescent="0.3">
      <c r="A31" s="2" t="str">
        <f t="shared" si="0"/>
        <v/>
      </c>
      <c r="B31" s="2"/>
      <c r="C31" s="2"/>
      <c r="D31" s="2"/>
      <c r="E31" s="2"/>
      <c r="F31" s="2"/>
      <c r="G31" s="2"/>
      <c r="H31" s="2"/>
      <c r="I31" s="2"/>
      <c r="J31" s="2"/>
      <c r="K31" s="2"/>
      <c r="L31" s="2"/>
      <c r="M31" s="2"/>
      <c r="N31" s="2"/>
      <c r="O31" s="2"/>
      <c r="P31" s="2"/>
    </row>
    <row r="32" spans="1:16" ht="12" customHeight="1" x14ac:dyDescent="0.3">
      <c r="A32" s="2" t="str">
        <f t="shared" si="0"/>
        <v/>
      </c>
      <c r="B32" s="2"/>
      <c r="C32" s="2"/>
      <c r="D32" s="2"/>
      <c r="E32" s="2"/>
      <c r="F32" s="2"/>
      <c r="G32" s="2"/>
      <c r="H32" s="2"/>
      <c r="I32" s="2"/>
      <c r="J32" s="2"/>
      <c r="K32" s="2"/>
      <c r="L32" s="2"/>
      <c r="M32" s="2"/>
      <c r="N32" s="2"/>
      <c r="O32" s="2"/>
      <c r="P32" s="2"/>
    </row>
    <row r="33" spans="1:16" ht="12" customHeight="1" x14ac:dyDescent="0.3">
      <c r="A33" s="2" t="str">
        <f t="shared" si="0"/>
        <v/>
      </c>
      <c r="B33" s="2"/>
      <c r="C33" s="2"/>
      <c r="D33" s="2"/>
      <c r="E33" s="2"/>
      <c r="F33" s="2"/>
      <c r="G33" s="2"/>
      <c r="H33" s="2"/>
      <c r="I33" s="2"/>
      <c r="J33" s="2"/>
      <c r="K33" s="2"/>
      <c r="L33" s="2"/>
      <c r="M33" s="2"/>
      <c r="N33" s="2"/>
      <c r="O33" s="2"/>
      <c r="P33" s="2"/>
    </row>
    <row r="34" spans="1:16" ht="12" customHeight="1" x14ac:dyDescent="0.3">
      <c r="A34" s="2" t="str">
        <f t="shared" si="0"/>
        <v/>
      </c>
      <c r="B34" s="2"/>
      <c r="C34" s="2"/>
      <c r="D34" s="2"/>
      <c r="E34" s="2"/>
      <c r="F34" s="2"/>
      <c r="G34" s="2"/>
      <c r="H34" s="2"/>
      <c r="I34" s="2"/>
      <c r="J34" s="2"/>
      <c r="K34" s="2"/>
      <c r="L34" s="2"/>
      <c r="M34" s="2"/>
      <c r="N34" s="2"/>
      <c r="O34" s="2"/>
      <c r="P34" s="2"/>
    </row>
    <row r="35" spans="1:16" ht="12" customHeight="1" x14ac:dyDescent="0.3">
      <c r="A35" s="2" t="str">
        <f t="shared" si="0"/>
        <v/>
      </c>
      <c r="B35" s="2"/>
      <c r="C35" s="2"/>
      <c r="D35" s="2"/>
      <c r="E35" s="2"/>
      <c r="F35" s="2"/>
      <c r="G35" s="2"/>
      <c r="H35" s="2"/>
      <c r="I35" s="2"/>
      <c r="J35" s="2"/>
      <c r="K35" s="2"/>
      <c r="L35" s="2"/>
      <c r="M35" s="2"/>
      <c r="N35" s="2"/>
      <c r="O35" s="2"/>
      <c r="P35" s="2"/>
    </row>
    <row r="36" spans="1:16" ht="12" customHeight="1" x14ac:dyDescent="0.3">
      <c r="A36" s="2" t="str">
        <f t="shared" si="0"/>
        <v/>
      </c>
      <c r="B36" s="2"/>
      <c r="C36" s="2"/>
      <c r="D36" s="2"/>
      <c r="E36" s="2"/>
      <c r="F36" s="2"/>
      <c r="G36" s="2"/>
      <c r="H36" s="2"/>
      <c r="I36" s="2"/>
      <c r="J36" s="2"/>
      <c r="K36" s="2"/>
      <c r="L36" s="2"/>
      <c r="M36" s="2"/>
      <c r="N36" s="2"/>
      <c r="O36" s="2"/>
      <c r="P36" s="2"/>
    </row>
    <row r="37" spans="1:16" ht="12" customHeight="1" x14ac:dyDescent="0.3">
      <c r="A37" s="2" t="str">
        <f t="shared" si="0"/>
        <v/>
      </c>
      <c r="B37" s="2"/>
      <c r="C37" s="2"/>
      <c r="D37" s="2"/>
      <c r="E37" s="2"/>
      <c r="F37" s="2"/>
      <c r="G37" s="2"/>
      <c r="H37" s="2"/>
      <c r="I37" s="2"/>
      <c r="J37" s="2"/>
      <c r="K37" s="2"/>
      <c r="L37" s="2"/>
      <c r="M37" s="2"/>
      <c r="N37" s="2"/>
      <c r="O37" s="2"/>
      <c r="P37" s="2"/>
    </row>
    <row r="38" spans="1:16" ht="12" customHeight="1" x14ac:dyDescent="0.3">
      <c r="A38" s="2" t="str">
        <f t="shared" si="0"/>
        <v/>
      </c>
      <c r="B38" s="2"/>
      <c r="C38" s="2"/>
      <c r="D38" s="2"/>
      <c r="E38" s="2"/>
      <c r="F38" s="2"/>
      <c r="G38" s="2"/>
      <c r="H38" s="2"/>
      <c r="I38" s="2"/>
      <c r="J38" s="2"/>
      <c r="K38" s="2"/>
      <c r="L38" s="2"/>
      <c r="M38" s="2"/>
      <c r="N38" s="2"/>
      <c r="O38" s="2"/>
      <c r="P38" s="2"/>
    </row>
    <row r="39" spans="1:16" ht="12" customHeight="1" x14ac:dyDescent="0.3">
      <c r="A39" s="2" t="str">
        <f t="shared" si="0"/>
        <v/>
      </c>
      <c r="B39" s="2"/>
      <c r="C39" s="2"/>
      <c r="D39" s="2"/>
      <c r="E39" s="2"/>
      <c r="F39" s="2"/>
      <c r="G39" s="2"/>
      <c r="H39" s="2"/>
      <c r="I39" s="2"/>
      <c r="J39" s="2"/>
      <c r="K39" s="2"/>
      <c r="L39" s="2"/>
      <c r="M39" s="2"/>
      <c r="N39" s="2"/>
      <c r="O39" s="2"/>
      <c r="P39" s="2"/>
    </row>
    <row r="40" spans="1:16" ht="12" customHeight="1" x14ac:dyDescent="0.3">
      <c r="A40" s="2" t="str">
        <f t="shared" si="0"/>
        <v/>
      </c>
      <c r="B40" s="2"/>
      <c r="C40" s="2"/>
      <c r="D40" s="2"/>
      <c r="E40" s="2"/>
      <c r="F40" s="2"/>
      <c r="G40" s="2"/>
      <c r="H40" s="2"/>
      <c r="I40" s="2"/>
      <c r="J40" s="2"/>
      <c r="K40" s="2"/>
      <c r="L40" s="2"/>
      <c r="M40" s="2"/>
      <c r="N40" s="2"/>
      <c r="O40" s="2"/>
      <c r="P40" s="2"/>
    </row>
    <row r="41" spans="1:16" ht="12" customHeight="1" x14ac:dyDescent="0.3">
      <c r="A41" s="2" t="str">
        <f t="shared" si="0"/>
        <v/>
      </c>
      <c r="B41" s="2"/>
      <c r="C41" s="2"/>
      <c r="D41" s="2"/>
      <c r="E41" s="2"/>
      <c r="F41" s="2"/>
      <c r="G41" s="2"/>
      <c r="H41" s="2"/>
      <c r="I41" s="2"/>
      <c r="J41" s="2"/>
      <c r="K41" s="2"/>
      <c r="L41" s="2"/>
      <c r="M41" s="2"/>
      <c r="N41" s="2"/>
      <c r="O41" s="2"/>
      <c r="P41" s="2"/>
    </row>
    <row r="42" spans="1:16" ht="12" customHeight="1" x14ac:dyDescent="0.3">
      <c r="A42" s="2" t="str">
        <f t="shared" si="0"/>
        <v/>
      </c>
      <c r="B42" s="2"/>
      <c r="C42" s="2"/>
      <c r="D42" s="2"/>
      <c r="E42" s="2"/>
      <c r="F42" s="2"/>
      <c r="G42" s="2"/>
      <c r="H42" s="2"/>
      <c r="I42" s="2"/>
      <c r="J42" s="2"/>
      <c r="K42" s="2"/>
      <c r="L42" s="2"/>
      <c r="M42" s="2"/>
      <c r="N42" s="2"/>
      <c r="O42" s="2"/>
      <c r="P42" s="2"/>
    </row>
    <row r="43" spans="1:16" ht="12" customHeight="1" x14ac:dyDescent="0.3">
      <c r="A43" s="2" t="str">
        <f t="shared" si="0"/>
        <v/>
      </c>
      <c r="B43" s="2"/>
      <c r="C43" s="2"/>
      <c r="D43" s="2"/>
      <c r="E43" s="2"/>
      <c r="F43" s="2"/>
      <c r="G43" s="2"/>
      <c r="H43" s="2"/>
      <c r="I43" s="2"/>
      <c r="J43" s="2"/>
      <c r="K43" s="2"/>
      <c r="L43" s="2"/>
      <c r="M43" s="2"/>
      <c r="N43" s="2"/>
      <c r="O43" s="2"/>
      <c r="P43" s="2"/>
    </row>
    <row r="44" spans="1:16" ht="12" customHeight="1" x14ac:dyDescent="0.3">
      <c r="A44" s="2" t="str">
        <f t="shared" si="0"/>
        <v/>
      </c>
      <c r="B44" s="2"/>
      <c r="C44" s="2"/>
      <c r="D44" s="2"/>
      <c r="E44" s="2"/>
      <c r="F44" s="2"/>
      <c r="G44" s="2"/>
      <c r="H44" s="2"/>
      <c r="I44" s="2"/>
      <c r="J44" s="2"/>
      <c r="K44" s="2"/>
      <c r="L44" s="2"/>
      <c r="M44" s="2"/>
      <c r="N44" s="2"/>
      <c r="O44" s="2"/>
      <c r="P44" s="2"/>
    </row>
    <row r="45" spans="1:16" ht="12" customHeight="1" x14ac:dyDescent="0.3">
      <c r="A45" s="2" t="str">
        <f t="shared" si="0"/>
        <v/>
      </c>
      <c r="B45" s="2"/>
      <c r="C45" s="2"/>
      <c r="D45" s="2"/>
      <c r="E45" s="2"/>
      <c r="F45" s="2"/>
      <c r="G45" s="2"/>
      <c r="H45" s="2"/>
      <c r="I45" s="2"/>
      <c r="J45" s="2"/>
      <c r="K45" s="2"/>
      <c r="L45" s="2"/>
      <c r="M45" s="2"/>
      <c r="N45" s="2"/>
      <c r="O45" s="2"/>
      <c r="P45" s="2"/>
    </row>
    <row r="46" spans="1:16" ht="12" customHeight="1" x14ac:dyDescent="0.3">
      <c r="A46" s="2" t="str">
        <f t="shared" si="0"/>
        <v/>
      </c>
      <c r="B46" s="2"/>
      <c r="C46" s="2"/>
      <c r="D46" s="2"/>
      <c r="E46" s="2"/>
      <c r="F46" s="2"/>
      <c r="G46" s="2"/>
      <c r="H46" s="2"/>
      <c r="I46" s="2"/>
      <c r="J46" s="2"/>
      <c r="K46" s="2"/>
      <c r="L46" s="2"/>
      <c r="M46" s="2"/>
      <c r="N46" s="2"/>
      <c r="O46" s="2"/>
      <c r="P46" s="2"/>
    </row>
    <row r="47" spans="1:16" ht="12" customHeight="1" x14ac:dyDescent="0.3">
      <c r="A47" s="2" t="str">
        <f t="shared" si="0"/>
        <v/>
      </c>
      <c r="B47" s="2"/>
      <c r="C47" s="2"/>
      <c r="D47" s="2"/>
      <c r="E47" s="2"/>
      <c r="F47" s="2"/>
      <c r="G47" s="2"/>
      <c r="H47" s="2"/>
      <c r="I47" s="2"/>
      <c r="J47" s="2"/>
      <c r="K47" s="2"/>
      <c r="L47" s="2"/>
      <c r="M47" s="2"/>
      <c r="N47" s="2"/>
      <c r="O47" s="2"/>
      <c r="P47" s="2"/>
    </row>
    <row r="48" spans="1:16" ht="12" customHeight="1" x14ac:dyDescent="0.3">
      <c r="A48" s="2" t="str">
        <f t="shared" si="0"/>
        <v/>
      </c>
      <c r="B48" s="2"/>
      <c r="C48" s="2"/>
      <c r="D48" s="2"/>
      <c r="E48" s="2"/>
      <c r="F48" s="2"/>
      <c r="G48" s="2"/>
      <c r="H48" s="2"/>
      <c r="I48" s="2"/>
      <c r="J48" s="2"/>
      <c r="K48" s="2"/>
      <c r="L48" s="2"/>
      <c r="M48" s="2"/>
      <c r="N48" s="2"/>
      <c r="O48" s="2"/>
      <c r="P48" s="2"/>
    </row>
    <row r="49" spans="1:16" ht="12" customHeight="1" x14ac:dyDescent="0.3">
      <c r="A49" s="2" t="str">
        <f t="shared" si="0"/>
        <v/>
      </c>
      <c r="B49" s="2"/>
      <c r="C49" s="2"/>
      <c r="D49" s="2"/>
      <c r="E49" s="2"/>
      <c r="F49" s="2"/>
      <c r="G49" s="2"/>
      <c r="H49" s="2"/>
      <c r="I49" s="2"/>
      <c r="J49" s="2"/>
      <c r="K49" s="2"/>
      <c r="L49" s="2"/>
      <c r="M49" s="2"/>
      <c r="N49" s="2"/>
      <c r="O49" s="2"/>
      <c r="P49" s="2"/>
    </row>
    <row r="50" spans="1:16" ht="12" customHeight="1" x14ac:dyDescent="0.3">
      <c r="A50" s="2" t="str">
        <f t="shared" si="0"/>
        <v/>
      </c>
      <c r="B50" s="2"/>
      <c r="C50" s="2"/>
      <c r="D50" s="2"/>
      <c r="E50" s="2"/>
      <c r="F50" s="2"/>
      <c r="G50" s="2"/>
      <c r="H50" s="2"/>
      <c r="I50" s="2"/>
      <c r="J50" s="2"/>
      <c r="K50" s="2"/>
      <c r="L50" s="2"/>
      <c r="M50" s="2"/>
      <c r="N50" s="2"/>
      <c r="O50" s="2"/>
      <c r="P50" s="2"/>
    </row>
    <row r="51" spans="1:16" ht="12" customHeight="1" x14ac:dyDescent="0.3">
      <c r="A51" s="2" t="str">
        <f t="shared" si="0"/>
        <v/>
      </c>
      <c r="B51" s="2"/>
      <c r="C51" s="2"/>
      <c r="D51" s="2"/>
      <c r="E51" s="2"/>
      <c r="F51" s="2"/>
      <c r="G51" s="2"/>
      <c r="H51" s="2"/>
      <c r="I51" s="2"/>
      <c r="J51" s="2"/>
      <c r="K51" s="2"/>
      <c r="L51" s="2"/>
      <c r="M51" s="2"/>
      <c r="N51" s="2"/>
      <c r="O51" s="2"/>
      <c r="P51" s="2"/>
    </row>
    <row r="52" spans="1:16" ht="12" customHeight="1" x14ac:dyDescent="0.3">
      <c r="A52" s="2" t="str">
        <f t="shared" si="0"/>
        <v/>
      </c>
      <c r="B52" s="2"/>
      <c r="C52" s="2"/>
      <c r="D52" s="2"/>
      <c r="E52" s="2"/>
      <c r="F52" s="2"/>
      <c r="G52" s="2"/>
      <c r="H52" s="2"/>
      <c r="I52" s="2"/>
      <c r="J52" s="2"/>
      <c r="K52" s="2"/>
      <c r="L52" s="2"/>
      <c r="M52" s="2"/>
      <c r="N52" s="2"/>
      <c r="O52" s="2"/>
      <c r="P52" s="2"/>
    </row>
    <row r="53" spans="1:16" ht="12" customHeight="1" x14ac:dyDescent="0.3">
      <c r="A53" s="2" t="str">
        <f t="shared" si="0"/>
        <v/>
      </c>
      <c r="B53" s="2"/>
      <c r="C53" s="2"/>
      <c r="D53" s="2"/>
      <c r="E53" s="2"/>
      <c r="F53" s="2"/>
      <c r="G53" s="2"/>
      <c r="H53" s="2"/>
      <c r="I53" s="2"/>
      <c r="J53" s="2"/>
      <c r="K53" s="2"/>
      <c r="L53" s="2"/>
      <c r="M53" s="2"/>
      <c r="N53" s="2"/>
      <c r="O53" s="2"/>
      <c r="P53" s="2"/>
    </row>
    <row r="54" spans="1:16" ht="12" customHeight="1" x14ac:dyDescent="0.3">
      <c r="A54" s="2" t="str">
        <f t="shared" si="0"/>
        <v/>
      </c>
      <c r="B54" s="2"/>
      <c r="C54" s="2"/>
      <c r="D54" s="2"/>
      <c r="E54" s="2"/>
      <c r="F54" s="2"/>
      <c r="G54" s="2"/>
      <c r="H54" s="2"/>
      <c r="I54" s="2"/>
      <c r="J54" s="2"/>
      <c r="K54" s="2"/>
      <c r="L54" s="2"/>
      <c r="M54" s="2"/>
      <c r="N54" s="2"/>
      <c r="O54" s="2"/>
      <c r="P54" s="2"/>
    </row>
    <row r="55" spans="1:16" ht="12" customHeight="1" x14ac:dyDescent="0.3">
      <c r="A55" s="2" t="str">
        <f t="shared" si="0"/>
        <v/>
      </c>
      <c r="B55" s="2"/>
      <c r="C55" s="2"/>
      <c r="D55" s="2"/>
      <c r="E55" s="2"/>
      <c r="F55" s="2"/>
      <c r="G55" s="2"/>
      <c r="H55" s="2"/>
      <c r="I55" s="2"/>
      <c r="J55" s="2"/>
      <c r="K55" s="2"/>
      <c r="L55" s="2"/>
      <c r="M55" s="2"/>
      <c r="N55" s="2"/>
      <c r="O55" s="2"/>
      <c r="P55" s="2"/>
    </row>
    <row r="56" spans="1:16" ht="12" customHeight="1" x14ac:dyDescent="0.3">
      <c r="A56" s="2" t="str">
        <f t="shared" si="0"/>
        <v/>
      </c>
      <c r="B56" s="2"/>
      <c r="C56" s="2"/>
      <c r="D56" s="2"/>
      <c r="E56" s="2"/>
      <c r="F56" s="2"/>
      <c r="G56" s="2"/>
      <c r="H56" s="2"/>
      <c r="I56" s="2"/>
      <c r="J56" s="2"/>
      <c r="K56" s="2"/>
      <c r="L56" s="2"/>
      <c r="M56" s="2"/>
      <c r="N56" s="2"/>
      <c r="O56" s="2"/>
      <c r="P56" s="2"/>
    </row>
    <row r="57" spans="1:16" ht="12" customHeight="1" x14ac:dyDescent="0.3">
      <c r="A57" s="2" t="str">
        <f t="shared" si="0"/>
        <v/>
      </c>
      <c r="B57" s="2"/>
      <c r="C57" s="2"/>
      <c r="D57" s="2"/>
      <c r="E57" s="2"/>
      <c r="F57" s="2"/>
      <c r="G57" s="2"/>
      <c r="H57" s="2"/>
      <c r="I57" s="2"/>
      <c r="J57" s="2"/>
      <c r="K57" s="2"/>
      <c r="L57" s="2"/>
      <c r="M57" s="2"/>
      <c r="N57" s="2"/>
      <c r="O57" s="2"/>
      <c r="P57" s="2"/>
    </row>
    <row r="58" spans="1:16" ht="12" customHeight="1" x14ac:dyDescent="0.3">
      <c r="A58" s="2" t="str">
        <f t="shared" si="0"/>
        <v/>
      </c>
      <c r="B58" s="2"/>
      <c r="C58" s="2"/>
      <c r="D58" s="2"/>
      <c r="E58" s="2"/>
      <c r="F58" s="2"/>
      <c r="G58" s="2"/>
      <c r="H58" s="2"/>
      <c r="I58" s="2"/>
      <c r="J58" s="2"/>
      <c r="K58" s="2"/>
      <c r="L58" s="2"/>
      <c r="M58" s="2"/>
      <c r="N58" s="2"/>
      <c r="O58" s="2"/>
      <c r="P58" s="2"/>
    </row>
    <row r="59" spans="1:16" ht="12" customHeight="1" x14ac:dyDescent="0.3">
      <c r="A59" s="2" t="str">
        <f t="shared" si="0"/>
        <v/>
      </c>
      <c r="B59" s="2"/>
      <c r="C59" s="2"/>
      <c r="D59" s="2"/>
      <c r="E59" s="2"/>
      <c r="F59" s="2"/>
      <c r="G59" s="2"/>
      <c r="H59" s="2"/>
      <c r="I59" s="2"/>
      <c r="J59" s="2"/>
      <c r="K59" s="2"/>
      <c r="L59" s="2"/>
      <c r="M59" s="2"/>
      <c r="N59" s="2"/>
      <c r="O59" s="2"/>
      <c r="P59" s="2"/>
    </row>
    <row r="60" spans="1:16" ht="12" customHeight="1" x14ac:dyDescent="0.3">
      <c r="A60" s="2" t="str">
        <f t="shared" si="0"/>
        <v/>
      </c>
      <c r="B60" s="2"/>
      <c r="C60" s="2"/>
      <c r="D60" s="2"/>
      <c r="E60" s="2"/>
      <c r="F60" s="2"/>
      <c r="G60" s="2"/>
      <c r="H60" s="2"/>
      <c r="I60" s="2"/>
      <c r="J60" s="2"/>
      <c r="K60" s="2"/>
      <c r="L60" s="2"/>
      <c r="M60" s="2"/>
      <c r="N60" s="2"/>
      <c r="O60" s="2"/>
      <c r="P60" s="2"/>
    </row>
    <row r="61" spans="1:16" ht="12" customHeight="1" x14ac:dyDescent="0.3">
      <c r="A61" s="2" t="str">
        <f t="shared" si="0"/>
        <v/>
      </c>
      <c r="B61" s="2"/>
      <c r="C61" s="2"/>
      <c r="D61" s="2"/>
      <c r="E61" s="2"/>
      <c r="F61" s="2"/>
      <c r="G61" s="2"/>
      <c r="H61" s="2"/>
      <c r="I61" s="2"/>
      <c r="J61" s="2"/>
      <c r="K61" s="2"/>
      <c r="L61" s="2"/>
      <c r="M61" s="2"/>
      <c r="N61" s="2"/>
      <c r="O61" s="2"/>
      <c r="P61" s="2"/>
    </row>
    <row r="62" spans="1:16" ht="12" customHeight="1" x14ac:dyDescent="0.3">
      <c r="A62" s="2" t="str">
        <f t="shared" si="0"/>
        <v/>
      </c>
      <c r="B62" s="2"/>
      <c r="C62" s="2"/>
      <c r="D62" s="2"/>
      <c r="E62" s="2"/>
      <c r="F62" s="2"/>
      <c r="G62" s="2"/>
      <c r="H62" s="2"/>
      <c r="I62" s="2"/>
      <c r="J62" s="2"/>
      <c r="K62" s="2"/>
      <c r="L62" s="2"/>
      <c r="M62" s="2"/>
      <c r="N62" s="2"/>
      <c r="O62" s="2"/>
      <c r="P62" s="2"/>
    </row>
    <row r="63" spans="1:16" ht="12" customHeight="1" x14ac:dyDescent="0.3">
      <c r="A63" s="2" t="str">
        <f t="shared" si="0"/>
        <v/>
      </c>
      <c r="B63" s="2"/>
      <c r="C63" s="2"/>
      <c r="D63" s="2"/>
      <c r="E63" s="2"/>
      <c r="F63" s="2"/>
      <c r="G63" s="2"/>
      <c r="H63" s="2"/>
      <c r="I63" s="2"/>
      <c r="J63" s="2"/>
      <c r="K63" s="2"/>
      <c r="L63" s="2"/>
      <c r="M63" s="2"/>
      <c r="N63" s="2"/>
      <c r="O63" s="2"/>
      <c r="P63" s="2"/>
    </row>
    <row r="64" spans="1:16" ht="12" customHeight="1" x14ac:dyDescent="0.3">
      <c r="A64" s="2" t="str">
        <f t="shared" si="0"/>
        <v/>
      </c>
      <c r="B64" s="2"/>
      <c r="C64" s="2"/>
      <c r="D64" s="2"/>
      <c r="E64" s="2"/>
      <c r="F64" s="2"/>
      <c r="G64" s="2"/>
      <c r="H64" s="2"/>
      <c r="I64" s="2"/>
      <c r="J64" s="2"/>
      <c r="K64" s="2"/>
      <c r="L64" s="2"/>
      <c r="M64" s="2"/>
      <c r="N64" s="2"/>
      <c r="O64" s="2"/>
      <c r="P64" s="2"/>
    </row>
    <row r="65" spans="1:16" ht="12" customHeight="1" x14ac:dyDescent="0.3">
      <c r="A65" s="2" t="str">
        <f t="shared" si="0"/>
        <v/>
      </c>
      <c r="B65" s="2"/>
      <c r="C65" s="2"/>
      <c r="D65" s="2"/>
      <c r="E65" s="2"/>
      <c r="F65" s="2"/>
      <c r="G65" s="2"/>
      <c r="H65" s="2"/>
      <c r="I65" s="2"/>
      <c r="J65" s="2"/>
      <c r="K65" s="2"/>
      <c r="L65" s="2"/>
      <c r="M65" s="2"/>
      <c r="N65" s="2"/>
      <c r="O65" s="2"/>
      <c r="P65" s="2"/>
    </row>
    <row r="66" spans="1:16" ht="12" customHeight="1" x14ac:dyDescent="0.3">
      <c r="A66" s="2" t="str">
        <f t="shared" si="0"/>
        <v/>
      </c>
      <c r="B66" s="2"/>
      <c r="C66" s="2"/>
      <c r="D66" s="2"/>
      <c r="E66" s="2"/>
      <c r="F66" s="2"/>
      <c r="G66" s="2"/>
      <c r="H66" s="2"/>
      <c r="I66" s="2"/>
      <c r="J66" s="2"/>
      <c r="K66" s="2"/>
      <c r="L66" s="2"/>
      <c r="M66" s="2"/>
      <c r="N66" s="2"/>
      <c r="O66" s="2"/>
      <c r="P66" s="2"/>
    </row>
    <row r="67" spans="1:16" ht="12" customHeight="1" x14ac:dyDescent="0.3">
      <c r="A67" s="2" t="str">
        <f t="shared" si="0"/>
        <v/>
      </c>
      <c r="B67" s="2"/>
      <c r="C67" s="2"/>
      <c r="D67" s="2"/>
      <c r="E67" s="2"/>
      <c r="F67" s="2"/>
      <c r="G67" s="2"/>
      <c r="H67" s="2"/>
      <c r="I67" s="2"/>
      <c r="J67" s="2"/>
      <c r="K67" s="2"/>
      <c r="L67" s="2"/>
      <c r="M67" s="2"/>
      <c r="N67" s="2"/>
      <c r="O67" s="2"/>
      <c r="P67" s="2"/>
    </row>
    <row r="68" spans="1:16" ht="12" customHeight="1" x14ac:dyDescent="0.3">
      <c r="A68" s="2" t="str">
        <f t="shared" si="0"/>
        <v/>
      </c>
      <c r="B68" s="2"/>
      <c r="C68" s="2"/>
      <c r="D68" s="2"/>
      <c r="E68" s="2"/>
      <c r="F68" s="2"/>
      <c r="G68" s="2"/>
      <c r="H68" s="2"/>
      <c r="I68" s="2"/>
      <c r="J68" s="2"/>
      <c r="K68" s="2"/>
      <c r="L68" s="2"/>
      <c r="M68" s="2"/>
      <c r="N68" s="2"/>
      <c r="O68" s="2"/>
      <c r="P68" s="2"/>
    </row>
    <row r="69" spans="1:16" ht="12" customHeight="1" x14ac:dyDescent="0.3">
      <c r="A69" s="2" t="str">
        <f t="shared" si="0"/>
        <v/>
      </c>
      <c r="B69" s="2"/>
      <c r="C69" s="2"/>
      <c r="D69" s="2"/>
      <c r="E69" s="2"/>
      <c r="F69" s="2"/>
      <c r="G69" s="2"/>
      <c r="H69" s="2"/>
      <c r="I69" s="2"/>
      <c r="J69" s="2"/>
      <c r="K69" s="2"/>
      <c r="L69" s="2"/>
      <c r="M69" s="2"/>
      <c r="N69" s="2"/>
      <c r="O69" s="2"/>
      <c r="P69" s="2"/>
    </row>
    <row r="70" spans="1:16" ht="12" customHeight="1" x14ac:dyDescent="0.3">
      <c r="A70" s="2" t="str">
        <f t="shared" si="0"/>
        <v/>
      </c>
      <c r="B70" s="2"/>
      <c r="C70" s="2"/>
      <c r="D70" s="2"/>
      <c r="E70" s="2"/>
      <c r="F70" s="2"/>
      <c r="G70" s="2"/>
      <c r="H70" s="2"/>
      <c r="I70" s="2"/>
      <c r="J70" s="2"/>
      <c r="K70" s="2"/>
      <c r="L70" s="2"/>
      <c r="M70" s="2"/>
      <c r="N70" s="2"/>
      <c r="O70" s="2"/>
      <c r="P70" s="2"/>
    </row>
    <row r="71" spans="1:16" ht="12" customHeight="1" x14ac:dyDescent="0.3">
      <c r="A71" s="2" t="str">
        <f t="shared" si="0"/>
        <v/>
      </c>
      <c r="B71" s="2"/>
      <c r="C71" s="2"/>
      <c r="D71" s="2"/>
      <c r="E71" s="2"/>
      <c r="F71" s="2"/>
      <c r="G71" s="2"/>
      <c r="H71" s="2"/>
      <c r="I71" s="2"/>
      <c r="J71" s="2"/>
      <c r="K71" s="2"/>
      <c r="L71" s="2"/>
      <c r="M71" s="2"/>
      <c r="N71" s="2"/>
      <c r="O71" s="2"/>
      <c r="P71" s="2"/>
    </row>
    <row r="72" spans="1:16" ht="12" customHeight="1" x14ac:dyDescent="0.3">
      <c r="A72" s="2" t="str">
        <f t="shared" si="0"/>
        <v/>
      </c>
      <c r="B72" s="2"/>
      <c r="C72" s="2"/>
      <c r="D72" s="2"/>
      <c r="E72" s="2"/>
      <c r="F72" s="2"/>
      <c r="G72" s="2"/>
      <c r="H72" s="2"/>
      <c r="I72" s="2"/>
      <c r="J72" s="2"/>
      <c r="K72" s="2"/>
      <c r="L72" s="2"/>
      <c r="M72" s="2"/>
      <c r="N72" s="2"/>
      <c r="O72" s="2"/>
      <c r="P72" s="2"/>
    </row>
    <row r="73" spans="1:16" ht="12" customHeight="1" x14ac:dyDescent="0.3">
      <c r="A73" s="2" t="str">
        <f t="shared" si="0"/>
        <v/>
      </c>
      <c r="B73" s="2"/>
      <c r="C73" s="2"/>
      <c r="D73" s="2"/>
      <c r="E73" s="2"/>
      <c r="F73" s="2"/>
      <c r="G73" s="2"/>
      <c r="H73" s="2"/>
      <c r="I73" s="2"/>
      <c r="J73" s="2"/>
      <c r="K73" s="2"/>
      <c r="L73" s="2"/>
      <c r="M73" s="2"/>
      <c r="N73" s="2"/>
      <c r="O73" s="2"/>
      <c r="P73" s="2"/>
    </row>
    <row r="74" spans="1:16" ht="12" customHeight="1" x14ac:dyDescent="0.3">
      <c r="A74" s="2" t="str">
        <f t="shared" si="0"/>
        <v/>
      </c>
      <c r="B74" s="2"/>
      <c r="C74" s="2"/>
      <c r="D74" s="2"/>
      <c r="E74" s="2"/>
      <c r="F74" s="2"/>
      <c r="G74" s="2"/>
      <c r="H74" s="2"/>
      <c r="I74" s="2"/>
      <c r="J74" s="2"/>
      <c r="K74" s="2"/>
      <c r="L74" s="2"/>
      <c r="M74" s="2"/>
      <c r="N74" s="2"/>
      <c r="O74" s="2"/>
      <c r="P74" s="2"/>
    </row>
    <row r="75" spans="1:16" ht="12" customHeight="1" x14ac:dyDescent="0.3">
      <c r="A75" s="2" t="str">
        <f t="shared" si="0"/>
        <v/>
      </c>
      <c r="B75" s="2"/>
      <c r="C75" s="2"/>
      <c r="D75" s="2"/>
      <c r="E75" s="2"/>
      <c r="F75" s="2"/>
      <c r="G75" s="2"/>
      <c r="H75" s="2"/>
      <c r="I75" s="2"/>
      <c r="J75" s="2"/>
      <c r="K75" s="2"/>
      <c r="L75" s="2"/>
      <c r="M75" s="2"/>
      <c r="N75" s="2"/>
      <c r="O75" s="2"/>
      <c r="P75" s="2"/>
    </row>
    <row r="76" spans="1:16" ht="12" customHeight="1" x14ac:dyDescent="0.3">
      <c r="A76" s="2" t="str">
        <f t="shared" si="0"/>
        <v/>
      </c>
      <c r="B76" s="2"/>
      <c r="C76" s="2"/>
      <c r="D76" s="2"/>
      <c r="E76" s="2"/>
      <c r="F76" s="2"/>
      <c r="G76" s="2"/>
      <c r="H76" s="2"/>
      <c r="I76" s="2"/>
      <c r="J76" s="2"/>
      <c r="K76" s="2"/>
      <c r="L76" s="2"/>
      <c r="M76" s="2"/>
      <c r="N76" s="2"/>
      <c r="O76" s="2"/>
      <c r="P76" s="2"/>
    </row>
    <row r="77" spans="1:16" ht="12" customHeight="1" x14ac:dyDescent="0.3">
      <c r="A77" s="2" t="str">
        <f t="shared" si="0"/>
        <v/>
      </c>
      <c r="B77" s="2"/>
      <c r="C77" s="2"/>
      <c r="D77" s="2"/>
      <c r="E77" s="2"/>
      <c r="F77" s="2"/>
      <c r="G77" s="2"/>
      <c r="H77" s="2"/>
      <c r="I77" s="2"/>
      <c r="J77" s="2"/>
      <c r="K77" s="2"/>
      <c r="L77" s="2"/>
      <c r="M77" s="2"/>
      <c r="N77" s="2"/>
      <c r="O77" s="2"/>
      <c r="P77" s="2"/>
    </row>
    <row r="78" spans="1:16" ht="12" customHeight="1" x14ac:dyDescent="0.3">
      <c r="A78" s="2" t="str">
        <f t="shared" si="0"/>
        <v/>
      </c>
      <c r="B78" s="2"/>
      <c r="C78" s="2"/>
      <c r="D78" s="2"/>
      <c r="E78" s="2"/>
      <c r="F78" s="2"/>
      <c r="G78" s="2"/>
      <c r="H78" s="2"/>
      <c r="I78" s="2"/>
      <c r="J78" s="2"/>
      <c r="K78" s="2"/>
      <c r="L78" s="2"/>
      <c r="M78" s="2"/>
      <c r="N78" s="2"/>
      <c r="O78" s="2"/>
      <c r="P78" s="2"/>
    </row>
    <row r="79" spans="1:16" ht="12" customHeight="1" x14ac:dyDescent="0.3">
      <c r="A79" s="2" t="str">
        <f t="shared" si="0"/>
        <v/>
      </c>
      <c r="B79" s="2"/>
      <c r="C79" s="2"/>
      <c r="D79" s="2"/>
      <c r="E79" s="2"/>
      <c r="F79" s="2"/>
      <c r="G79" s="2"/>
      <c r="H79" s="2"/>
      <c r="I79" s="2"/>
      <c r="J79" s="2"/>
      <c r="K79" s="2"/>
      <c r="L79" s="2"/>
      <c r="M79" s="2"/>
      <c r="N79" s="2"/>
      <c r="O79" s="2"/>
      <c r="P79" s="2"/>
    </row>
    <row r="80" spans="1:16" ht="12" customHeight="1" x14ac:dyDescent="0.3">
      <c r="A80" s="2" t="str">
        <f t="shared" si="0"/>
        <v/>
      </c>
      <c r="B80" s="2"/>
      <c r="C80" s="2"/>
      <c r="D80" s="2"/>
      <c r="E80" s="2"/>
      <c r="F80" s="2"/>
      <c r="G80" s="2"/>
      <c r="H80" s="2"/>
      <c r="I80" s="2"/>
      <c r="J80" s="2"/>
      <c r="K80" s="2"/>
      <c r="L80" s="2"/>
      <c r="M80" s="2"/>
      <c r="N80" s="2"/>
      <c r="O80" s="2"/>
      <c r="P80" s="2"/>
    </row>
    <row r="81" spans="1:16" ht="12" customHeight="1" x14ac:dyDescent="0.3">
      <c r="A81" s="2" t="str">
        <f t="shared" si="0"/>
        <v/>
      </c>
      <c r="B81" s="2"/>
      <c r="C81" s="2"/>
      <c r="D81" s="2"/>
      <c r="E81" s="2"/>
      <c r="F81" s="2"/>
      <c r="G81" s="2"/>
      <c r="H81" s="2"/>
      <c r="I81" s="2"/>
      <c r="J81" s="2"/>
      <c r="K81" s="2"/>
      <c r="L81" s="2"/>
      <c r="M81" s="2"/>
      <c r="N81" s="2"/>
      <c r="O81" s="2"/>
      <c r="P81" s="2"/>
    </row>
    <row r="82" spans="1:16" ht="12" customHeight="1" x14ac:dyDescent="0.3">
      <c r="A82" s="2" t="str">
        <f t="shared" si="0"/>
        <v/>
      </c>
      <c r="B82" s="2"/>
      <c r="C82" s="2"/>
      <c r="D82" s="2"/>
      <c r="E82" s="2"/>
      <c r="F82" s="2"/>
      <c r="G82" s="2"/>
      <c r="H82" s="2"/>
      <c r="I82" s="2"/>
      <c r="J82" s="2"/>
      <c r="K82" s="2"/>
      <c r="L82" s="2"/>
      <c r="M82" s="2"/>
      <c r="N82" s="2"/>
      <c r="O82" s="2"/>
      <c r="P82" s="2"/>
    </row>
    <row r="83" spans="1:16" ht="12" customHeight="1" x14ac:dyDescent="0.3">
      <c r="A83" s="2" t="str">
        <f t="shared" si="0"/>
        <v/>
      </c>
      <c r="B83" s="2"/>
      <c r="C83" s="2"/>
      <c r="D83" s="2"/>
      <c r="E83" s="2"/>
      <c r="F83" s="2"/>
      <c r="G83" s="2"/>
      <c r="H83" s="2"/>
      <c r="I83" s="2"/>
      <c r="J83" s="2"/>
      <c r="K83" s="2"/>
      <c r="L83" s="2"/>
      <c r="M83" s="2"/>
      <c r="N83" s="2"/>
      <c r="O83" s="2"/>
      <c r="P83" s="2"/>
    </row>
    <row r="84" spans="1:16" ht="12" customHeight="1" x14ac:dyDescent="0.3">
      <c r="A84" s="2" t="str">
        <f t="shared" si="0"/>
        <v/>
      </c>
      <c r="B84" s="2"/>
      <c r="C84" s="2"/>
      <c r="D84" s="2"/>
      <c r="E84" s="2"/>
      <c r="F84" s="2"/>
      <c r="G84" s="2"/>
      <c r="H84" s="2"/>
      <c r="I84" s="2"/>
      <c r="J84" s="2"/>
      <c r="K84" s="2"/>
      <c r="L84" s="2"/>
      <c r="M84" s="2"/>
      <c r="N84" s="2"/>
      <c r="O84" s="2"/>
      <c r="P84" s="2"/>
    </row>
    <row r="85" spans="1:16" ht="12" customHeight="1" x14ac:dyDescent="0.3">
      <c r="A85" s="2" t="str">
        <f t="shared" si="0"/>
        <v/>
      </c>
      <c r="B85" s="2"/>
      <c r="C85" s="2"/>
      <c r="D85" s="2"/>
      <c r="E85" s="2"/>
      <c r="F85" s="2"/>
      <c r="G85" s="2"/>
      <c r="H85" s="2"/>
      <c r="I85" s="2"/>
      <c r="J85" s="2"/>
      <c r="K85" s="2"/>
      <c r="L85" s="2"/>
      <c r="M85" s="2"/>
      <c r="N85" s="2"/>
      <c r="O85" s="2"/>
      <c r="P85" s="2"/>
    </row>
    <row r="86" spans="1:16" ht="12" customHeight="1" x14ac:dyDescent="0.3">
      <c r="A86" s="2" t="str">
        <f t="shared" si="0"/>
        <v/>
      </c>
      <c r="B86" s="2"/>
      <c r="C86" s="2"/>
      <c r="D86" s="2"/>
      <c r="E86" s="2"/>
      <c r="F86" s="2"/>
      <c r="G86" s="2"/>
      <c r="H86" s="2"/>
      <c r="I86" s="2"/>
      <c r="J86" s="2"/>
      <c r="K86" s="2"/>
      <c r="L86" s="2"/>
      <c r="M86" s="2"/>
      <c r="N86" s="2"/>
      <c r="O86" s="2"/>
      <c r="P86" s="2"/>
    </row>
    <row r="87" spans="1:16" ht="12" customHeight="1" x14ac:dyDescent="0.3">
      <c r="A87" s="2" t="str">
        <f t="shared" si="0"/>
        <v/>
      </c>
      <c r="B87" s="2"/>
      <c r="C87" s="2"/>
      <c r="D87" s="2"/>
      <c r="E87" s="2"/>
      <c r="F87" s="2"/>
      <c r="G87" s="2"/>
      <c r="H87" s="2"/>
      <c r="I87" s="2"/>
      <c r="J87" s="2"/>
      <c r="K87" s="2"/>
      <c r="L87" s="2"/>
      <c r="M87" s="2"/>
      <c r="N87" s="2"/>
      <c r="O87" s="2"/>
      <c r="P87" s="2"/>
    </row>
    <row r="88" spans="1:16" ht="12" customHeight="1" x14ac:dyDescent="0.3">
      <c r="A88" s="2" t="str">
        <f t="shared" si="0"/>
        <v/>
      </c>
      <c r="B88" s="2"/>
      <c r="C88" s="2"/>
      <c r="D88" s="2"/>
      <c r="E88" s="2"/>
      <c r="F88" s="2"/>
      <c r="G88" s="2"/>
      <c r="H88" s="2"/>
      <c r="I88" s="2"/>
      <c r="J88" s="2"/>
      <c r="K88" s="2"/>
      <c r="L88" s="2"/>
      <c r="M88" s="2"/>
      <c r="N88" s="2"/>
      <c r="O88" s="2"/>
      <c r="P88" s="2"/>
    </row>
    <row r="89" spans="1:16" ht="12" customHeight="1" x14ac:dyDescent="0.3">
      <c r="A89" s="2" t="str">
        <f t="shared" si="0"/>
        <v/>
      </c>
      <c r="B89" s="2"/>
      <c r="C89" s="2"/>
      <c r="D89" s="2"/>
      <c r="E89" s="2"/>
      <c r="F89" s="2"/>
      <c r="G89" s="2"/>
      <c r="H89" s="2"/>
      <c r="I89" s="2"/>
      <c r="J89" s="2"/>
      <c r="K89" s="2"/>
      <c r="L89" s="2"/>
      <c r="M89" s="2"/>
      <c r="N89" s="2"/>
      <c r="O89" s="2"/>
      <c r="P89" s="2"/>
    </row>
    <row r="90" spans="1:16" ht="12" customHeight="1" x14ac:dyDescent="0.3">
      <c r="A90" s="2" t="str">
        <f t="shared" ref="A90:A153" si="1">IF(B90&lt;&gt;"","REC-"&amp;TEXT(ROW()-1,"000"),"")</f>
        <v/>
      </c>
      <c r="B90" s="2"/>
      <c r="C90" s="2"/>
      <c r="D90" s="2"/>
      <c r="E90" s="2"/>
      <c r="F90" s="2"/>
      <c r="G90" s="2"/>
      <c r="H90" s="2"/>
      <c r="I90" s="2"/>
      <c r="J90" s="2"/>
      <c r="K90" s="2"/>
      <c r="L90" s="2"/>
      <c r="M90" s="2"/>
      <c r="N90" s="2"/>
      <c r="O90" s="2"/>
      <c r="P90" s="2"/>
    </row>
    <row r="91" spans="1:16" ht="12" customHeight="1" x14ac:dyDescent="0.3">
      <c r="A91" s="2" t="str">
        <f t="shared" si="1"/>
        <v/>
      </c>
      <c r="B91" s="2"/>
      <c r="C91" s="2"/>
      <c r="D91" s="2"/>
      <c r="E91" s="2"/>
      <c r="F91" s="2"/>
      <c r="G91" s="2"/>
      <c r="H91" s="2"/>
      <c r="I91" s="2"/>
      <c r="J91" s="2"/>
      <c r="K91" s="2"/>
      <c r="L91" s="2"/>
      <c r="M91" s="2"/>
      <c r="N91" s="2"/>
      <c r="O91" s="2"/>
      <c r="P91" s="2"/>
    </row>
    <row r="92" spans="1:16" ht="12" customHeight="1" x14ac:dyDescent="0.3">
      <c r="A92" s="2" t="str">
        <f t="shared" si="1"/>
        <v/>
      </c>
      <c r="B92" s="2"/>
      <c r="C92" s="2"/>
      <c r="D92" s="2"/>
      <c r="E92" s="2"/>
      <c r="F92" s="2"/>
      <c r="G92" s="2"/>
      <c r="H92" s="2"/>
      <c r="I92" s="2"/>
      <c r="J92" s="2"/>
      <c r="K92" s="2"/>
      <c r="L92" s="2"/>
      <c r="M92" s="2"/>
      <c r="N92" s="2"/>
      <c r="O92" s="2"/>
      <c r="P92" s="2"/>
    </row>
    <row r="93" spans="1:16" ht="12" customHeight="1" x14ac:dyDescent="0.3">
      <c r="A93" s="2" t="str">
        <f t="shared" si="1"/>
        <v/>
      </c>
      <c r="B93" s="2"/>
      <c r="C93" s="2"/>
      <c r="D93" s="2"/>
      <c r="E93" s="2"/>
      <c r="F93" s="2"/>
      <c r="G93" s="2"/>
      <c r="H93" s="2"/>
      <c r="I93" s="2"/>
      <c r="J93" s="2"/>
      <c r="K93" s="2"/>
      <c r="L93" s="2"/>
      <c r="M93" s="2"/>
      <c r="N93" s="2"/>
      <c r="O93" s="2"/>
      <c r="P93" s="2"/>
    </row>
    <row r="94" spans="1:16" ht="12" customHeight="1" x14ac:dyDescent="0.3">
      <c r="A94" s="2" t="str">
        <f t="shared" si="1"/>
        <v/>
      </c>
      <c r="B94" s="2"/>
      <c r="C94" s="2"/>
      <c r="D94" s="2"/>
      <c r="E94" s="2"/>
      <c r="F94" s="2"/>
      <c r="G94" s="2"/>
      <c r="H94" s="2"/>
      <c r="I94" s="2"/>
      <c r="J94" s="2"/>
      <c r="K94" s="2"/>
      <c r="L94" s="2"/>
      <c r="M94" s="2"/>
      <c r="N94" s="2"/>
      <c r="O94" s="2"/>
      <c r="P94" s="2"/>
    </row>
    <row r="95" spans="1:16" ht="12" customHeight="1" x14ac:dyDescent="0.3">
      <c r="A95" s="2" t="str">
        <f t="shared" si="1"/>
        <v/>
      </c>
      <c r="B95" s="2"/>
      <c r="C95" s="2"/>
      <c r="D95" s="2"/>
      <c r="E95" s="2"/>
      <c r="F95" s="2"/>
      <c r="G95" s="2"/>
      <c r="H95" s="2"/>
      <c r="I95" s="2"/>
      <c r="J95" s="2"/>
      <c r="K95" s="2"/>
      <c r="L95" s="2"/>
      <c r="M95" s="2"/>
      <c r="N95" s="2"/>
      <c r="O95" s="2"/>
      <c r="P95" s="2"/>
    </row>
    <row r="96" spans="1:16" ht="12" customHeight="1" x14ac:dyDescent="0.3">
      <c r="A96" s="2" t="str">
        <f t="shared" si="1"/>
        <v/>
      </c>
      <c r="B96" s="2"/>
      <c r="C96" s="2"/>
      <c r="D96" s="2"/>
      <c r="E96" s="2"/>
      <c r="F96" s="2"/>
      <c r="G96" s="2"/>
      <c r="H96" s="2"/>
      <c r="I96" s="2"/>
      <c r="J96" s="2"/>
      <c r="K96" s="2"/>
      <c r="L96" s="2"/>
      <c r="M96" s="2"/>
      <c r="N96" s="2"/>
      <c r="O96" s="2"/>
      <c r="P96" s="2"/>
    </row>
    <row r="97" spans="1:16" ht="12" customHeight="1" x14ac:dyDescent="0.3">
      <c r="A97" s="2" t="str">
        <f t="shared" si="1"/>
        <v/>
      </c>
      <c r="B97" s="2"/>
      <c r="C97" s="2"/>
      <c r="D97" s="2"/>
      <c r="E97" s="2"/>
      <c r="F97" s="2"/>
      <c r="G97" s="2"/>
      <c r="H97" s="2"/>
      <c r="I97" s="2"/>
      <c r="J97" s="2"/>
      <c r="K97" s="2"/>
      <c r="L97" s="2"/>
      <c r="M97" s="2"/>
      <c r="N97" s="2"/>
      <c r="O97" s="2"/>
      <c r="P97" s="2"/>
    </row>
    <row r="98" spans="1:16" ht="12" customHeight="1" x14ac:dyDescent="0.3">
      <c r="A98" s="2" t="str">
        <f t="shared" si="1"/>
        <v/>
      </c>
      <c r="B98" s="2"/>
      <c r="C98" s="2"/>
      <c r="D98" s="2"/>
      <c r="E98" s="2"/>
      <c r="F98" s="2"/>
      <c r="G98" s="2"/>
      <c r="H98" s="2"/>
      <c r="I98" s="2"/>
      <c r="J98" s="2"/>
      <c r="K98" s="2"/>
      <c r="L98" s="2"/>
      <c r="M98" s="2"/>
      <c r="N98" s="2"/>
      <c r="O98" s="2"/>
      <c r="P98" s="2"/>
    </row>
    <row r="99" spans="1:16" ht="12" customHeight="1" x14ac:dyDescent="0.3">
      <c r="A99" s="2" t="str">
        <f t="shared" si="1"/>
        <v/>
      </c>
      <c r="B99" s="2"/>
      <c r="C99" s="2"/>
      <c r="D99" s="2"/>
      <c r="E99" s="2"/>
      <c r="F99" s="2"/>
      <c r="G99" s="2"/>
      <c r="H99" s="2"/>
      <c r="I99" s="2"/>
      <c r="J99" s="2"/>
      <c r="K99" s="2"/>
      <c r="L99" s="2"/>
      <c r="M99" s="2"/>
      <c r="N99" s="2"/>
      <c r="O99" s="2"/>
      <c r="P99" s="2"/>
    </row>
    <row r="100" spans="1:16" ht="12" customHeight="1" x14ac:dyDescent="0.3">
      <c r="A100" s="2" t="str">
        <f t="shared" si="1"/>
        <v/>
      </c>
      <c r="B100" s="2"/>
      <c r="C100" s="2"/>
      <c r="D100" s="2"/>
      <c r="E100" s="2"/>
      <c r="F100" s="2"/>
      <c r="G100" s="2"/>
      <c r="H100" s="2"/>
      <c r="I100" s="2"/>
      <c r="J100" s="2"/>
      <c r="K100" s="2"/>
      <c r="L100" s="2"/>
      <c r="M100" s="2"/>
      <c r="N100" s="2"/>
      <c r="O100" s="2"/>
      <c r="P100" s="2"/>
    </row>
    <row r="101" spans="1:16" ht="12" customHeight="1" x14ac:dyDescent="0.3">
      <c r="A101" s="2" t="str">
        <f t="shared" si="1"/>
        <v/>
      </c>
      <c r="B101" s="2"/>
      <c r="C101" s="2"/>
      <c r="D101" s="2"/>
      <c r="E101" s="2"/>
      <c r="F101" s="2"/>
      <c r="G101" s="2"/>
      <c r="H101" s="2"/>
      <c r="I101" s="2"/>
      <c r="J101" s="2"/>
      <c r="K101" s="2"/>
      <c r="L101" s="2"/>
      <c r="M101" s="2"/>
      <c r="N101" s="2"/>
      <c r="O101" s="2"/>
      <c r="P101" s="2"/>
    </row>
    <row r="102" spans="1:16" ht="12" customHeight="1" x14ac:dyDescent="0.3">
      <c r="A102" s="2" t="str">
        <f t="shared" si="1"/>
        <v/>
      </c>
      <c r="B102" s="2"/>
      <c r="C102" s="2"/>
      <c r="D102" s="2"/>
      <c r="E102" s="2"/>
      <c r="F102" s="2"/>
      <c r="G102" s="2"/>
      <c r="H102" s="2"/>
      <c r="I102" s="2"/>
      <c r="J102" s="2"/>
      <c r="K102" s="2"/>
      <c r="L102" s="2"/>
      <c r="M102" s="2"/>
      <c r="N102" s="2"/>
      <c r="O102" s="2"/>
      <c r="P102" s="2"/>
    </row>
    <row r="103" spans="1:16" ht="12" customHeight="1" x14ac:dyDescent="0.3">
      <c r="A103" s="2" t="str">
        <f t="shared" si="1"/>
        <v/>
      </c>
      <c r="B103" s="2"/>
      <c r="C103" s="2"/>
      <c r="D103" s="2"/>
      <c r="E103" s="2"/>
      <c r="F103" s="2"/>
      <c r="G103" s="2"/>
      <c r="H103" s="2"/>
      <c r="I103" s="2"/>
      <c r="J103" s="2"/>
      <c r="K103" s="2"/>
      <c r="L103" s="2"/>
      <c r="M103" s="2"/>
      <c r="N103" s="2"/>
      <c r="O103" s="2"/>
      <c r="P103" s="2"/>
    </row>
    <row r="104" spans="1:16" ht="12" customHeight="1" x14ac:dyDescent="0.3">
      <c r="A104" s="2" t="str">
        <f t="shared" si="1"/>
        <v/>
      </c>
      <c r="B104" s="2"/>
      <c r="C104" s="2"/>
      <c r="D104" s="2"/>
      <c r="E104" s="2"/>
      <c r="F104" s="2"/>
      <c r="G104" s="2"/>
      <c r="H104" s="2"/>
      <c r="I104" s="2"/>
      <c r="J104" s="2"/>
      <c r="K104" s="2"/>
      <c r="L104" s="2"/>
      <c r="M104" s="2"/>
      <c r="N104" s="2"/>
      <c r="O104" s="2"/>
      <c r="P104" s="2"/>
    </row>
    <row r="105" spans="1:16" ht="12" customHeight="1" x14ac:dyDescent="0.3">
      <c r="A105" s="2" t="str">
        <f t="shared" si="1"/>
        <v/>
      </c>
      <c r="B105" s="2"/>
      <c r="C105" s="2"/>
      <c r="D105" s="2"/>
      <c r="E105" s="2"/>
      <c r="F105" s="2"/>
      <c r="G105" s="2"/>
      <c r="H105" s="2"/>
      <c r="I105" s="2"/>
      <c r="J105" s="2"/>
      <c r="K105" s="2"/>
      <c r="L105" s="2"/>
      <c r="M105" s="2"/>
      <c r="N105" s="2"/>
      <c r="O105" s="2"/>
      <c r="P105" s="2"/>
    </row>
    <row r="106" spans="1:16" ht="12" customHeight="1" x14ac:dyDescent="0.3">
      <c r="A106" s="2" t="str">
        <f t="shared" si="1"/>
        <v/>
      </c>
      <c r="B106" s="2"/>
      <c r="C106" s="2"/>
      <c r="D106" s="2"/>
      <c r="E106" s="2"/>
      <c r="F106" s="2"/>
      <c r="G106" s="2"/>
      <c r="H106" s="2"/>
      <c r="I106" s="2"/>
      <c r="J106" s="2"/>
      <c r="K106" s="2"/>
      <c r="L106" s="2"/>
      <c r="M106" s="2"/>
      <c r="N106" s="2"/>
      <c r="O106" s="2"/>
      <c r="P106" s="2"/>
    </row>
    <row r="107" spans="1:16" ht="12" customHeight="1" x14ac:dyDescent="0.3">
      <c r="A107" s="2" t="str">
        <f t="shared" si="1"/>
        <v/>
      </c>
      <c r="B107" s="2"/>
      <c r="C107" s="2"/>
      <c r="D107" s="2"/>
      <c r="E107" s="2"/>
      <c r="F107" s="2"/>
      <c r="G107" s="2"/>
      <c r="H107" s="2"/>
      <c r="I107" s="2"/>
      <c r="J107" s="2"/>
      <c r="K107" s="2"/>
      <c r="L107" s="2"/>
      <c r="M107" s="2"/>
      <c r="N107" s="2"/>
      <c r="O107" s="2"/>
      <c r="P107" s="2"/>
    </row>
    <row r="108" spans="1:16" ht="12" customHeight="1" x14ac:dyDescent="0.3">
      <c r="A108" s="2" t="str">
        <f t="shared" si="1"/>
        <v/>
      </c>
      <c r="B108" s="2"/>
      <c r="C108" s="2"/>
      <c r="D108" s="2"/>
      <c r="E108" s="2"/>
      <c r="F108" s="2"/>
      <c r="G108" s="2"/>
      <c r="H108" s="2"/>
      <c r="I108" s="2"/>
      <c r="J108" s="2"/>
      <c r="K108" s="2"/>
      <c r="L108" s="2"/>
      <c r="M108" s="2"/>
      <c r="N108" s="2"/>
      <c r="O108" s="2"/>
      <c r="P108" s="2"/>
    </row>
    <row r="109" spans="1:16" ht="12" customHeight="1" x14ac:dyDescent="0.3">
      <c r="A109" s="2" t="str">
        <f t="shared" si="1"/>
        <v/>
      </c>
      <c r="B109" s="2"/>
      <c r="C109" s="2"/>
      <c r="D109" s="2"/>
      <c r="E109" s="2"/>
      <c r="F109" s="2"/>
      <c r="G109" s="2"/>
      <c r="H109" s="2"/>
      <c r="I109" s="2"/>
      <c r="J109" s="2"/>
      <c r="K109" s="2"/>
      <c r="L109" s="2"/>
      <c r="M109" s="2"/>
      <c r="N109" s="2"/>
      <c r="O109" s="2"/>
      <c r="P109" s="2"/>
    </row>
    <row r="110" spans="1:16" ht="12" customHeight="1" x14ac:dyDescent="0.3">
      <c r="A110" s="2" t="str">
        <f t="shared" si="1"/>
        <v/>
      </c>
      <c r="B110" s="2"/>
      <c r="C110" s="2"/>
      <c r="D110" s="2"/>
      <c r="E110" s="2"/>
      <c r="F110" s="2"/>
      <c r="G110" s="2"/>
      <c r="H110" s="2"/>
      <c r="I110" s="2"/>
      <c r="J110" s="2"/>
      <c r="K110" s="2"/>
      <c r="L110" s="2"/>
      <c r="M110" s="2"/>
      <c r="N110" s="2"/>
      <c r="O110" s="2"/>
      <c r="P110" s="2"/>
    </row>
    <row r="111" spans="1:16" ht="12" customHeight="1" x14ac:dyDescent="0.3">
      <c r="A111" s="2" t="str">
        <f t="shared" si="1"/>
        <v/>
      </c>
      <c r="B111" s="2"/>
      <c r="C111" s="2"/>
      <c r="D111" s="2"/>
      <c r="E111" s="2"/>
      <c r="F111" s="2"/>
      <c r="G111" s="2"/>
      <c r="H111" s="2"/>
      <c r="I111" s="2"/>
      <c r="J111" s="2"/>
      <c r="K111" s="2"/>
      <c r="L111" s="2"/>
      <c r="M111" s="2"/>
      <c r="N111" s="2"/>
      <c r="O111" s="2"/>
      <c r="P111" s="2"/>
    </row>
    <row r="112" spans="1:16" ht="12" customHeight="1" x14ac:dyDescent="0.3">
      <c r="A112" s="2" t="str">
        <f t="shared" si="1"/>
        <v/>
      </c>
      <c r="B112" s="2"/>
      <c r="C112" s="2"/>
      <c r="D112" s="2"/>
      <c r="E112" s="2"/>
      <c r="F112" s="2"/>
      <c r="G112" s="2"/>
      <c r="H112" s="2"/>
      <c r="I112" s="2"/>
      <c r="J112" s="2"/>
      <c r="K112" s="2"/>
      <c r="L112" s="2"/>
      <c r="M112" s="2"/>
      <c r="N112" s="2"/>
      <c r="O112" s="2"/>
      <c r="P112" s="2"/>
    </row>
    <row r="113" spans="1:16" ht="12" customHeight="1" x14ac:dyDescent="0.3">
      <c r="A113" s="2" t="str">
        <f t="shared" si="1"/>
        <v/>
      </c>
      <c r="B113" s="2"/>
      <c r="C113" s="2"/>
      <c r="D113" s="2"/>
      <c r="E113" s="2"/>
      <c r="F113" s="2"/>
      <c r="G113" s="2"/>
      <c r="H113" s="2"/>
      <c r="I113" s="2"/>
      <c r="J113" s="2"/>
      <c r="K113" s="2"/>
      <c r="L113" s="2"/>
      <c r="M113" s="2"/>
      <c r="N113" s="2"/>
      <c r="O113" s="2"/>
      <c r="P113" s="2"/>
    </row>
    <row r="114" spans="1:16" ht="12" customHeight="1" x14ac:dyDescent="0.3">
      <c r="A114" s="2" t="str">
        <f t="shared" si="1"/>
        <v/>
      </c>
      <c r="B114" s="2"/>
      <c r="C114" s="2"/>
      <c r="D114" s="2"/>
      <c r="E114" s="2"/>
      <c r="F114" s="2"/>
      <c r="G114" s="2"/>
      <c r="H114" s="2"/>
      <c r="I114" s="2"/>
      <c r="J114" s="2"/>
      <c r="K114" s="2"/>
      <c r="L114" s="2"/>
      <c r="M114" s="2"/>
      <c r="N114" s="2"/>
      <c r="O114" s="2"/>
      <c r="P114" s="2"/>
    </row>
    <row r="115" spans="1:16" ht="12" customHeight="1" x14ac:dyDescent="0.3">
      <c r="A115" s="2" t="str">
        <f t="shared" si="1"/>
        <v/>
      </c>
      <c r="B115" s="2"/>
      <c r="C115" s="2"/>
      <c r="D115" s="2"/>
      <c r="E115" s="2"/>
      <c r="F115" s="2"/>
      <c r="G115" s="2"/>
      <c r="H115" s="2"/>
      <c r="I115" s="2"/>
      <c r="J115" s="2"/>
      <c r="K115" s="2"/>
      <c r="L115" s="2"/>
      <c r="M115" s="2"/>
      <c r="N115" s="2"/>
      <c r="O115" s="2"/>
      <c r="P115" s="2"/>
    </row>
    <row r="116" spans="1:16" ht="12" customHeight="1" x14ac:dyDescent="0.3">
      <c r="A116" s="2" t="str">
        <f t="shared" si="1"/>
        <v/>
      </c>
      <c r="B116" s="2"/>
      <c r="C116" s="2"/>
      <c r="D116" s="2"/>
      <c r="E116" s="2"/>
      <c r="F116" s="2"/>
      <c r="G116" s="2"/>
      <c r="H116" s="2"/>
      <c r="I116" s="2"/>
      <c r="J116" s="2"/>
      <c r="K116" s="2"/>
      <c r="L116" s="2"/>
      <c r="M116" s="2"/>
      <c r="N116" s="2"/>
      <c r="O116" s="2"/>
      <c r="P116" s="2"/>
    </row>
    <row r="117" spans="1:16" ht="12" customHeight="1" x14ac:dyDescent="0.3">
      <c r="A117" s="2" t="str">
        <f t="shared" si="1"/>
        <v/>
      </c>
      <c r="B117" s="2"/>
      <c r="C117" s="2"/>
      <c r="D117" s="2"/>
      <c r="E117" s="2"/>
      <c r="F117" s="2"/>
      <c r="G117" s="2"/>
      <c r="H117" s="2"/>
      <c r="I117" s="2"/>
      <c r="J117" s="2"/>
      <c r="K117" s="2"/>
      <c r="L117" s="2"/>
      <c r="M117" s="2"/>
      <c r="N117" s="2"/>
      <c r="O117" s="2"/>
      <c r="P117" s="2"/>
    </row>
    <row r="118" spans="1:16" ht="12" customHeight="1" x14ac:dyDescent="0.3">
      <c r="A118" s="2" t="str">
        <f t="shared" si="1"/>
        <v/>
      </c>
      <c r="B118" s="2"/>
      <c r="C118" s="2"/>
      <c r="D118" s="2"/>
      <c r="E118" s="2"/>
      <c r="F118" s="2"/>
      <c r="G118" s="2"/>
      <c r="H118" s="2"/>
      <c r="I118" s="2"/>
      <c r="J118" s="2"/>
      <c r="K118" s="2"/>
      <c r="L118" s="2"/>
      <c r="M118" s="2"/>
      <c r="N118" s="2"/>
      <c r="O118" s="2"/>
      <c r="P118" s="2"/>
    </row>
    <row r="119" spans="1:16" ht="12" customHeight="1" x14ac:dyDescent="0.3">
      <c r="A119" s="2" t="str">
        <f t="shared" si="1"/>
        <v/>
      </c>
      <c r="B119" s="2"/>
      <c r="C119" s="2"/>
      <c r="D119" s="2"/>
      <c r="E119" s="2"/>
      <c r="F119" s="2"/>
      <c r="G119" s="2"/>
      <c r="H119" s="2"/>
      <c r="I119" s="2"/>
      <c r="J119" s="2"/>
      <c r="K119" s="2"/>
      <c r="L119" s="2"/>
      <c r="M119" s="2"/>
      <c r="N119" s="2"/>
      <c r="O119" s="2"/>
      <c r="P119" s="2"/>
    </row>
    <row r="120" spans="1:16" ht="12" customHeight="1" x14ac:dyDescent="0.3">
      <c r="A120" s="2" t="str">
        <f t="shared" si="1"/>
        <v/>
      </c>
      <c r="B120" s="2"/>
      <c r="C120" s="2"/>
      <c r="D120" s="2"/>
      <c r="E120" s="2"/>
      <c r="F120" s="2"/>
      <c r="G120" s="2"/>
      <c r="H120" s="2"/>
      <c r="I120" s="2"/>
      <c r="J120" s="2"/>
      <c r="K120" s="2"/>
      <c r="L120" s="2"/>
      <c r="M120" s="2"/>
      <c r="N120" s="2"/>
      <c r="O120" s="2"/>
      <c r="P120" s="2"/>
    </row>
    <row r="121" spans="1:16" ht="12" customHeight="1" x14ac:dyDescent="0.3">
      <c r="A121" s="2" t="str">
        <f t="shared" si="1"/>
        <v/>
      </c>
      <c r="B121" s="2"/>
      <c r="C121" s="2"/>
      <c r="D121" s="2"/>
      <c r="E121" s="2"/>
      <c r="F121" s="2"/>
      <c r="G121" s="2"/>
      <c r="H121" s="2"/>
      <c r="I121" s="2"/>
      <c r="J121" s="2"/>
      <c r="K121" s="2"/>
      <c r="L121" s="2"/>
      <c r="M121" s="2"/>
      <c r="N121" s="2"/>
      <c r="O121" s="2"/>
      <c r="P121" s="2"/>
    </row>
    <row r="122" spans="1:16" ht="12" customHeight="1" x14ac:dyDescent="0.3">
      <c r="A122" s="2" t="str">
        <f t="shared" si="1"/>
        <v/>
      </c>
      <c r="B122" s="2"/>
      <c r="C122" s="2"/>
      <c r="D122" s="2"/>
      <c r="E122" s="2"/>
      <c r="F122" s="2"/>
      <c r="G122" s="2"/>
      <c r="H122" s="2"/>
      <c r="I122" s="2"/>
      <c r="J122" s="2"/>
      <c r="K122" s="2"/>
      <c r="L122" s="2"/>
      <c r="M122" s="2"/>
      <c r="N122" s="2"/>
      <c r="O122" s="2"/>
      <c r="P122" s="2"/>
    </row>
    <row r="123" spans="1:16" ht="12" customHeight="1" x14ac:dyDescent="0.3">
      <c r="A123" s="2" t="str">
        <f t="shared" si="1"/>
        <v/>
      </c>
      <c r="B123" s="2"/>
      <c r="C123" s="2"/>
      <c r="D123" s="2"/>
      <c r="E123" s="2"/>
      <c r="F123" s="2"/>
      <c r="G123" s="2"/>
      <c r="H123" s="2"/>
      <c r="I123" s="2"/>
      <c r="J123" s="2"/>
      <c r="K123" s="2"/>
      <c r="L123" s="2"/>
      <c r="M123" s="2"/>
      <c r="N123" s="2"/>
      <c r="O123" s="2"/>
      <c r="P123" s="2"/>
    </row>
    <row r="124" spans="1:16" ht="12" customHeight="1" x14ac:dyDescent="0.3">
      <c r="A124" s="2" t="str">
        <f t="shared" si="1"/>
        <v/>
      </c>
      <c r="B124" s="2"/>
      <c r="C124" s="2"/>
      <c r="D124" s="2"/>
      <c r="E124" s="2"/>
      <c r="F124" s="2"/>
      <c r="G124" s="2"/>
      <c r="H124" s="2"/>
      <c r="I124" s="2"/>
      <c r="J124" s="2"/>
      <c r="K124" s="2"/>
      <c r="L124" s="2"/>
      <c r="M124" s="2"/>
      <c r="N124" s="2"/>
      <c r="O124" s="2"/>
      <c r="P124" s="2"/>
    </row>
    <row r="125" spans="1:16" ht="12" customHeight="1" x14ac:dyDescent="0.3">
      <c r="A125" s="2" t="str">
        <f t="shared" si="1"/>
        <v/>
      </c>
      <c r="B125" s="2"/>
      <c r="C125" s="2"/>
      <c r="D125" s="2"/>
      <c r="E125" s="2"/>
      <c r="F125" s="2"/>
      <c r="G125" s="2"/>
      <c r="H125" s="2"/>
      <c r="I125" s="2"/>
      <c r="J125" s="2"/>
      <c r="K125" s="2"/>
      <c r="L125" s="2"/>
      <c r="M125" s="2"/>
      <c r="N125" s="2"/>
      <c r="O125" s="2"/>
      <c r="P125" s="2"/>
    </row>
    <row r="126" spans="1:16" ht="12" customHeight="1" x14ac:dyDescent="0.3">
      <c r="A126" s="2" t="str">
        <f t="shared" si="1"/>
        <v/>
      </c>
      <c r="B126" s="2"/>
      <c r="C126" s="2"/>
      <c r="D126" s="2"/>
      <c r="E126" s="2"/>
      <c r="F126" s="2"/>
      <c r="G126" s="2"/>
      <c r="H126" s="2"/>
      <c r="I126" s="2"/>
      <c r="J126" s="2"/>
      <c r="K126" s="2"/>
      <c r="L126" s="2"/>
      <c r="M126" s="2"/>
      <c r="N126" s="2"/>
      <c r="O126" s="2"/>
      <c r="P126" s="2"/>
    </row>
    <row r="127" spans="1:16" ht="12" customHeight="1" x14ac:dyDescent="0.3">
      <c r="A127" s="2" t="str">
        <f t="shared" si="1"/>
        <v/>
      </c>
      <c r="B127" s="2"/>
      <c r="C127" s="2"/>
      <c r="D127" s="2"/>
      <c r="E127" s="2"/>
      <c r="F127" s="2"/>
      <c r="G127" s="2"/>
      <c r="H127" s="2"/>
      <c r="I127" s="2"/>
      <c r="J127" s="2"/>
      <c r="K127" s="2"/>
      <c r="L127" s="2"/>
      <c r="M127" s="2"/>
      <c r="N127" s="2"/>
      <c r="O127" s="2"/>
      <c r="P127" s="2"/>
    </row>
    <row r="128" spans="1:16" ht="12" customHeight="1" x14ac:dyDescent="0.3">
      <c r="A128" s="2" t="str">
        <f t="shared" si="1"/>
        <v/>
      </c>
      <c r="B128" s="2"/>
      <c r="C128" s="2"/>
      <c r="D128" s="2"/>
      <c r="E128" s="2"/>
      <c r="F128" s="2"/>
      <c r="G128" s="2"/>
      <c r="H128" s="2"/>
      <c r="I128" s="2"/>
      <c r="J128" s="2"/>
      <c r="K128" s="2"/>
      <c r="L128" s="2"/>
      <c r="M128" s="2"/>
      <c r="N128" s="2"/>
      <c r="O128" s="2"/>
      <c r="P128" s="2"/>
    </row>
    <row r="129" spans="1:16" ht="12" customHeight="1" x14ac:dyDescent="0.3">
      <c r="A129" s="2" t="str">
        <f t="shared" si="1"/>
        <v/>
      </c>
      <c r="B129" s="2"/>
      <c r="C129" s="2"/>
      <c r="D129" s="2"/>
      <c r="E129" s="2"/>
      <c r="F129" s="2"/>
      <c r="G129" s="2"/>
      <c r="H129" s="2"/>
      <c r="I129" s="2"/>
      <c r="J129" s="2"/>
      <c r="K129" s="2"/>
      <c r="L129" s="2"/>
      <c r="M129" s="2"/>
      <c r="N129" s="2"/>
      <c r="O129" s="2"/>
      <c r="P129" s="2"/>
    </row>
    <row r="130" spans="1:16" ht="12" customHeight="1" x14ac:dyDescent="0.3">
      <c r="A130" s="2" t="str">
        <f t="shared" si="1"/>
        <v/>
      </c>
      <c r="B130" s="2"/>
      <c r="C130" s="2"/>
      <c r="D130" s="2"/>
      <c r="E130" s="2"/>
      <c r="F130" s="2"/>
      <c r="G130" s="2"/>
      <c r="H130" s="2"/>
      <c r="I130" s="2"/>
      <c r="J130" s="2"/>
      <c r="K130" s="2"/>
      <c r="L130" s="2"/>
      <c r="M130" s="2"/>
      <c r="N130" s="2"/>
      <c r="O130" s="2"/>
      <c r="P130" s="2"/>
    </row>
    <row r="131" spans="1:16" ht="12" customHeight="1" x14ac:dyDescent="0.3">
      <c r="A131" s="2" t="str">
        <f t="shared" si="1"/>
        <v/>
      </c>
      <c r="B131" s="2"/>
      <c r="C131" s="2"/>
      <c r="D131" s="2"/>
      <c r="E131" s="2"/>
      <c r="F131" s="2"/>
      <c r="G131" s="2"/>
      <c r="H131" s="2"/>
      <c r="I131" s="2"/>
      <c r="J131" s="2"/>
      <c r="K131" s="2"/>
      <c r="L131" s="2"/>
      <c r="M131" s="2"/>
      <c r="N131" s="2"/>
      <c r="O131" s="2"/>
      <c r="P131" s="2"/>
    </row>
    <row r="132" spans="1:16" ht="12" customHeight="1" x14ac:dyDescent="0.3">
      <c r="A132" s="2" t="str">
        <f t="shared" si="1"/>
        <v/>
      </c>
      <c r="B132" s="2"/>
      <c r="C132" s="2"/>
      <c r="D132" s="2"/>
      <c r="E132" s="2"/>
      <c r="F132" s="2"/>
      <c r="G132" s="2"/>
      <c r="H132" s="2"/>
      <c r="I132" s="2"/>
      <c r="J132" s="2"/>
      <c r="K132" s="2"/>
      <c r="L132" s="2"/>
      <c r="M132" s="2"/>
      <c r="N132" s="2"/>
      <c r="O132" s="2"/>
      <c r="P132" s="2"/>
    </row>
    <row r="133" spans="1:16" ht="12" customHeight="1" x14ac:dyDescent="0.3">
      <c r="A133" s="2" t="str">
        <f t="shared" si="1"/>
        <v/>
      </c>
      <c r="B133" s="2"/>
      <c r="C133" s="2"/>
      <c r="D133" s="2"/>
      <c r="E133" s="2"/>
      <c r="F133" s="2"/>
      <c r="G133" s="2"/>
      <c r="H133" s="2"/>
      <c r="I133" s="2"/>
      <c r="J133" s="2"/>
      <c r="K133" s="2"/>
      <c r="L133" s="2"/>
      <c r="M133" s="2"/>
      <c r="N133" s="2"/>
      <c r="O133" s="2"/>
      <c r="P133" s="2"/>
    </row>
    <row r="134" spans="1:16" ht="12" customHeight="1" x14ac:dyDescent="0.3">
      <c r="A134" s="2" t="str">
        <f t="shared" si="1"/>
        <v/>
      </c>
      <c r="B134" s="2"/>
      <c r="C134" s="2"/>
      <c r="D134" s="2"/>
      <c r="E134" s="2"/>
      <c r="F134" s="2"/>
      <c r="G134" s="2"/>
      <c r="H134" s="2"/>
      <c r="I134" s="2"/>
      <c r="J134" s="2"/>
      <c r="K134" s="2"/>
      <c r="L134" s="2"/>
      <c r="M134" s="2"/>
      <c r="N134" s="2"/>
      <c r="O134" s="2"/>
      <c r="P134" s="2"/>
    </row>
    <row r="135" spans="1:16" ht="12" customHeight="1" x14ac:dyDescent="0.3">
      <c r="A135" s="2" t="str">
        <f t="shared" si="1"/>
        <v/>
      </c>
      <c r="B135" s="2"/>
      <c r="C135" s="2"/>
      <c r="D135" s="2"/>
      <c r="E135" s="2"/>
      <c r="F135" s="2"/>
      <c r="G135" s="2"/>
      <c r="H135" s="2"/>
      <c r="I135" s="2"/>
      <c r="J135" s="2"/>
      <c r="K135" s="2"/>
      <c r="L135" s="2"/>
      <c r="M135" s="2"/>
      <c r="N135" s="2"/>
      <c r="O135" s="2"/>
      <c r="P135" s="2"/>
    </row>
    <row r="136" spans="1:16" ht="12" customHeight="1" x14ac:dyDescent="0.3">
      <c r="A136" s="2" t="str">
        <f t="shared" si="1"/>
        <v/>
      </c>
      <c r="B136" s="2"/>
      <c r="C136" s="2"/>
      <c r="D136" s="2"/>
      <c r="E136" s="2"/>
      <c r="F136" s="2"/>
      <c r="G136" s="2"/>
      <c r="H136" s="2"/>
      <c r="I136" s="2"/>
      <c r="J136" s="2"/>
      <c r="K136" s="2"/>
      <c r="L136" s="2"/>
      <c r="M136" s="2"/>
      <c r="N136" s="2"/>
      <c r="O136" s="2"/>
      <c r="P136" s="2"/>
    </row>
    <row r="137" spans="1:16" ht="12" customHeight="1" x14ac:dyDescent="0.3">
      <c r="A137" s="2" t="str">
        <f t="shared" si="1"/>
        <v/>
      </c>
      <c r="B137" s="2"/>
      <c r="C137" s="2"/>
      <c r="D137" s="2"/>
      <c r="E137" s="2"/>
      <c r="F137" s="2"/>
      <c r="G137" s="2"/>
      <c r="H137" s="2"/>
      <c r="I137" s="2"/>
      <c r="J137" s="2"/>
      <c r="K137" s="2"/>
      <c r="L137" s="2"/>
      <c r="M137" s="2"/>
      <c r="N137" s="2"/>
      <c r="O137" s="2"/>
      <c r="P137" s="2"/>
    </row>
    <row r="138" spans="1:16" ht="12" customHeight="1" x14ac:dyDescent="0.3">
      <c r="A138" s="2" t="str">
        <f t="shared" si="1"/>
        <v/>
      </c>
      <c r="B138" s="2"/>
      <c r="C138" s="2"/>
      <c r="D138" s="2"/>
      <c r="E138" s="2"/>
      <c r="F138" s="2"/>
      <c r="G138" s="2"/>
      <c r="H138" s="2"/>
      <c r="I138" s="2"/>
      <c r="J138" s="2"/>
      <c r="K138" s="2"/>
      <c r="L138" s="2"/>
      <c r="M138" s="2"/>
      <c r="N138" s="2"/>
      <c r="O138" s="2"/>
      <c r="P138" s="2"/>
    </row>
    <row r="139" spans="1:16" ht="12" customHeight="1" x14ac:dyDescent="0.3">
      <c r="A139" s="2" t="str">
        <f t="shared" si="1"/>
        <v/>
      </c>
      <c r="B139" s="2"/>
      <c r="C139" s="2"/>
      <c r="D139" s="2"/>
      <c r="E139" s="2"/>
      <c r="F139" s="2"/>
      <c r="G139" s="2"/>
      <c r="H139" s="2"/>
      <c r="I139" s="2"/>
      <c r="J139" s="2"/>
      <c r="K139" s="2"/>
      <c r="L139" s="2"/>
      <c r="M139" s="2"/>
      <c r="N139" s="2"/>
      <c r="O139" s="2"/>
      <c r="P139" s="2"/>
    </row>
    <row r="140" spans="1:16" ht="12" customHeight="1" x14ac:dyDescent="0.3">
      <c r="A140" s="2" t="str">
        <f t="shared" si="1"/>
        <v/>
      </c>
      <c r="B140" s="2"/>
      <c r="C140" s="2"/>
      <c r="D140" s="2"/>
      <c r="E140" s="2"/>
      <c r="F140" s="2"/>
      <c r="G140" s="2"/>
      <c r="H140" s="2"/>
      <c r="I140" s="2"/>
      <c r="J140" s="2"/>
      <c r="K140" s="2"/>
      <c r="L140" s="2"/>
      <c r="M140" s="2"/>
      <c r="N140" s="2"/>
      <c r="O140" s="2"/>
      <c r="P140" s="2"/>
    </row>
    <row r="141" spans="1:16" ht="12" customHeight="1" x14ac:dyDescent="0.3">
      <c r="A141" s="2" t="str">
        <f t="shared" si="1"/>
        <v/>
      </c>
      <c r="B141" s="2"/>
      <c r="C141" s="2"/>
      <c r="D141" s="2"/>
      <c r="E141" s="2"/>
      <c r="F141" s="2"/>
      <c r="G141" s="2"/>
      <c r="H141" s="2"/>
      <c r="I141" s="2"/>
      <c r="J141" s="2"/>
      <c r="K141" s="2"/>
      <c r="L141" s="2"/>
      <c r="M141" s="2"/>
      <c r="N141" s="2"/>
      <c r="O141" s="2"/>
      <c r="P141" s="2"/>
    </row>
    <row r="142" spans="1:16" ht="12" customHeight="1" x14ac:dyDescent="0.3">
      <c r="A142" s="2" t="str">
        <f t="shared" si="1"/>
        <v/>
      </c>
      <c r="B142" s="2"/>
      <c r="C142" s="2"/>
      <c r="D142" s="2"/>
      <c r="E142" s="2"/>
      <c r="F142" s="2"/>
      <c r="G142" s="2"/>
      <c r="H142" s="2"/>
      <c r="I142" s="2"/>
      <c r="J142" s="2"/>
      <c r="K142" s="2"/>
      <c r="L142" s="2"/>
      <c r="M142" s="2"/>
      <c r="N142" s="2"/>
      <c r="O142" s="2"/>
      <c r="P142" s="2"/>
    </row>
    <row r="143" spans="1:16" ht="12" customHeight="1" x14ac:dyDescent="0.3">
      <c r="A143" s="2" t="str">
        <f t="shared" si="1"/>
        <v/>
      </c>
      <c r="B143" s="2"/>
      <c r="C143" s="2"/>
      <c r="D143" s="2"/>
      <c r="E143" s="2"/>
      <c r="F143" s="2"/>
      <c r="G143" s="2"/>
      <c r="H143" s="2"/>
      <c r="I143" s="2"/>
      <c r="J143" s="2"/>
      <c r="K143" s="2"/>
      <c r="L143" s="2"/>
      <c r="M143" s="2"/>
      <c r="N143" s="2"/>
      <c r="O143" s="2"/>
      <c r="P143" s="2"/>
    </row>
    <row r="144" spans="1:16" ht="12" customHeight="1" x14ac:dyDescent="0.3">
      <c r="A144" s="2" t="str">
        <f t="shared" si="1"/>
        <v/>
      </c>
      <c r="B144" s="2"/>
      <c r="C144" s="2"/>
      <c r="D144" s="2"/>
      <c r="E144" s="2"/>
      <c r="F144" s="2"/>
      <c r="G144" s="2"/>
      <c r="H144" s="2"/>
      <c r="I144" s="2"/>
      <c r="J144" s="2"/>
      <c r="K144" s="2"/>
      <c r="L144" s="2"/>
      <c r="M144" s="2"/>
      <c r="N144" s="2"/>
      <c r="O144" s="2"/>
      <c r="P144" s="2"/>
    </row>
    <row r="145" spans="1:16" ht="12" customHeight="1" x14ac:dyDescent="0.3">
      <c r="A145" s="2" t="str">
        <f t="shared" si="1"/>
        <v/>
      </c>
      <c r="B145" s="2"/>
      <c r="C145" s="2"/>
      <c r="D145" s="2"/>
      <c r="E145" s="2"/>
      <c r="F145" s="2"/>
      <c r="G145" s="2"/>
      <c r="H145" s="2"/>
      <c r="I145" s="2"/>
      <c r="J145" s="2"/>
      <c r="K145" s="2"/>
      <c r="L145" s="2"/>
      <c r="M145" s="2"/>
      <c r="N145" s="2"/>
      <c r="O145" s="2"/>
      <c r="P145" s="2"/>
    </row>
    <row r="146" spans="1:16" ht="12" customHeight="1" x14ac:dyDescent="0.3">
      <c r="A146" s="2" t="str">
        <f t="shared" si="1"/>
        <v/>
      </c>
      <c r="B146" s="2"/>
      <c r="C146" s="2"/>
      <c r="D146" s="2"/>
      <c r="E146" s="2"/>
      <c r="F146" s="2"/>
      <c r="G146" s="2"/>
      <c r="H146" s="2"/>
      <c r="I146" s="2"/>
      <c r="J146" s="2"/>
      <c r="K146" s="2"/>
      <c r="L146" s="2"/>
      <c r="M146" s="2"/>
      <c r="N146" s="2"/>
      <c r="O146" s="2"/>
      <c r="P146" s="2"/>
    </row>
    <row r="147" spans="1:16" ht="12" customHeight="1" x14ac:dyDescent="0.3">
      <c r="A147" s="2" t="str">
        <f t="shared" si="1"/>
        <v/>
      </c>
      <c r="B147" s="2"/>
      <c r="C147" s="2"/>
      <c r="D147" s="2"/>
      <c r="E147" s="2"/>
      <c r="F147" s="2"/>
      <c r="G147" s="2"/>
      <c r="H147" s="2"/>
      <c r="I147" s="2"/>
      <c r="J147" s="2"/>
      <c r="K147" s="2"/>
      <c r="L147" s="2"/>
      <c r="M147" s="2"/>
      <c r="N147" s="2"/>
      <c r="O147" s="2"/>
      <c r="P147" s="2"/>
    </row>
    <row r="148" spans="1:16" ht="12" customHeight="1" x14ac:dyDescent="0.3">
      <c r="A148" s="2" t="str">
        <f t="shared" si="1"/>
        <v/>
      </c>
      <c r="B148" s="2"/>
      <c r="C148" s="2"/>
      <c r="D148" s="2"/>
      <c r="E148" s="2"/>
      <c r="F148" s="2"/>
      <c r="G148" s="2"/>
      <c r="H148" s="2"/>
      <c r="I148" s="2"/>
      <c r="J148" s="2"/>
      <c r="K148" s="2"/>
      <c r="L148" s="2"/>
      <c r="M148" s="2"/>
      <c r="N148" s="2"/>
      <c r="O148" s="2"/>
      <c r="P148" s="2"/>
    </row>
    <row r="149" spans="1:16" ht="12" customHeight="1" x14ac:dyDescent="0.3">
      <c r="A149" s="2" t="str">
        <f t="shared" si="1"/>
        <v/>
      </c>
      <c r="B149" s="2"/>
      <c r="C149" s="2"/>
      <c r="D149" s="2"/>
      <c r="E149" s="2"/>
      <c r="F149" s="2"/>
      <c r="G149" s="2"/>
      <c r="H149" s="2"/>
      <c r="I149" s="2"/>
      <c r="J149" s="2"/>
      <c r="K149" s="2"/>
      <c r="L149" s="2"/>
      <c r="M149" s="2"/>
      <c r="N149" s="2"/>
      <c r="O149" s="2"/>
      <c r="P149" s="2"/>
    </row>
    <row r="150" spans="1:16" ht="12" customHeight="1" x14ac:dyDescent="0.3">
      <c r="A150" s="2" t="str">
        <f t="shared" si="1"/>
        <v/>
      </c>
      <c r="B150" s="2"/>
      <c r="C150" s="2"/>
      <c r="D150" s="2"/>
      <c r="E150" s="2"/>
      <c r="F150" s="2"/>
      <c r="G150" s="2"/>
      <c r="H150" s="2"/>
      <c r="I150" s="2"/>
      <c r="J150" s="2"/>
      <c r="K150" s="2"/>
      <c r="L150" s="2"/>
      <c r="M150" s="2"/>
      <c r="N150" s="2"/>
      <c r="O150" s="2"/>
      <c r="P150" s="2"/>
    </row>
    <row r="151" spans="1:16" ht="12" customHeight="1" x14ac:dyDescent="0.3">
      <c r="A151" s="2" t="str">
        <f t="shared" si="1"/>
        <v/>
      </c>
      <c r="B151" s="2"/>
      <c r="C151" s="2"/>
      <c r="D151" s="2"/>
      <c r="E151" s="2"/>
      <c r="F151" s="2"/>
      <c r="G151" s="2"/>
      <c r="H151" s="2"/>
      <c r="I151" s="2"/>
      <c r="J151" s="2"/>
      <c r="K151" s="2"/>
      <c r="L151" s="2"/>
      <c r="M151" s="2"/>
      <c r="N151" s="2"/>
      <c r="O151" s="2"/>
      <c r="P151" s="2"/>
    </row>
    <row r="152" spans="1:16" ht="12" customHeight="1" x14ac:dyDescent="0.3">
      <c r="A152" s="2" t="str">
        <f t="shared" si="1"/>
        <v/>
      </c>
      <c r="B152" s="2"/>
      <c r="C152" s="2"/>
      <c r="D152" s="2"/>
      <c r="E152" s="2"/>
      <c r="F152" s="2"/>
      <c r="G152" s="2"/>
      <c r="H152" s="2"/>
      <c r="I152" s="2"/>
      <c r="J152" s="2"/>
      <c r="K152" s="2"/>
      <c r="L152" s="2"/>
      <c r="M152" s="2"/>
      <c r="N152" s="2"/>
      <c r="O152" s="2"/>
      <c r="P152" s="2"/>
    </row>
    <row r="153" spans="1:16" ht="12" customHeight="1" x14ac:dyDescent="0.3">
      <c r="A153" s="2" t="str">
        <f t="shared" si="1"/>
        <v/>
      </c>
      <c r="B153" s="2"/>
      <c r="C153" s="2"/>
      <c r="D153" s="2"/>
      <c r="E153" s="2"/>
      <c r="F153" s="2"/>
      <c r="G153" s="2"/>
      <c r="H153" s="2"/>
      <c r="I153" s="2"/>
      <c r="J153" s="2"/>
      <c r="K153" s="2"/>
      <c r="L153" s="2"/>
      <c r="M153" s="2"/>
      <c r="N153" s="2"/>
      <c r="O153" s="2"/>
      <c r="P153" s="2"/>
    </row>
    <row r="154" spans="1:16" ht="12" customHeight="1" x14ac:dyDescent="0.3">
      <c r="A154" s="2" t="str">
        <f t="shared" ref="A154:A217" si="2">IF(B154&lt;&gt;"","REC-"&amp;TEXT(ROW()-1,"000"),"")</f>
        <v/>
      </c>
      <c r="B154" s="2"/>
      <c r="C154" s="2"/>
      <c r="D154" s="2"/>
      <c r="E154" s="2"/>
      <c r="F154" s="2"/>
      <c r="G154" s="2"/>
      <c r="H154" s="2"/>
      <c r="I154" s="2"/>
      <c r="J154" s="2"/>
      <c r="K154" s="2"/>
      <c r="L154" s="2"/>
      <c r="M154" s="2"/>
      <c r="N154" s="2"/>
      <c r="O154" s="2"/>
      <c r="P154" s="2"/>
    </row>
    <row r="155" spans="1:16" ht="12" customHeight="1" x14ac:dyDescent="0.3">
      <c r="A155" s="2" t="str">
        <f t="shared" si="2"/>
        <v/>
      </c>
      <c r="B155" s="2"/>
      <c r="C155" s="2"/>
      <c r="D155" s="2"/>
      <c r="E155" s="2"/>
      <c r="F155" s="2"/>
      <c r="G155" s="2"/>
      <c r="H155" s="2"/>
      <c r="I155" s="2"/>
      <c r="J155" s="2"/>
      <c r="K155" s="2"/>
      <c r="L155" s="2"/>
      <c r="M155" s="2"/>
      <c r="N155" s="2"/>
      <c r="O155" s="2"/>
      <c r="P155" s="2"/>
    </row>
    <row r="156" spans="1:16" ht="12" customHeight="1" x14ac:dyDescent="0.3">
      <c r="A156" s="2" t="str">
        <f t="shared" si="2"/>
        <v/>
      </c>
      <c r="B156" s="2"/>
      <c r="C156" s="2"/>
      <c r="D156" s="2"/>
      <c r="E156" s="2"/>
      <c r="F156" s="2"/>
      <c r="G156" s="2"/>
      <c r="H156" s="2"/>
      <c r="I156" s="2"/>
      <c r="J156" s="2"/>
      <c r="K156" s="2"/>
      <c r="L156" s="2"/>
      <c r="M156" s="2"/>
      <c r="N156" s="2"/>
      <c r="O156" s="2"/>
      <c r="P156" s="2"/>
    </row>
    <row r="157" spans="1:16" ht="12" customHeight="1" x14ac:dyDescent="0.3">
      <c r="A157" s="2" t="str">
        <f t="shared" si="2"/>
        <v/>
      </c>
      <c r="B157" s="2"/>
      <c r="C157" s="2"/>
      <c r="D157" s="2"/>
      <c r="E157" s="2"/>
      <c r="F157" s="2"/>
      <c r="G157" s="2"/>
      <c r="H157" s="2"/>
      <c r="I157" s="2"/>
      <c r="J157" s="2"/>
      <c r="K157" s="2"/>
      <c r="L157" s="2"/>
      <c r="M157" s="2"/>
      <c r="N157" s="2"/>
      <c r="O157" s="2"/>
      <c r="P157" s="2"/>
    </row>
    <row r="158" spans="1:16" ht="12" customHeight="1" x14ac:dyDescent="0.3">
      <c r="A158" s="2" t="str">
        <f t="shared" si="2"/>
        <v/>
      </c>
      <c r="B158" s="2"/>
      <c r="C158" s="2"/>
      <c r="D158" s="2"/>
      <c r="E158" s="2"/>
      <c r="F158" s="2"/>
      <c r="G158" s="2"/>
      <c r="H158" s="2"/>
      <c r="I158" s="2"/>
      <c r="J158" s="2"/>
      <c r="K158" s="2"/>
      <c r="L158" s="2"/>
      <c r="M158" s="2"/>
      <c r="N158" s="2"/>
      <c r="O158" s="2"/>
      <c r="P158" s="2"/>
    </row>
    <row r="159" spans="1:16" ht="12" customHeight="1" x14ac:dyDescent="0.3">
      <c r="A159" s="2" t="str">
        <f t="shared" si="2"/>
        <v/>
      </c>
      <c r="B159" s="2"/>
      <c r="C159" s="2"/>
      <c r="D159" s="2"/>
      <c r="E159" s="2"/>
      <c r="F159" s="2"/>
      <c r="G159" s="2"/>
      <c r="H159" s="2"/>
      <c r="I159" s="2"/>
      <c r="J159" s="2"/>
      <c r="K159" s="2"/>
      <c r="L159" s="2"/>
      <c r="M159" s="2"/>
      <c r="N159" s="2"/>
      <c r="O159" s="2"/>
      <c r="P159" s="2"/>
    </row>
    <row r="160" spans="1:16" ht="12" customHeight="1" x14ac:dyDescent="0.3">
      <c r="A160" s="2" t="str">
        <f t="shared" si="2"/>
        <v/>
      </c>
      <c r="B160" s="2"/>
      <c r="C160" s="2"/>
      <c r="D160" s="2"/>
      <c r="E160" s="2"/>
      <c r="F160" s="2"/>
      <c r="G160" s="2"/>
      <c r="H160" s="2"/>
      <c r="I160" s="2"/>
      <c r="J160" s="2"/>
      <c r="K160" s="2"/>
      <c r="L160" s="2"/>
      <c r="M160" s="2"/>
      <c r="N160" s="2"/>
      <c r="O160" s="2"/>
      <c r="P160" s="2"/>
    </row>
    <row r="161" spans="1:16" ht="12" customHeight="1" x14ac:dyDescent="0.3">
      <c r="A161" s="2" t="str">
        <f t="shared" si="2"/>
        <v/>
      </c>
      <c r="B161" s="2"/>
      <c r="C161" s="2"/>
      <c r="D161" s="2"/>
      <c r="E161" s="2"/>
      <c r="F161" s="2"/>
      <c r="G161" s="2"/>
      <c r="H161" s="2"/>
      <c r="I161" s="2"/>
      <c r="J161" s="2"/>
      <c r="K161" s="2"/>
      <c r="L161" s="2"/>
      <c r="M161" s="2"/>
      <c r="N161" s="2"/>
      <c r="O161" s="2"/>
      <c r="P161" s="2"/>
    </row>
    <row r="162" spans="1:16" ht="12" customHeight="1" x14ac:dyDescent="0.3">
      <c r="A162" s="2" t="str">
        <f t="shared" si="2"/>
        <v/>
      </c>
      <c r="B162" s="2"/>
      <c r="C162" s="2"/>
      <c r="D162" s="2"/>
      <c r="E162" s="2"/>
      <c r="F162" s="2"/>
      <c r="G162" s="2"/>
      <c r="H162" s="2"/>
      <c r="I162" s="2"/>
      <c r="J162" s="2"/>
      <c r="K162" s="2"/>
      <c r="L162" s="2"/>
      <c r="M162" s="2"/>
      <c r="N162" s="2"/>
      <c r="O162" s="2"/>
      <c r="P162" s="2"/>
    </row>
    <row r="163" spans="1:16" ht="12" customHeight="1" x14ac:dyDescent="0.3">
      <c r="A163" s="2" t="str">
        <f t="shared" si="2"/>
        <v/>
      </c>
      <c r="B163" s="2"/>
      <c r="C163" s="2"/>
      <c r="D163" s="2"/>
      <c r="E163" s="2"/>
      <c r="F163" s="2"/>
      <c r="G163" s="2"/>
      <c r="H163" s="2"/>
      <c r="I163" s="2"/>
      <c r="J163" s="2"/>
      <c r="K163" s="2"/>
      <c r="L163" s="2"/>
      <c r="M163" s="2"/>
      <c r="N163" s="2"/>
      <c r="O163" s="2"/>
      <c r="P163" s="2"/>
    </row>
    <row r="164" spans="1:16" ht="12" customHeight="1" x14ac:dyDescent="0.3">
      <c r="A164" s="2" t="str">
        <f t="shared" si="2"/>
        <v/>
      </c>
      <c r="B164" s="2"/>
      <c r="C164" s="2"/>
      <c r="D164" s="2"/>
      <c r="E164" s="2"/>
      <c r="F164" s="2"/>
      <c r="G164" s="2"/>
      <c r="H164" s="2"/>
      <c r="I164" s="2"/>
      <c r="J164" s="2"/>
      <c r="K164" s="2"/>
      <c r="L164" s="2"/>
      <c r="M164" s="2"/>
      <c r="N164" s="2"/>
      <c r="O164" s="2"/>
      <c r="P164" s="2"/>
    </row>
    <row r="165" spans="1:16" ht="12" customHeight="1" x14ac:dyDescent="0.3">
      <c r="A165" s="2" t="str">
        <f t="shared" si="2"/>
        <v/>
      </c>
      <c r="B165" s="2"/>
      <c r="C165" s="2"/>
      <c r="D165" s="2"/>
      <c r="E165" s="2"/>
      <c r="F165" s="2"/>
      <c r="G165" s="2"/>
      <c r="H165" s="2"/>
      <c r="I165" s="2"/>
      <c r="J165" s="2"/>
      <c r="K165" s="2"/>
      <c r="L165" s="2"/>
      <c r="M165" s="2"/>
      <c r="N165" s="2"/>
      <c r="O165" s="2"/>
      <c r="P165" s="2"/>
    </row>
    <row r="166" spans="1:16" ht="12" customHeight="1" x14ac:dyDescent="0.3">
      <c r="A166" s="2" t="str">
        <f t="shared" si="2"/>
        <v/>
      </c>
      <c r="B166" s="2"/>
      <c r="C166" s="2"/>
      <c r="D166" s="2"/>
      <c r="E166" s="2"/>
      <c r="F166" s="2"/>
      <c r="G166" s="2"/>
      <c r="H166" s="2"/>
      <c r="I166" s="2"/>
      <c r="J166" s="2"/>
      <c r="K166" s="2"/>
      <c r="L166" s="2"/>
      <c r="M166" s="2"/>
      <c r="N166" s="2"/>
      <c r="O166" s="2"/>
      <c r="P166" s="2"/>
    </row>
    <row r="167" spans="1:16" ht="12" customHeight="1" x14ac:dyDescent="0.3">
      <c r="A167" s="2" t="str">
        <f t="shared" si="2"/>
        <v/>
      </c>
      <c r="B167" s="2"/>
      <c r="C167" s="2"/>
      <c r="D167" s="2"/>
      <c r="E167" s="2"/>
      <c r="F167" s="2"/>
      <c r="G167" s="2"/>
      <c r="H167" s="2"/>
      <c r="I167" s="2"/>
      <c r="J167" s="2"/>
      <c r="K167" s="2"/>
      <c r="L167" s="2"/>
      <c r="M167" s="2"/>
      <c r="N167" s="2"/>
      <c r="O167" s="2"/>
      <c r="P167" s="2"/>
    </row>
    <row r="168" spans="1:16" ht="12" customHeight="1" x14ac:dyDescent="0.3">
      <c r="A168" s="2" t="str">
        <f t="shared" si="2"/>
        <v/>
      </c>
      <c r="B168" s="2"/>
      <c r="C168" s="2"/>
      <c r="D168" s="2"/>
      <c r="E168" s="2"/>
      <c r="F168" s="2"/>
      <c r="G168" s="2"/>
      <c r="H168" s="2"/>
      <c r="I168" s="2"/>
      <c r="J168" s="2"/>
      <c r="K168" s="2"/>
      <c r="L168" s="2"/>
      <c r="M168" s="2"/>
      <c r="N168" s="2"/>
      <c r="O168" s="2"/>
      <c r="P168" s="2"/>
    </row>
    <row r="169" spans="1:16" ht="12" customHeight="1" x14ac:dyDescent="0.3">
      <c r="A169" s="2" t="str">
        <f t="shared" si="2"/>
        <v/>
      </c>
      <c r="B169" s="2"/>
      <c r="C169" s="2"/>
      <c r="D169" s="2"/>
      <c r="E169" s="2"/>
      <c r="F169" s="2"/>
      <c r="G169" s="2"/>
      <c r="H169" s="2"/>
      <c r="I169" s="2"/>
      <c r="J169" s="2"/>
      <c r="K169" s="2"/>
      <c r="L169" s="2"/>
      <c r="M169" s="2"/>
      <c r="N169" s="2"/>
      <c r="O169" s="2"/>
      <c r="P169" s="2"/>
    </row>
    <row r="170" spans="1:16" ht="12" customHeight="1" x14ac:dyDescent="0.3">
      <c r="A170" s="2" t="str">
        <f t="shared" si="2"/>
        <v/>
      </c>
      <c r="B170" s="2"/>
      <c r="C170" s="2"/>
      <c r="D170" s="2"/>
      <c r="E170" s="2"/>
      <c r="F170" s="2"/>
      <c r="G170" s="2"/>
      <c r="H170" s="2"/>
      <c r="I170" s="2"/>
      <c r="J170" s="2"/>
      <c r="K170" s="2"/>
      <c r="L170" s="2"/>
      <c r="M170" s="2"/>
      <c r="N170" s="2"/>
      <c r="O170" s="2"/>
      <c r="P170" s="2"/>
    </row>
    <row r="171" spans="1:16" ht="12" customHeight="1" x14ac:dyDescent="0.3">
      <c r="A171" s="2" t="str">
        <f t="shared" si="2"/>
        <v/>
      </c>
      <c r="B171" s="2"/>
      <c r="C171" s="2"/>
      <c r="D171" s="2"/>
      <c r="E171" s="2"/>
      <c r="F171" s="2"/>
      <c r="G171" s="2"/>
      <c r="H171" s="2"/>
      <c r="I171" s="2"/>
      <c r="J171" s="2"/>
      <c r="K171" s="2"/>
      <c r="L171" s="2"/>
      <c r="M171" s="2"/>
      <c r="N171" s="2"/>
      <c r="O171" s="2"/>
      <c r="P171" s="2"/>
    </row>
    <row r="172" spans="1:16" ht="12" customHeight="1" x14ac:dyDescent="0.3">
      <c r="A172" s="2" t="str">
        <f t="shared" si="2"/>
        <v/>
      </c>
      <c r="B172" s="2"/>
      <c r="C172" s="2"/>
      <c r="D172" s="2"/>
      <c r="E172" s="2"/>
      <c r="F172" s="2"/>
      <c r="G172" s="2"/>
      <c r="H172" s="2"/>
      <c r="I172" s="2"/>
      <c r="J172" s="2"/>
      <c r="K172" s="2"/>
      <c r="L172" s="2"/>
      <c r="M172" s="2"/>
      <c r="N172" s="2"/>
      <c r="O172" s="2"/>
      <c r="P172" s="2"/>
    </row>
    <row r="173" spans="1:16" ht="12" customHeight="1" x14ac:dyDescent="0.3">
      <c r="A173" s="2" t="str">
        <f t="shared" si="2"/>
        <v/>
      </c>
      <c r="B173" s="2"/>
      <c r="C173" s="2"/>
      <c r="D173" s="2"/>
      <c r="E173" s="2"/>
      <c r="F173" s="2"/>
      <c r="G173" s="2"/>
      <c r="H173" s="2"/>
      <c r="I173" s="2"/>
      <c r="J173" s="2"/>
      <c r="K173" s="2"/>
      <c r="L173" s="2"/>
      <c r="M173" s="2"/>
      <c r="N173" s="2"/>
      <c r="O173" s="2"/>
      <c r="P173" s="2"/>
    </row>
    <row r="174" spans="1:16" ht="12" customHeight="1" x14ac:dyDescent="0.3">
      <c r="A174" s="2" t="str">
        <f t="shared" si="2"/>
        <v/>
      </c>
      <c r="B174" s="2"/>
      <c r="C174" s="2"/>
      <c r="D174" s="2"/>
      <c r="E174" s="2"/>
      <c r="F174" s="2"/>
      <c r="G174" s="2"/>
      <c r="H174" s="2"/>
      <c r="I174" s="2"/>
      <c r="J174" s="2"/>
      <c r="K174" s="2"/>
      <c r="L174" s="2"/>
      <c r="M174" s="2"/>
      <c r="N174" s="2"/>
      <c r="O174" s="2"/>
      <c r="P174" s="2"/>
    </row>
    <row r="175" spans="1:16" ht="12" customHeight="1" x14ac:dyDescent="0.3">
      <c r="A175" s="2" t="str">
        <f t="shared" si="2"/>
        <v/>
      </c>
      <c r="B175" s="2"/>
      <c r="C175" s="2"/>
      <c r="D175" s="2"/>
      <c r="E175" s="2"/>
      <c r="F175" s="2"/>
      <c r="G175" s="2"/>
      <c r="H175" s="2"/>
      <c r="I175" s="2"/>
      <c r="J175" s="2"/>
      <c r="K175" s="2"/>
      <c r="L175" s="2"/>
      <c r="M175" s="2"/>
      <c r="N175" s="2"/>
      <c r="O175" s="2"/>
      <c r="P175" s="2"/>
    </row>
    <row r="176" spans="1:16" ht="12" customHeight="1" x14ac:dyDescent="0.3">
      <c r="A176" s="2" t="str">
        <f t="shared" si="2"/>
        <v/>
      </c>
      <c r="B176" s="2"/>
      <c r="C176" s="2"/>
      <c r="D176" s="2"/>
      <c r="E176" s="2"/>
      <c r="F176" s="2"/>
      <c r="G176" s="2"/>
      <c r="H176" s="2"/>
      <c r="I176" s="2"/>
      <c r="J176" s="2"/>
      <c r="K176" s="2"/>
      <c r="L176" s="2"/>
      <c r="M176" s="2"/>
      <c r="N176" s="2"/>
      <c r="O176" s="2"/>
      <c r="P176" s="2"/>
    </row>
    <row r="177" spans="1:16" ht="12" customHeight="1" x14ac:dyDescent="0.3">
      <c r="A177" s="2" t="str">
        <f t="shared" si="2"/>
        <v/>
      </c>
      <c r="B177" s="2"/>
      <c r="C177" s="2"/>
      <c r="D177" s="2"/>
      <c r="E177" s="2"/>
      <c r="F177" s="2"/>
      <c r="G177" s="2"/>
      <c r="H177" s="2"/>
      <c r="I177" s="2"/>
      <c r="J177" s="2"/>
      <c r="K177" s="2"/>
      <c r="L177" s="2"/>
      <c r="M177" s="2"/>
      <c r="N177" s="2"/>
      <c r="O177" s="2"/>
      <c r="P177" s="2"/>
    </row>
    <row r="178" spans="1:16" ht="12" customHeight="1" x14ac:dyDescent="0.3">
      <c r="A178" s="2" t="str">
        <f t="shared" si="2"/>
        <v/>
      </c>
      <c r="B178" s="2"/>
      <c r="C178" s="2"/>
      <c r="D178" s="2"/>
      <c r="E178" s="2"/>
      <c r="F178" s="2"/>
      <c r="G178" s="2"/>
      <c r="H178" s="2"/>
      <c r="I178" s="2"/>
      <c r="J178" s="2"/>
      <c r="K178" s="2"/>
      <c r="L178" s="2"/>
      <c r="M178" s="2"/>
      <c r="N178" s="2"/>
      <c r="O178" s="2"/>
      <c r="P178" s="2"/>
    </row>
    <row r="179" spans="1:16" ht="12" customHeight="1" x14ac:dyDescent="0.3">
      <c r="A179" s="2" t="str">
        <f t="shared" si="2"/>
        <v/>
      </c>
      <c r="B179" s="2"/>
      <c r="C179" s="2"/>
      <c r="D179" s="2"/>
      <c r="E179" s="2"/>
      <c r="F179" s="2"/>
      <c r="G179" s="2"/>
      <c r="H179" s="2"/>
      <c r="I179" s="2"/>
      <c r="J179" s="2"/>
      <c r="K179" s="2"/>
      <c r="L179" s="2"/>
      <c r="M179" s="2"/>
      <c r="N179" s="2"/>
      <c r="O179" s="2"/>
      <c r="P179" s="2"/>
    </row>
    <row r="180" spans="1:16" ht="12" customHeight="1" x14ac:dyDescent="0.3">
      <c r="A180" s="2" t="str">
        <f t="shared" si="2"/>
        <v/>
      </c>
      <c r="B180" s="2"/>
      <c r="C180" s="2"/>
      <c r="D180" s="2"/>
      <c r="E180" s="2"/>
      <c r="F180" s="2"/>
      <c r="G180" s="2"/>
      <c r="H180" s="2"/>
      <c r="I180" s="2"/>
      <c r="J180" s="2"/>
      <c r="K180" s="2"/>
      <c r="L180" s="2"/>
      <c r="M180" s="2"/>
      <c r="N180" s="2"/>
      <c r="O180" s="2"/>
      <c r="P180" s="2"/>
    </row>
    <row r="181" spans="1:16" ht="12" customHeight="1" x14ac:dyDescent="0.3">
      <c r="A181" s="2" t="str">
        <f t="shared" si="2"/>
        <v/>
      </c>
      <c r="B181" s="2"/>
      <c r="C181" s="2"/>
      <c r="D181" s="2"/>
      <c r="E181" s="2"/>
      <c r="F181" s="2"/>
      <c r="G181" s="2"/>
      <c r="H181" s="2"/>
      <c r="I181" s="2"/>
      <c r="J181" s="2"/>
      <c r="K181" s="2"/>
      <c r="L181" s="2"/>
      <c r="M181" s="2"/>
      <c r="N181" s="2"/>
      <c r="O181" s="2"/>
      <c r="P181" s="2"/>
    </row>
    <row r="182" spans="1:16" ht="12" customHeight="1" x14ac:dyDescent="0.3">
      <c r="A182" s="2" t="str">
        <f t="shared" si="2"/>
        <v/>
      </c>
      <c r="B182" s="2"/>
      <c r="C182" s="2"/>
      <c r="D182" s="2"/>
      <c r="E182" s="2"/>
      <c r="F182" s="2"/>
      <c r="G182" s="2"/>
      <c r="H182" s="2"/>
      <c r="I182" s="2"/>
      <c r="J182" s="2"/>
      <c r="K182" s="2"/>
      <c r="L182" s="2"/>
      <c r="M182" s="2"/>
      <c r="N182" s="2"/>
      <c r="O182" s="2"/>
      <c r="P182" s="2"/>
    </row>
    <row r="183" spans="1:16" ht="12" customHeight="1" x14ac:dyDescent="0.3">
      <c r="A183" s="2" t="str">
        <f t="shared" si="2"/>
        <v/>
      </c>
      <c r="B183" s="2"/>
      <c r="C183" s="2"/>
      <c r="D183" s="2"/>
      <c r="E183" s="2"/>
      <c r="F183" s="2"/>
      <c r="G183" s="2"/>
      <c r="H183" s="2"/>
      <c r="I183" s="2"/>
      <c r="J183" s="2"/>
      <c r="K183" s="2"/>
      <c r="L183" s="2"/>
      <c r="M183" s="2"/>
      <c r="N183" s="2"/>
      <c r="O183" s="2"/>
      <c r="P183" s="2"/>
    </row>
    <row r="184" spans="1:16" ht="12" customHeight="1" x14ac:dyDescent="0.3">
      <c r="A184" s="2" t="str">
        <f t="shared" si="2"/>
        <v/>
      </c>
      <c r="B184" s="2"/>
      <c r="C184" s="2"/>
      <c r="D184" s="2"/>
      <c r="E184" s="2"/>
      <c r="F184" s="2"/>
      <c r="G184" s="2"/>
      <c r="H184" s="2"/>
      <c r="I184" s="2"/>
      <c r="J184" s="2"/>
      <c r="K184" s="2"/>
      <c r="L184" s="2"/>
      <c r="M184" s="2"/>
      <c r="N184" s="2"/>
      <c r="O184" s="2"/>
      <c r="P184" s="2"/>
    </row>
    <row r="185" spans="1:16" ht="12" customHeight="1" x14ac:dyDescent="0.3">
      <c r="A185" s="2" t="str">
        <f t="shared" si="2"/>
        <v/>
      </c>
      <c r="B185" s="2"/>
      <c r="C185" s="2"/>
      <c r="D185" s="2"/>
      <c r="E185" s="2"/>
      <c r="F185" s="2"/>
      <c r="G185" s="2"/>
      <c r="H185" s="2"/>
      <c r="I185" s="2"/>
      <c r="J185" s="2"/>
      <c r="K185" s="2"/>
      <c r="L185" s="2"/>
      <c r="M185" s="2"/>
      <c r="N185" s="2"/>
      <c r="O185" s="2"/>
      <c r="P185" s="2"/>
    </row>
    <row r="186" spans="1:16" ht="12" customHeight="1" x14ac:dyDescent="0.3">
      <c r="A186" s="2" t="str">
        <f t="shared" si="2"/>
        <v/>
      </c>
      <c r="B186" s="2"/>
      <c r="C186" s="2"/>
      <c r="D186" s="2"/>
      <c r="E186" s="2"/>
      <c r="F186" s="2"/>
      <c r="G186" s="2"/>
      <c r="H186" s="2"/>
      <c r="I186" s="2"/>
      <c r="J186" s="2"/>
      <c r="K186" s="2"/>
      <c r="L186" s="2"/>
      <c r="M186" s="2"/>
      <c r="N186" s="2"/>
      <c r="O186" s="2"/>
      <c r="P186" s="2"/>
    </row>
    <row r="187" spans="1:16" ht="12" customHeight="1" x14ac:dyDescent="0.3">
      <c r="A187" s="2" t="str">
        <f t="shared" si="2"/>
        <v/>
      </c>
      <c r="B187" s="2"/>
      <c r="C187" s="2"/>
      <c r="D187" s="2"/>
      <c r="E187" s="2"/>
      <c r="F187" s="2"/>
      <c r="G187" s="2"/>
      <c r="H187" s="2"/>
      <c r="I187" s="2"/>
      <c r="J187" s="2"/>
      <c r="K187" s="2"/>
      <c r="L187" s="2"/>
      <c r="M187" s="2"/>
      <c r="N187" s="2"/>
      <c r="O187" s="2"/>
      <c r="P187" s="2"/>
    </row>
    <row r="188" spans="1:16" ht="12" customHeight="1" x14ac:dyDescent="0.3">
      <c r="A188" s="2" t="str">
        <f t="shared" si="2"/>
        <v/>
      </c>
      <c r="B188" s="2"/>
      <c r="C188" s="2"/>
      <c r="D188" s="2"/>
      <c r="E188" s="2"/>
      <c r="F188" s="2"/>
      <c r="G188" s="2"/>
      <c r="H188" s="2"/>
      <c r="I188" s="2"/>
      <c r="J188" s="2"/>
      <c r="K188" s="2"/>
      <c r="L188" s="2"/>
      <c r="M188" s="2"/>
      <c r="N188" s="2"/>
      <c r="O188" s="2"/>
      <c r="P188" s="2"/>
    </row>
    <row r="189" spans="1:16" ht="12" customHeight="1" x14ac:dyDescent="0.3">
      <c r="A189" s="2" t="str">
        <f t="shared" si="2"/>
        <v/>
      </c>
      <c r="B189" s="2"/>
      <c r="C189" s="2"/>
      <c r="D189" s="2"/>
      <c r="E189" s="2"/>
      <c r="F189" s="2"/>
      <c r="G189" s="2"/>
      <c r="H189" s="2"/>
      <c r="I189" s="2"/>
      <c r="J189" s="2"/>
      <c r="K189" s="2"/>
      <c r="L189" s="2"/>
      <c r="M189" s="2"/>
      <c r="N189" s="2"/>
      <c r="O189" s="2"/>
      <c r="P189" s="2"/>
    </row>
    <row r="190" spans="1:16" ht="12" customHeight="1" x14ac:dyDescent="0.3">
      <c r="A190" s="2" t="str">
        <f t="shared" si="2"/>
        <v/>
      </c>
      <c r="B190" s="2"/>
      <c r="C190" s="2"/>
      <c r="D190" s="2"/>
      <c r="E190" s="2"/>
      <c r="F190" s="2"/>
      <c r="G190" s="2"/>
      <c r="H190" s="2"/>
      <c r="I190" s="2"/>
      <c r="J190" s="2"/>
      <c r="K190" s="2"/>
      <c r="L190" s="2"/>
      <c r="M190" s="2"/>
      <c r="N190" s="2"/>
      <c r="O190" s="2"/>
      <c r="P190" s="2"/>
    </row>
    <row r="191" spans="1:16" ht="12" customHeight="1" x14ac:dyDescent="0.3">
      <c r="A191" s="2" t="str">
        <f t="shared" si="2"/>
        <v/>
      </c>
      <c r="B191" s="2"/>
      <c r="C191" s="2"/>
      <c r="D191" s="2"/>
      <c r="E191" s="2"/>
      <c r="F191" s="2"/>
      <c r="G191" s="2"/>
      <c r="H191" s="2"/>
      <c r="I191" s="2"/>
      <c r="J191" s="2"/>
      <c r="K191" s="2"/>
      <c r="L191" s="2"/>
      <c r="M191" s="2"/>
      <c r="N191" s="2"/>
      <c r="O191" s="2"/>
      <c r="P191" s="2"/>
    </row>
    <row r="192" spans="1:16" ht="12" customHeight="1" x14ac:dyDescent="0.3">
      <c r="A192" s="2" t="str">
        <f t="shared" si="2"/>
        <v/>
      </c>
      <c r="B192" s="2"/>
      <c r="C192" s="2"/>
      <c r="D192" s="2"/>
      <c r="E192" s="2"/>
      <c r="F192" s="2"/>
      <c r="G192" s="2"/>
      <c r="H192" s="2"/>
      <c r="I192" s="2"/>
      <c r="J192" s="2"/>
      <c r="K192" s="2"/>
      <c r="L192" s="2"/>
      <c r="M192" s="2"/>
      <c r="N192" s="2"/>
      <c r="O192" s="2"/>
      <c r="P192" s="2"/>
    </row>
    <row r="193" spans="1:16" ht="12" customHeight="1" x14ac:dyDescent="0.3">
      <c r="A193" s="2" t="str">
        <f t="shared" si="2"/>
        <v/>
      </c>
      <c r="B193" s="2"/>
      <c r="C193" s="2"/>
      <c r="D193" s="2"/>
      <c r="E193" s="2"/>
      <c r="F193" s="2"/>
      <c r="G193" s="2"/>
      <c r="H193" s="2"/>
      <c r="I193" s="2"/>
      <c r="J193" s="2"/>
      <c r="K193" s="2"/>
      <c r="L193" s="2"/>
      <c r="M193" s="2"/>
      <c r="N193" s="2"/>
      <c r="O193" s="2"/>
      <c r="P193" s="2"/>
    </row>
    <row r="194" spans="1:16" ht="12" customHeight="1" x14ac:dyDescent="0.3">
      <c r="A194" s="2" t="str">
        <f t="shared" si="2"/>
        <v/>
      </c>
      <c r="B194" s="2"/>
      <c r="C194" s="2"/>
      <c r="D194" s="2"/>
      <c r="E194" s="2"/>
      <c r="F194" s="2"/>
      <c r="G194" s="2"/>
      <c r="H194" s="2"/>
      <c r="I194" s="2"/>
      <c r="J194" s="2"/>
      <c r="K194" s="2"/>
      <c r="L194" s="2"/>
      <c r="M194" s="2"/>
      <c r="N194" s="2"/>
      <c r="O194" s="2"/>
      <c r="P194" s="2"/>
    </row>
    <row r="195" spans="1:16" ht="12" customHeight="1" x14ac:dyDescent="0.3">
      <c r="A195" s="2" t="str">
        <f t="shared" si="2"/>
        <v/>
      </c>
      <c r="B195" s="2"/>
      <c r="C195" s="2"/>
      <c r="D195" s="2"/>
      <c r="E195" s="2"/>
      <c r="F195" s="2"/>
      <c r="G195" s="2"/>
      <c r="H195" s="2"/>
      <c r="I195" s="2"/>
      <c r="J195" s="2"/>
      <c r="K195" s="2"/>
      <c r="L195" s="2"/>
      <c r="M195" s="2"/>
      <c r="N195" s="2"/>
      <c r="O195" s="2"/>
      <c r="P195" s="2"/>
    </row>
    <row r="196" spans="1:16" ht="12" customHeight="1" x14ac:dyDescent="0.3">
      <c r="A196" s="2" t="str">
        <f t="shared" si="2"/>
        <v/>
      </c>
      <c r="B196" s="2"/>
      <c r="C196" s="2"/>
      <c r="D196" s="2"/>
      <c r="E196" s="2"/>
      <c r="F196" s="2"/>
      <c r="G196" s="2"/>
      <c r="H196" s="2"/>
      <c r="I196" s="2"/>
      <c r="J196" s="2"/>
      <c r="K196" s="2"/>
      <c r="L196" s="2"/>
      <c r="M196" s="2"/>
      <c r="N196" s="2"/>
      <c r="O196" s="2"/>
      <c r="P196" s="2"/>
    </row>
    <row r="197" spans="1:16" ht="12" customHeight="1" x14ac:dyDescent="0.3">
      <c r="A197" s="2" t="str">
        <f t="shared" si="2"/>
        <v/>
      </c>
      <c r="B197" s="2"/>
      <c r="C197" s="2"/>
      <c r="D197" s="2"/>
      <c r="E197" s="2"/>
      <c r="F197" s="2"/>
      <c r="G197" s="2"/>
      <c r="H197" s="2"/>
      <c r="I197" s="2"/>
      <c r="J197" s="2"/>
      <c r="K197" s="2"/>
      <c r="L197" s="2"/>
      <c r="M197" s="2"/>
      <c r="N197" s="2"/>
      <c r="O197" s="2"/>
      <c r="P197" s="2"/>
    </row>
    <row r="198" spans="1:16" ht="12" customHeight="1" x14ac:dyDescent="0.3">
      <c r="A198" s="2" t="str">
        <f t="shared" si="2"/>
        <v/>
      </c>
      <c r="B198" s="2"/>
      <c r="C198" s="2"/>
      <c r="D198" s="2"/>
      <c r="E198" s="2"/>
      <c r="F198" s="2"/>
      <c r="G198" s="2"/>
      <c r="H198" s="2"/>
      <c r="I198" s="2"/>
      <c r="J198" s="2"/>
      <c r="K198" s="2"/>
      <c r="L198" s="2"/>
      <c r="M198" s="2"/>
      <c r="N198" s="2"/>
      <c r="O198" s="2"/>
      <c r="P198" s="2"/>
    </row>
    <row r="199" spans="1:16" ht="12" customHeight="1" x14ac:dyDescent="0.3">
      <c r="A199" s="2" t="str">
        <f t="shared" si="2"/>
        <v/>
      </c>
      <c r="B199" s="2"/>
      <c r="C199" s="2"/>
      <c r="D199" s="2"/>
      <c r="E199" s="2"/>
      <c r="F199" s="2"/>
      <c r="G199" s="2"/>
      <c r="H199" s="2"/>
      <c r="I199" s="2"/>
      <c r="J199" s="2"/>
      <c r="K199" s="2"/>
      <c r="L199" s="2"/>
      <c r="M199" s="2"/>
      <c r="N199" s="2"/>
      <c r="O199" s="2"/>
      <c r="P199" s="2"/>
    </row>
    <row r="200" spans="1:16" ht="12" customHeight="1" x14ac:dyDescent="0.3">
      <c r="A200" s="2" t="str">
        <f t="shared" si="2"/>
        <v/>
      </c>
      <c r="B200" s="2"/>
      <c r="C200" s="2"/>
      <c r="D200" s="2"/>
      <c r="E200" s="2"/>
      <c r="F200" s="2"/>
      <c r="G200" s="2"/>
      <c r="H200" s="2"/>
      <c r="I200" s="2"/>
      <c r="J200" s="2"/>
      <c r="K200" s="2"/>
      <c r="L200" s="2"/>
      <c r="M200" s="2"/>
      <c r="N200" s="2"/>
      <c r="O200" s="2"/>
      <c r="P200" s="2"/>
    </row>
    <row r="201" spans="1:16" ht="12" customHeight="1" x14ac:dyDescent="0.3">
      <c r="A201" s="2" t="str">
        <f t="shared" si="2"/>
        <v/>
      </c>
      <c r="B201" s="2"/>
      <c r="C201" s="2"/>
      <c r="D201" s="2"/>
      <c r="E201" s="2"/>
      <c r="F201" s="2"/>
      <c r="G201" s="2"/>
      <c r="H201" s="2"/>
      <c r="I201" s="2"/>
      <c r="J201" s="2"/>
      <c r="K201" s="2"/>
      <c r="L201" s="2"/>
      <c r="M201" s="2"/>
      <c r="N201" s="2"/>
      <c r="O201" s="2"/>
      <c r="P201" s="2"/>
    </row>
    <row r="202" spans="1:16" ht="12" customHeight="1" x14ac:dyDescent="0.3">
      <c r="A202" s="2" t="str">
        <f t="shared" si="2"/>
        <v/>
      </c>
      <c r="B202" s="2"/>
      <c r="C202" s="2"/>
      <c r="D202" s="2"/>
      <c r="E202" s="2"/>
      <c r="F202" s="2"/>
      <c r="G202" s="2"/>
      <c r="H202" s="2"/>
      <c r="I202" s="2"/>
      <c r="J202" s="2"/>
      <c r="K202" s="2"/>
      <c r="L202" s="2"/>
      <c r="M202" s="2"/>
      <c r="N202" s="2"/>
      <c r="O202" s="2"/>
      <c r="P202" s="2"/>
    </row>
    <row r="203" spans="1:16" ht="12" customHeight="1" x14ac:dyDescent="0.3">
      <c r="A203" s="2" t="str">
        <f t="shared" si="2"/>
        <v/>
      </c>
      <c r="B203" s="2"/>
      <c r="C203" s="2"/>
      <c r="D203" s="2"/>
      <c r="E203" s="2"/>
      <c r="F203" s="2"/>
      <c r="G203" s="2"/>
      <c r="H203" s="2"/>
      <c r="I203" s="2"/>
      <c r="J203" s="2"/>
      <c r="K203" s="2"/>
      <c r="L203" s="2"/>
      <c r="M203" s="2"/>
      <c r="N203" s="2"/>
      <c r="O203" s="2"/>
      <c r="P203" s="2"/>
    </row>
    <row r="204" spans="1:16" ht="12" customHeight="1" x14ac:dyDescent="0.3">
      <c r="A204" s="2" t="str">
        <f t="shared" si="2"/>
        <v/>
      </c>
      <c r="B204" s="2"/>
      <c r="C204" s="2"/>
      <c r="D204" s="2"/>
      <c r="E204" s="2"/>
      <c r="F204" s="2"/>
      <c r="G204" s="2"/>
      <c r="H204" s="2"/>
      <c r="I204" s="2"/>
      <c r="J204" s="2"/>
      <c r="K204" s="2"/>
      <c r="L204" s="2"/>
      <c r="M204" s="2"/>
      <c r="N204" s="2"/>
      <c r="O204" s="2"/>
      <c r="P204" s="2"/>
    </row>
    <row r="205" spans="1:16" ht="12" customHeight="1" x14ac:dyDescent="0.3">
      <c r="A205" s="2" t="str">
        <f t="shared" si="2"/>
        <v/>
      </c>
      <c r="B205" s="2"/>
      <c r="C205" s="2"/>
      <c r="D205" s="2"/>
      <c r="E205" s="2"/>
      <c r="F205" s="2"/>
      <c r="G205" s="2"/>
      <c r="H205" s="2"/>
      <c r="I205" s="2"/>
      <c r="J205" s="2"/>
      <c r="K205" s="2"/>
      <c r="L205" s="2"/>
      <c r="M205" s="2"/>
      <c r="N205" s="2"/>
      <c r="O205" s="2"/>
      <c r="P205" s="2"/>
    </row>
    <row r="206" spans="1:16" ht="12" customHeight="1" x14ac:dyDescent="0.3">
      <c r="A206" s="2" t="str">
        <f t="shared" si="2"/>
        <v/>
      </c>
      <c r="B206" s="2"/>
      <c r="C206" s="2"/>
      <c r="D206" s="2"/>
      <c r="E206" s="2"/>
      <c r="F206" s="2"/>
      <c r="G206" s="2"/>
      <c r="H206" s="2"/>
      <c r="I206" s="2"/>
      <c r="J206" s="2"/>
      <c r="K206" s="2"/>
      <c r="L206" s="2"/>
      <c r="M206" s="2"/>
      <c r="N206" s="2"/>
      <c r="O206" s="2"/>
      <c r="P206" s="2"/>
    </row>
    <row r="207" spans="1:16" ht="12" customHeight="1" x14ac:dyDescent="0.3">
      <c r="A207" s="2" t="str">
        <f t="shared" si="2"/>
        <v/>
      </c>
      <c r="B207" s="2"/>
      <c r="C207" s="2"/>
      <c r="D207" s="2"/>
      <c r="E207" s="2"/>
      <c r="F207" s="2"/>
      <c r="G207" s="2"/>
      <c r="H207" s="2"/>
      <c r="I207" s="2"/>
      <c r="J207" s="2"/>
      <c r="K207" s="2"/>
      <c r="L207" s="2"/>
      <c r="M207" s="2"/>
      <c r="N207" s="2"/>
      <c r="O207" s="2"/>
      <c r="P207" s="2"/>
    </row>
    <row r="208" spans="1:16" ht="12" customHeight="1" x14ac:dyDescent="0.3">
      <c r="A208" s="2" t="str">
        <f t="shared" si="2"/>
        <v/>
      </c>
      <c r="B208" s="2"/>
      <c r="C208" s="2"/>
      <c r="D208" s="2"/>
      <c r="E208" s="2"/>
      <c r="F208" s="2"/>
      <c r="G208" s="2"/>
      <c r="H208" s="2"/>
      <c r="I208" s="2"/>
      <c r="J208" s="2"/>
      <c r="K208" s="2"/>
      <c r="L208" s="2"/>
      <c r="M208" s="2"/>
      <c r="N208" s="2"/>
      <c r="O208" s="2"/>
      <c r="P208" s="2"/>
    </row>
    <row r="209" spans="1:16" ht="12" customHeight="1" x14ac:dyDescent="0.3">
      <c r="A209" s="2" t="str">
        <f t="shared" si="2"/>
        <v/>
      </c>
      <c r="B209" s="2"/>
      <c r="C209" s="2"/>
      <c r="D209" s="2"/>
      <c r="E209" s="2"/>
      <c r="F209" s="2"/>
      <c r="G209" s="2"/>
      <c r="H209" s="2"/>
      <c r="I209" s="2"/>
      <c r="J209" s="2"/>
      <c r="K209" s="2"/>
      <c r="L209" s="2"/>
      <c r="M209" s="2"/>
      <c r="N209" s="2"/>
      <c r="O209" s="2"/>
      <c r="P209" s="2"/>
    </row>
    <row r="210" spans="1:16" ht="12" customHeight="1" x14ac:dyDescent="0.3">
      <c r="A210" s="2" t="str">
        <f t="shared" si="2"/>
        <v/>
      </c>
      <c r="B210" s="2"/>
      <c r="C210" s="2"/>
      <c r="D210" s="2"/>
      <c r="E210" s="2"/>
      <c r="F210" s="2"/>
      <c r="G210" s="2"/>
      <c r="H210" s="2"/>
      <c r="I210" s="2"/>
      <c r="J210" s="2"/>
      <c r="K210" s="2"/>
      <c r="L210" s="2"/>
      <c r="M210" s="2"/>
      <c r="N210" s="2"/>
      <c r="O210" s="2"/>
      <c r="P210" s="2"/>
    </row>
    <row r="211" spans="1:16" ht="12" customHeight="1" x14ac:dyDescent="0.3">
      <c r="A211" s="2" t="str">
        <f t="shared" si="2"/>
        <v/>
      </c>
      <c r="B211" s="2"/>
      <c r="C211" s="2"/>
      <c r="D211" s="2"/>
      <c r="E211" s="2"/>
      <c r="F211" s="2"/>
      <c r="G211" s="2"/>
      <c r="H211" s="2"/>
      <c r="I211" s="2"/>
      <c r="J211" s="2"/>
      <c r="K211" s="2"/>
      <c r="L211" s="2"/>
      <c r="M211" s="2"/>
      <c r="N211" s="2"/>
      <c r="O211" s="2"/>
      <c r="P211" s="2"/>
    </row>
    <row r="212" spans="1:16" ht="12" customHeight="1" x14ac:dyDescent="0.3">
      <c r="A212" s="2" t="str">
        <f t="shared" si="2"/>
        <v/>
      </c>
      <c r="B212" s="2"/>
      <c r="C212" s="2"/>
      <c r="D212" s="2"/>
      <c r="E212" s="2"/>
      <c r="F212" s="2"/>
      <c r="G212" s="2"/>
      <c r="H212" s="2"/>
      <c r="I212" s="2"/>
      <c r="J212" s="2"/>
      <c r="K212" s="2"/>
      <c r="L212" s="2"/>
      <c r="M212" s="2"/>
      <c r="N212" s="2"/>
      <c r="O212" s="2"/>
      <c r="P212" s="2"/>
    </row>
    <row r="213" spans="1:16" ht="12" customHeight="1" x14ac:dyDescent="0.3">
      <c r="A213" s="2" t="str">
        <f t="shared" si="2"/>
        <v/>
      </c>
      <c r="B213" s="2"/>
      <c r="C213" s="2"/>
      <c r="D213" s="2"/>
      <c r="E213" s="2"/>
      <c r="F213" s="2"/>
      <c r="G213" s="2"/>
      <c r="H213" s="2"/>
      <c r="I213" s="2"/>
      <c r="J213" s="2"/>
      <c r="K213" s="2"/>
      <c r="L213" s="2"/>
      <c r="M213" s="2"/>
      <c r="N213" s="2"/>
      <c r="O213" s="2"/>
      <c r="P213" s="2"/>
    </row>
    <row r="214" spans="1:16" ht="12" customHeight="1" x14ac:dyDescent="0.3">
      <c r="A214" s="2" t="str">
        <f t="shared" si="2"/>
        <v/>
      </c>
      <c r="B214" s="2"/>
      <c r="C214" s="2"/>
      <c r="D214" s="2"/>
      <c r="E214" s="2"/>
      <c r="F214" s="2"/>
      <c r="G214" s="2"/>
      <c r="H214" s="2"/>
      <c r="I214" s="2"/>
      <c r="J214" s="2"/>
      <c r="K214" s="2"/>
      <c r="L214" s="2"/>
      <c r="M214" s="2"/>
      <c r="N214" s="2"/>
      <c r="O214" s="2"/>
      <c r="P214" s="2"/>
    </row>
    <row r="215" spans="1:16" ht="12" customHeight="1" x14ac:dyDescent="0.3">
      <c r="A215" s="2" t="str">
        <f t="shared" si="2"/>
        <v/>
      </c>
      <c r="B215" s="2"/>
      <c r="C215" s="2"/>
      <c r="D215" s="2"/>
      <c r="E215" s="2"/>
      <c r="F215" s="2"/>
      <c r="G215" s="2"/>
      <c r="H215" s="2"/>
      <c r="I215" s="2"/>
      <c r="J215" s="2"/>
      <c r="K215" s="2"/>
      <c r="L215" s="2"/>
      <c r="M215" s="2"/>
      <c r="N215" s="2"/>
      <c r="O215" s="2"/>
      <c r="P215" s="2"/>
    </row>
    <row r="216" spans="1:16" ht="12" customHeight="1" x14ac:dyDescent="0.3">
      <c r="A216" s="2" t="str">
        <f t="shared" si="2"/>
        <v/>
      </c>
      <c r="B216" s="2"/>
      <c r="C216" s="2"/>
      <c r="D216" s="2"/>
      <c r="E216" s="2"/>
      <c r="F216" s="2"/>
      <c r="G216" s="2"/>
      <c r="H216" s="2"/>
      <c r="I216" s="2"/>
      <c r="J216" s="2"/>
      <c r="K216" s="2"/>
      <c r="L216" s="2"/>
      <c r="M216" s="2"/>
      <c r="N216" s="2"/>
      <c r="O216" s="2"/>
      <c r="P216" s="2"/>
    </row>
    <row r="217" spans="1:16" ht="12" customHeight="1" x14ac:dyDescent="0.3">
      <c r="A217" s="2" t="str">
        <f t="shared" si="2"/>
        <v/>
      </c>
      <c r="B217" s="2"/>
      <c r="C217" s="2"/>
      <c r="D217" s="2"/>
      <c r="E217" s="2"/>
      <c r="F217" s="2"/>
      <c r="G217" s="2"/>
      <c r="H217" s="2"/>
      <c r="I217" s="2"/>
      <c r="J217" s="2"/>
      <c r="K217" s="2"/>
      <c r="L217" s="2"/>
      <c r="M217" s="2"/>
      <c r="N217" s="2"/>
      <c r="O217" s="2"/>
      <c r="P217" s="2"/>
    </row>
    <row r="218" spans="1:16" ht="12" customHeight="1" x14ac:dyDescent="0.3">
      <c r="A218" s="2" t="str">
        <f t="shared" ref="A218:A281" si="3">IF(B218&lt;&gt;"","REC-"&amp;TEXT(ROW()-1,"000"),"")</f>
        <v/>
      </c>
      <c r="B218" s="2"/>
      <c r="C218" s="2"/>
      <c r="D218" s="2"/>
      <c r="E218" s="2"/>
      <c r="F218" s="2"/>
      <c r="G218" s="2"/>
      <c r="H218" s="2"/>
      <c r="I218" s="2"/>
      <c r="J218" s="2"/>
      <c r="K218" s="2"/>
      <c r="L218" s="2"/>
      <c r="M218" s="2"/>
      <c r="N218" s="2"/>
      <c r="O218" s="2"/>
      <c r="P218" s="2"/>
    </row>
    <row r="219" spans="1:16" ht="12" customHeight="1" x14ac:dyDescent="0.3">
      <c r="A219" s="2" t="str">
        <f t="shared" si="3"/>
        <v/>
      </c>
      <c r="B219" s="2"/>
      <c r="C219" s="2"/>
      <c r="D219" s="2"/>
      <c r="E219" s="2"/>
      <c r="F219" s="2"/>
      <c r="G219" s="2"/>
      <c r="H219" s="2"/>
      <c r="I219" s="2"/>
      <c r="J219" s="2"/>
      <c r="K219" s="2"/>
      <c r="L219" s="2"/>
      <c r="M219" s="2"/>
      <c r="N219" s="2"/>
      <c r="O219" s="2"/>
      <c r="P219" s="2"/>
    </row>
    <row r="220" spans="1:16" ht="12" customHeight="1" x14ac:dyDescent="0.3">
      <c r="A220" s="2" t="str">
        <f t="shared" si="3"/>
        <v/>
      </c>
      <c r="B220" s="2"/>
      <c r="C220" s="2"/>
      <c r="D220" s="2"/>
      <c r="E220" s="2"/>
      <c r="F220" s="2"/>
      <c r="G220" s="2"/>
      <c r="H220" s="2"/>
      <c r="I220" s="2"/>
      <c r="J220" s="2"/>
      <c r="K220" s="2"/>
      <c r="L220" s="2"/>
      <c r="M220" s="2"/>
      <c r="N220" s="2"/>
      <c r="O220" s="2"/>
      <c r="P220" s="2"/>
    </row>
    <row r="221" spans="1:16" ht="12" customHeight="1" x14ac:dyDescent="0.3">
      <c r="A221" s="2" t="str">
        <f t="shared" si="3"/>
        <v/>
      </c>
      <c r="B221" s="2"/>
      <c r="C221" s="2"/>
      <c r="D221" s="2"/>
      <c r="E221" s="2"/>
      <c r="F221" s="2"/>
      <c r="G221" s="2"/>
      <c r="H221" s="2"/>
      <c r="I221" s="2"/>
      <c r="J221" s="2"/>
      <c r="K221" s="2"/>
      <c r="L221" s="2"/>
      <c r="M221" s="2"/>
      <c r="N221" s="2"/>
      <c r="O221" s="2"/>
      <c r="P221" s="2"/>
    </row>
    <row r="222" spans="1:16" ht="12" customHeight="1" x14ac:dyDescent="0.3">
      <c r="A222" s="2" t="str">
        <f t="shared" si="3"/>
        <v/>
      </c>
      <c r="B222" s="2"/>
      <c r="C222" s="2"/>
      <c r="D222" s="2"/>
      <c r="E222" s="2"/>
      <c r="F222" s="2"/>
      <c r="G222" s="2"/>
      <c r="H222" s="2"/>
      <c r="I222" s="2"/>
      <c r="J222" s="2"/>
      <c r="K222" s="2"/>
      <c r="L222" s="2"/>
      <c r="M222" s="2"/>
      <c r="N222" s="2"/>
      <c r="O222" s="2"/>
      <c r="P222" s="2"/>
    </row>
    <row r="223" spans="1:16" ht="12" customHeight="1" x14ac:dyDescent="0.3">
      <c r="A223" s="2" t="str">
        <f t="shared" si="3"/>
        <v/>
      </c>
      <c r="B223" s="2"/>
      <c r="C223" s="2"/>
      <c r="D223" s="2"/>
      <c r="E223" s="2"/>
      <c r="F223" s="2"/>
      <c r="G223" s="2"/>
      <c r="H223" s="2"/>
      <c r="I223" s="2"/>
      <c r="J223" s="2"/>
      <c r="K223" s="2"/>
      <c r="L223" s="2"/>
      <c r="M223" s="2"/>
      <c r="N223" s="2"/>
      <c r="O223" s="2"/>
      <c r="P223" s="2"/>
    </row>
    <row r="224" spans="1:16" ht="12" customHeight="1" x14ac:dyDescent="0.3">
      <c r="A224" s="2" t="str">
        <f t="shared" si="3"/>
        <v/>
      </c>
      <c r="B224" s="2"/>
      <c r="C224" s="2"/>
      <c r="D224" s="2"/>
      <c r="E224" s="2"/>
      <c r="F224" s="2"/>
      <c r="G224" s="2"/>
      <c r="H224" s="2"/>
      <c r="I224" s="2"/>
      <c r="J224" s="2"/>
      <c r="K224" s="2"/>
      <c r="L224" s="2"/>
      <c r="M224" s="2"/>
      <c r="N224" s="2"/>
      <c r="O224" s="2"/>
      <c r="P224" s="2"/>
    </row>
    <row r="225" spans="1:16" ht="12" customHeight="1" x14ac:dyDescent="0.3">
      <c r="A225" s="2" t="str">
        <f t="shared" si="3"/>
        <v/>
      </c>
      <c r="B225" s="2"/>
      <c r="C225" s="2"/>
      <c r="D225" s="2"/>
      <c r="E225" s="2"/>
      <c r="F225" s="2"/>
      <c r="G225" s="2"/>
      <c r="H225" s="2"/>
      <c r="I225" s="2"/>
      <c r="J225" s="2"/>
      <c r="K225" s="2"/>
      <c r="L225" s="2"/>
      <c r="M225" s="2"/>
      <c r="N225" s="2"/>
      <c r="O225" s="2"/>
      <c r="P225" s="2"/>
    </row>
    <row r="226" spans="1:16" ht="12" customHeight="1" x14ac:dyDescent="0.3">
      <c r="A226" s="2" t="str">
        <f t="shared" si="3"/>
        <v/>
      </c>
      <c r="B226" s="2"/>
      <c r="C226" s="2"/>
      <c r="D226" s="2"/>
      <c r="E226" s="2"/>
      <c r="F226" s="2"/>
      <c r="G226" s="2"/>
      <c r="H226" s="2"/>
      <c r="I226" s="2"/>
      <c r="J226" s="2"/>
      <c r="K226" s="2"/>
      <c r="L226" s="2"/>
      <c r="M226" s="2"/>
      <c r="N226" s="2"/>
      <c r="O226" s="2"/>
      <c r="P226" s="2"/>
    </row>
    <row r="227" spans="1:16" ht="12" customHeight="1" x14ac:dyDescent="0.3">
      <c r="A227" s="2" t="str">
        <f t="shared" si="3"/>
        <v/>
      </c>
      <c r="B227" s="2"/>
      <c r="C227" s="2"/>
      <c r="D227" s="2"/>
      <c r="E227" s="2"/>
      <c r="F227" s="2"/>
      <c r="G227" s="2"/>
      <c r="H227" s="2"/>
      <c r="I227" s="2"/>
      <c r="J227" s="2"/>
      <c r="K227" s="2"/>
      <c r="L227" s="2"/>
      <c r="M227" s="2"/>
      <c r="N227" s="2"/>
      <c r="O227" s="2"/>
      <c r="P227" s="2"/>
    </row>
    <row r="228" spans="1:16" ht="12" customHeight="1" x14ac:dyDescent="0.3">
      <c r="A228" s="2" t="str">
        <f t="shared" si="3"/>
        <v/>
      </c>
      <c r="B228" s="2"/>
      <c r="C228" s="2"/>
      <c r="D228" s="2"/>
      <c r="E228" s="2"/>
      <c r="F228" s="2"/>
      <c r="G228" s="2"/>
      <c r="H228" s="2"/>
      <c r="I228" s="2"/>
      <c r="J228" s="2"/>
      <c r="K228" s="2"/>
      <c r="L228" s="2"/>
      <c r="M228" s="2"/>
      <c r="N228" s="2"/>
      <c r="O228" s="2"/>
      <c r="P228" s="2"/>
    </row>
    <row r="229" spans="1:16" ht="12" customHeight="1" x14ac:dyDescent="0.3">
      <c r="A229" s="2" t="str">
        <f t="shared" si="3"/>
        <v/>
      </c>
      <c r="B229" s="2"/>
      <c r="C229" s="2"/>
      <c r="D229" s="2"/>
      <c r="E229" s="2"/>
      <c r="F229" s="2"/>
      <c r="G229" s="2"/>
      <c r="H229" s="2"/>
      <c r="I229" s="2"/>
      <c r="J229" s="2"/>
      <c r="K229" s="2"/>
      <c r="L229" s="2"/>
      <c r="M229" s="2"/>
      <c r="N229" s="2"/>
      <c r="O229" s="2"/>
      <c r="P229" s="2"/>
    </row>
    <row r="230" spans="1:16" ht="12" customHeight="1" x14ac:dyDescent="0.3">
      <c r="A230" s="2" t="str">
        <f t="shared" si="3"/>
        <v/>
      </c>
      <c r="B230" s="2"/>
      <c r="C230" s="2"/>
      <c r="D230" s="2"/>
      <c r="E230" s="2"/>
      <c r="F230" s="2"/>
      <c r="G230" s="2"/>
      <c r="H230" s="2"/>
      <c r="I230" s="2"/>
      <c r="J230" s="2"/>
      <c r="K230" s="2"/>
      <c r="L230" s="2"/>
      <c r="M230" s="2"/>
      <c r="N230" s="2"/>
      <c r="O230" s="2"/>
      <c r="P230" s="2"/>
    </row>
    <row r="231" spans="1:16" ht="12" customHeight="1" x14ac:dyDescent="0.3">
      <c r="A231" s="2" t="str">
        <f t="shared" si="3"/>
        <v/>
      </c>
      <c r="B231" s="2"/>
      <c r="C231" s="2"/>
      <c r="D231" s="2"/>
      <c r="E231" s="2"/>
      <c r="F231" s="2"/>
      <c r="G231" s="2"/>
      <c r="H231" s="2"/>
      <c r="I231" s="2"/>
      <c r="J231" s="2"/>
      <c r="K231" s="2"/>
      <c r="L231" s="2"/>
      <c r="M231" s="2"/>
      <c r="N231" s="2"/>
      <c r="O231" s="2"/>
      <c r="P231" s="2"/>
    </row>
    <row r="232" spans="1:16" ht="12" customHeight="1" x14ac:dyDescent="0.3">
      <c r="A232" s="2" t="str">
        <f t="shared" si="3"/>
        <v/>
      </c>
      <c r="B232" s="2"/>
      <c r="C232" s="2"/>
      <c r="D232" s="2"/>
      <c r="E232" s="2"/>
      <c r="F232" s="2"/>
      <c r="G232" s="2"/>
      <c r="H232" s="2"/>
      <c r="I232" s="2"/>
      <c r="J232" s="2"/>
      <c r="K232" s="2"/>
      <c r="L232" s="2"/>
      <c r="M232" s="2"/>
      <c r="N232" s="2"/>
      <c r="O232" s="2"/>
      <c r="P232" s="2"/>
    </row>
    <row r="233" spans="1:16" ht="12" customHeight="1" x14ac:dyDescent="0.3">
      <c r="A233" s="2" t="str">
        <f t="shared" si="3"/>
        <v/>
      </c>
      <c r="B233" s="2"/>
      <c r="C233" s="2"/>
      <c r="D233" s="2"/>
      <c r="E233" s="2"/>
      <c r="F233" s="2"/>
      <c r="G233" s="2"/>
      <c r="H233" s="2"/>
      <c r="I233" s="2"/>
      <c r="J233" s="2"/>
      <c r="K233" s="2"/>
      <c r="L233" s="2"/>
      <c r="M233" s="2"/>
      <c r="N233" s="2"/>
      <c r="O233" s="2"/>
      <c r="P233" s="2"/>
    </row>
    <row r="234" spans="1:16" ht="12" customHeight="1" x14ac:dyDescent="0.3">
      <c r="A234" s="2" t="str">
        <f t="shared" si="3"/>
        <v/>
      </c>
      <c r="B234" s="2"/>
      <c r="C234" s="2"/>
      <c r="D234" s="2"/>
      <c r="E234" s="2"/>
      <c r="F234" s="2"/>
      <c r="G234" s="2"/>
      <c r="H234" s="2"/>
      <c r="I234" s="2"/>
      <c r="J234" s="2"/>
      <c r="K234" s="2"/>
      <c r="L234" s="2"/>
      <c r="M234" s="2"/>
      <c r="N234" s="2"/>
      <c r="O234" s="2"/>
      <c r="P234" s="2"/>
    </row>
    <row r="235" spans="1:16" ht="12" customHeight="1" x14ac:dyDescent="0.3">
      <c r="A235" s="2" t="str">
        <f t="shared" si="3"/>
        <v/>
      </c>
      <c r="B235" s="2"/>
      <c r="C235" s="2"/>
      <c r="D235" s="2"/>
      <c r="E235" s="2"/>
      <c r="F235" s="2"/>
      <c r="G235" s="2"/>
      <c r="H235" s="2"/>
      <c r="I235" s="2"/>
      <c r="J235" s="2"/>
      <c r="K235" s="2"/>
      <c r="L235" s="2"/>
      <c r="M235" s="2"/>
      <c r="N235" s="2"/>
      <c r="O235" s="2"/>
      <c r="P235" s="2"/>
    </row>
    <row r="236" spans="1:16" ht="12" customHeight="1" x14ac:dyDescent="0.3">
      <c r="A236" s="2" t="str">
        <f t="shared" si="3"/>
        <v/>
      </c>
      <c r="B236" s="2"/>
      <c r="C236" s="2"/>
      <c r="D236" s="2"/>
      <c r="E236" s="2"/>
      <c r="F236" s="2"/>
      <c r="G236" s="2"/>
      <c r="H236" s="2"/>
      <c r="I236" s="2"/>
      <c r="J236" s="2"/>
      <c r="K236" s="2"/>
      <c r="L236" s="2"/>
      <c r="M236" s="2"/>
      <c r="N236" s="2"/>
      <c r="O236" s="2"/>
      <c r="P236" s="2"/>
    </row>
    <row r="237" spans="1:16" ht="12" customHeight="1" x14ac:dyDescent="0.3">
      <c r="A237" s="2" t="str">
        <f t="shared" si="3"/>
        <v/>
      </c>
      <c r="B237" s="2"/>
      <c r="C237" s="2"/>
      <c r="D237" s="2"/>
      <c r="E237" s="2"/>
      <c r="F237" s="2"/>
      <c r="G237" s="2"/>
      <c r="H237" s="2"/>
      <c r="I237" s="2"/>
      <c r="J237" s="2"/>
      <c r="K237" s="2"/>
      <c r="L237" s="2"/>
      <c r="M237" s="2"/>
      <c r="N237" s="2"/>
      <c r="O237" s="2"/>
      <c r="P237" s="2"/>
    </row>
    <row r="238" spans="1:16" ht="12" customHeight="1" x14ac:dyDescent="0.3">
      <c r="A238" s="2" t="str">
        <f t="shared" si="3"/>
        <v/>
      </c>
      <c r="B238" s="2"/>
      <c r="C238" s="2"/>
      <c r="D238" s="2"/>
      <c r="E238" s="2"/>
      <c r="F238" s="2"/>
      <c r="G238" s="2"/>
      <c r="H238" s="2"/>
      <c r="I238" s="2"/>
      <c r="J238" s="2"/>
      <c r="K238" s="2"/>
      <c r="L238" s="2"/>
      <c r="M238" s="2"/>
      <c r="N238" s="2"/>
      <c r="O238" s="2"/>
      <c r="P238" s="2"/>
    </row>
    <row r="239" spans="1:16" ht="12" customHeight="1" x14ac:dyDescent="0.3">
      <c r="A239" s="2" t="str">
        <f t="shared" si="3"/>
        <v/>
      </c>
      <c r="B239" s="2"/>
      <c r="C239" s="2"/>
      <c r="D239" s="2"/>
      <c r="E239" s="2"/>
      <c r="F239" s="2"/>
      <c r="G239" s="2"/>
      <c r="H239" s="2"/>
      <c r="I239" s="2"/>
      <c r="J239" s="2"/>
      <c r="K239" s="2"/>
      <c r="L239" s="2"/>
      <c r="M239" s="2"/>
      <c r="N239" s="2"/>
      <c r="O239" s="2"/>
      <c r="P239" s="2"/>
    </row>
    <row r="240" spans="1:16" ht="12" customHeight="1" x14ac:dyDescent="0.3">
      <c r="A240" s="2" t="str">
        <f t="shared" si="3"/>
        <v/>
      </c>
      <c r="B240" s="2"/>
      <c r="C240" s="2"/>
      <c r="D240" s="2"/>
      <c r="E240" s="2"/>
      <c r="F240" s="2"/>
      <c r="G240" s="2"/>
      <c r="H240" s="2"/>
      <c r="I240" s="2"/>
      <c r="J240" s="2"/>
      <c r="K240" s="2"/>
      <c r="L240" s="2"/>
      <c r="M240" s="2"/>
      <c r="N240" s="2"/>
      <c r="O240" s="2"/>
      <c r="P240" s="2"/>
    </row>
    <row r="241" spans="1:16" ht="12" customHeight="1" x14ac:dyDescent="0.3">
      <c r="A241" s="2" t="str">
        <f t="shared" si="3"/>
        <v/>
      </c>
      <c r="B241" s="2"/>
      <c r="C241" s="2"/>
      <c r="D241" s="2"/>
      <c r="E241" s="2"/>
      <c r="F241" s="2"/>
      <c r="G241" s="2"/>
      <c r="H241" s="2"/>
      <c r="I241" s="2"/>
      <c r="J241" s="2"/>
      <c r="K241" s="2"/>
      <c r="L241" s="2"/>
      <c r="M241" s="2"/>
      <c r="N241" s="2"/>
      <c r="O241" s="2"/>
      <c r="P241" s="2"/>
    </row>
    <row r="242" spans="1:16" ht="12" customHeight="1" x14ac:dyDescent="0.3">
      <c r="A242" s="2" t="str">
        <f t="shared" si="3"/>
        <v/>
      </c>
      <c r="B242" s="2"/>
      <c r="C242" s="2"/>
      <c r="D242" s="2"/>
      <c r="E242" s="2"/>
      <c r="F242" s="2"/>
      <c r="G242" s="2"/>
      <c r="H242" s="2"/>
      <c r="I242" s="2"/>
      <c r="J242" s="2"/>
      <c r="K242" s="2"/>
      <c r="L242" s="2"/>
      <c r="M242" s="2"/>
      <c r="N242" s="2"/>
      <c r="O242" s="2"/>
      <c r="P242" s="2"/>
    </row>
    <row r="243" spans="1:16" ht="12" customHeight="1" x14ac:dyDescent="0.3">
      <c r="A243" s="2" t="str">
        <f t="shared" si="3"/>
        <v/>
      </c>
      <c r="B243" s="2"/>
      <c r="C243" s="2"/>
      <c r="D243" s="2"/>
      <c r="E243" s="2"/>
      <c r="F243" s="2"/>
      <c r="G243" s="2"/>
      <c r="H243" s="2"/>
      <c r="I243" s="2"/>
      <c r="J243" s="2"/>
      <c r="K243" s="2"/>
      <c r="L243" s="2"/>
      <c r="M243" s="2"/>
      <c r="N243" s="2"/>
      <c r="O243" s="2"/>
      <c r="P243" s="2"/>
    </row>
    <row r="244" spans="1:16" ht="12" customHeight="1" x14ac:dyDescent="0.3">
      <c r="A244" s="2" t="str">
        <f t="shared" si="3"/>
        <v/>
      </c>
      <c r="B244" s="2"/>
      <c r="C244" s="2"/>
      <c r="D244" s="2"/>
      <c r="E244" s="2"/>
      <c r="F244" s="2"/>
      <c r="G244" s="2"/>
      <c r="H244" s="2"/>
      <c r="I244" s="2"/>
      <c r="J244" s="2"/>
      <c r="K244" s="2"/>
      <c r="L244" s="2"/>
      <c r="M244" s="2"/>
      <c r="N244" s="2"/>
      <c r="O244" s="2"/>
      <c r="P244" s="2"/>
    </row>
    <row r="245" spans="1:16" ht="12" customHeight="1" x14ac:dyDescent="0.3">
      <c r="A245" s="2" t="str">
        <f t="shared" si="3"/>
        <v/>
      </c>
      <c r="B245" s="2"/>
      <c r="C245" s="2"/>
      <c r="D245" s="2"/>
      <c r="E245" s="2"/>
      <c r="F245" s="2"/>
      <c r="G245" s="2"/>
      <c r="H245" s="2"/>
      <c r="I245" s="2"/>
      <c r="J245" s="2"/>
      <c r="K245" s="2"/>
      <c r="L245" s="2"/>
      <c r="M245" s="2"/>
      <c r="N245" s="2"/>
      <c r="O245" s="2"/>
      <c r="P245" s="2"/>
    </row>
    <row r="246" spans="1:16" ht="12" customHeight="1" x14ac:dyDescent="0.3">
      <c r="A246" s="2" t="str">
        <f t="shared" si="3"/>
        <v/>
      </c>
      <c r="B246" s="2"/>
      <c r="C246" s="2"/>
      <c r="D246" s="2"/>
      <c r="E246" s="2"/>
      <c r="F246" s="2"/>
      <c r="G246" s="2"/>
      <c r="H246" s="2"/>
      <c r="I246" s="2"/>
      <c r="J246" s="2"/>
      <c r="K246" s="2"/>
      <c r="L246" s="2"/>
      <c r="M246" s="2"/>
      <c r="N246" s="2"/>
      <c r="O246" s="2"/>
      <c r="P246" s="2"/>
    </row>
    <row r="247" spans="1:16" ht="12" customHeight="1" x14ac:dyDescent="0.3">
      <c r="A247" s="2" t="str">
        <f t="shared" si="3"/>
        <v/>
      </c>
      <c r="B247" s="2"/>
      <c r="C247" s="2"/>
      <c r="D247" s="2"/>
      <c r="E247" s="2"/>
      <c r="F247" s="2"/>
      <c r="G247" s="2"/>
      <c r="H247" s="2"/>
      <c r="I247" s="2"/>
      <c r="J247" s="2"/>
      <c r="K247" s="2"/>
      <c r="L247" s="2"/>
      <c r="M247" s="2"/>
      <c r="N247" s="2"/>
      <c r="O247" s="2"/>
      <c r="P247" s="2"/>
    </row>
    <row r="248" spans="1:16" ht="12" customHeight="1" x14ac:dyDescent="0.3">
      <c r="A248" s="2" t="str">
        <f t="shared" si="3"/>
        <v/>
      </c>
      <c r="B248" s="2"/>
      <c r="C248" s="2"/>
      <c r="D248" s="2"/>
      <c r="E248" s="2"/>
      <c r="F248" s="2"/>
      <c r="G248" s="2"/>
      <c r="H248" s="2"/>
      <c r="I248" s="2"/>
      <c r="J248" s="2"/>
      <c r="K248" s="2"/>
      <c r="L248" s="2"/>
      <c r="M248" s="2"/>
      <c r="N248" s="2"/>
      <c r="O248" s="2"/>
      <c r="P248" s="2"/>
    </row>
    <row r="249" spans="1:16" ht="12" customHeight="1" x14ac:dyDescent="0.3">
      <c r="A249" s="2" t="str">
        <f t="shared" si="3"/>
        <v/>
      </c>
      <c r="B249" s="2"/>
      <c r="C249" s="2"/>
      <c r="D249" s="2"/>
      <c r="E249" s="2"/>
      <c r="F249" s="2"/>
      <c r="G249" s="2"/>
      <c r="H249" s="2"/>
      <c r="I249" s="2"/>
      <c r="J249" s="2"/>
      <c r="K249" s="2"/>
      <c r="L249" s="2"/>
      <c r="M249" s="2"/>
      <c r="N249" s="2"/>
      <c r="O249" s="2"/>
      <c r="P249" s="2"/>
    </row>
    <row r="250" spans="1:16" ht="12" customHeight="1" x14ac:dyDescent="0.3">
      <c r="A250" s="2" t="str">
        <f t="shared" si="3"/>
        <v/>
      </c>
      <c r="B250" s="2"/>
      <c r="C250" s="2"/>
      <c r="D250" s="2"/>
      <c r="E250" s="2"/>
      <c r="F250" s="2"/>
      <c r="G250" s="2"/>
      <c r="H250" s="2"/>
      <c r="I250" s="2"/>
      <c r="J250" s="2"/>
      <c r="K250" s="2"/>
      <c r="L250" s="2"/>
      <c r="M250" s="2"/>
      <c r="N250" s="2"/>
      <c r="O250" s="2"/>
      <c r="P250" s="2"/>
    </row>
    <row r="251" spans="1:16" ht="12" customHeight="1" x14ac:dyDescent="0.3">
      <c r="A251" s="2" t="str">
        <f t="shared" si="3"/>
        <v/>
      </c>
      <c r="B251" s="2"/>
      <c r="C251" s="2"/>
      <c r="D251" s="2"/>
      <c r="E251" s="2"/>
      <c r="F251" s="2"/>
      <c r="G251" s="2"/>
      <c r="H251" s="2"/>
      <c r="I251" s="2"/>
      <c r="J251" s="2"/>
      <c r="K251" s="2"/>
      <c r="L251" s="2"/>
      <c r="M251" s="2"/>
      <c r="N251" s="2"/>
      <c r="O251" s="2"/>
      <c r="P251" s="2"/>
    </row>
    <row r="252" spans="1:16" ht="12" customHeight="1" x14ac:dyDescent="0.3">
      <c r="A252" s="2" t="str">
        <f t="shared" si="3"/>
        <v/>
      </c>
      <c r="B252" s="2"/>
      <c r="C252" s="2"/>
      <c r="D252" s="2"/>
      <c r="E252" s="2"/>
      <c r="F252" s="2"/>
      <c r="G252" s="2"/>
      <c r="H252" s="2"/>
      <c r="I252" s="2"/>
      <c r="J252" s="2"/>
      <c r="K252" s="2"/>
      <c r="L252" s="2"/>
      <c r="M252" s="2"/>
      <c r="N252" s="2"/>
      <c r="O252" s="2"/>
      <c r="P252" s="2"/>
    </row>
    <row r="253" spans="1:16" ht="12" customHeight="1" x14ac:dyDescent="0.3">
      <c r="A253" s="2" t="str">
        <f t="shared" si="3"/>
        <v/>
      </c>
      <c r="B253" s="2"/>
      <c r="C253" s="2"/>
      <c r="D253" s="2"/>
      <c r="E253" s="2"/>
      <c r="F253" s="2"/>
      <c r="G253" s="2"/>
      <c r="H253" s="2"/>
      <c r="I253" s="2"/>
      <c r="J253" s="2"/>
      <c r="K253" s="2"/>
      <c r="L253" s="2"/>
      <c r="M253" s="2"/>
      <c r="N253" s="2"/>
      <c r="O253" s="2"/>
      <c r="P253" s="2"/>
    </row>
    <row r="254" spans="1:16" ht="12" customHeight="1" x14ac:dyDescent="0.3">
      <c r="A254" s="2" t="str">
        <f t="shared" si="3"/>
        <v/>
      </c>
      <c r="B254" s="2"/>
      <c r="C254" s="2"/>
      <c r="D254" s="2"/>
      <c r="E254" s="2"/>
      <c r="F254" s="2"/>
      <c r="G254" s="2"/>
      <c r="H254" s="2"/>
      <c r="I254" s="2"/>
      <c r="J254" s="2"/>
      <c r="K254" s="2"/>
      <c r="L254" s="2"/>
      <c r="M254" s="2"/>
      <c r="N254" s="2"/>
      <c r="O254" s="2"/>
      <c r="P254" s="2"/>
    </row>
    <row r="255" spans="1:16" ht="12" customHeight="1" x14ac:dyDescent="0.3">
      <c r="A255" s="2" t="str">
        <f t="shared" si="3"/>
        <v/>
      </c>
      <c r="B255" s="2"/>
      <c r="C255" s="2"/>
      <c r="D255" s="2"/>
      <c r="E255" s="2"/>
      <c r="F255" s="2"/>
      <c r="G255" s="2"/>
      <c r="H255" s="2"/>
      <c r="I255" s="2"/>
      <c r="J255" s="2"/>
      <c r="K255" s="2"/>
      <c r="L255" s="2"/>
      <c r="M255" s="2"/>
      <c r="N255" s="2"/>
      <c r="O255" s="2"/>
      <c r="P255" s="2"/>
    </row>
    <row r="256" spans="1:16" ht="12" customHeight="1" x14ac:dyDescent="0.3">
      <c r="A256" s="2" t="str">
        <f t="shared" si="3"/>
        <v/>
      </c>
      <c r="B256" s="2"/>
      <c r="C256" s="2"/>
      <c r="D256" s="2"/>
      <c r="E256" s="2"/>
      <c r="F256" s="2"/>
      <c r="G256" s="2"/>
      <c r="H256" s="2"/>
      <c r="I256" s="2"/>
      <c r="J256" s="2"/>
      <c r="K256" s="2"/>
      <c r="L256" s="2"/>
      <c r="M256" s="2"/>
      <c r="N256" s="2"/>
      <c r="O256" s="2"/>
      <c r="P256" s="2"/>
    </row>
    <row r="257" spans="1:16" ht="12" customHeight="1" x14ac:dyDescent="0.3">
      <c r="A257" s="2" t="str">
        <f t="shared" si="3"/>
        <v/>
      </c>
      <c r="B257" s="2"/>
      <c r="C257" s="2"/>
      <c r="D257" s="2"/>
      <c r="E257" s="2"/>
      <c r="F257" s="2"/>
      <c r="G257" s="2"/>
      <c r="H257" s="2"/>
      <c r="I257" s="2"/>
      <c r="J257" s="2"/>
      <c r="K257" s="2"/>
      <c r="L257" s="2"/>
      <c r="M257" s="2"/>
      <c r="N257" s="2"/>
      <c r="O257" s="2"/>
      <c r="P257" s="2"/>
    </row>
    <row r="258" spans="1:16" ht="12" customHeight="1" x14ac:dyDescent="0.3">
      <c r="A258" s="2" t="str">
        <f t="shared" si="3"/>
        <v/>
      </c>
      <c r="B258" s="2"/>
      <c r="C258" s="2"/>
      <c r="D258" s="2"/>
      <c r="E258" s="2"/>
      <c r="F258" s="2"/>
      <c r="G258" s="2"/>
      <c r="H258" s="2"/>
      <c r="I258" s="2"/>
      <c r="J258" s="2"/>
      <c r="K258" s="2"/>
      <c r="L258" s="2"/>
      <c r="M258" s="2"/>
      <c r="N258" s="2"/>
      <c r="O258" s="2"/>
      <c r="P258" s="2"/>
    </row>
    <row r="259" spans="1:16" ht="12" customHeight="1" x14ac:dyDescent="0.3">
      <c r="A259" s="2" t="str">
        <f t="shared" si="3"/>
        <v/>
      </c>
      <c r="B259" s="2"/>
      <c r="C259" s="2"/>
      <c r="D259" s="2"/>
      <c r="E259" s="2"/>
      <c r="F259" s="2"/>
      <c r="G259" s="2"/>
      <c r="H259" s="2"/>
      <c r="I259" s="2"/>
      <c r="J259" s="2"/>
      <c r="K259" s="2"/>
      <c r="L259" s="2"/>
      <c r="M259" s="2"/>
      <c r="N259" s="2"/>
      <c r="O259" s="2"/>
      <c r="P259" s="2"/>
    </row>
    <row r="260" spans="1:16" ht="12" customHeight="1" x14ac:dyDescent="0.3">
      <c r="A260" s="2" t="str">
        <f t="shared" si="3"/>
        <v/>
      </c>
      <c r="B260" s="2"/>
      <c r="C260" s="2"/>
      <c r="D260" s="2"/>
      <c r="E260" s="2"/>
      <c r="F260" s="2"/>
      <c r="G260" s="2"/>
      <c r="H260" s="2"/>
      <c r="I260" s="2"/>
      <c r="J260" s="2"/>
      <c r="K260" s="2"/>
      <c r="L260" s="2"/>
      <c r="M260" s="2"/>
      <c r="N260" s="2"/>
      <c r="O260" s="2"/>
      <c r="P260" s="2"/>
    </row>
    <row r="261" spans="1:16" ht="12" customHeight="1" x14ac:dyDescent="0.3">
      <c r="A261" s="2" t="str">
        <f t="shared" si="3"/>
        <v/>
      </c>
      <c r="B261" s="2"/>
      <c r="C261" s="2"/>
      <c r="D261" s="2"/>
      <c r="E261" s="2"/>
      <c r="F261" s="2"/>
      <c r="G261" s="2"/>
      <c r="H261" s="2"/>
      <c r="I261" s="2"/>
      <c r="J261" s="2"/>
      <c r="K261" s="2"/>
      <c r="L261" s="2"/>
      <c r="M261" s="2"/>
      <c r="N261" s="2"/>
      <c r="O261" s="2"/>
      <c r="P261" s="2"/>
    </row>
    <row r="262" spans="1:16" ht="12" customHeight="1" x14ac:dyDescent="0.3">
      <c r="A262" s="2" t="str">
        <f t="shared" si="3"/>
        <v/>
      </c>
      <c r="B262" s="2"/>
      <c r="C262" s="2"/>
      <c r="D262" s="2"/>
      <c r="E262" s="2"/>
      <c r="F262" s="2"/>
      <c r="G262" s="2"/>
      <c r="H262" s="2"/>
      <c r="I262" s="2"/>
      <c r="J262" s="2"/>
      <c r="K262" s="2"/>
      <c r="L262" s="2"/>
      <c r="M262" s="2"/>
      <c r="N262" s="2"/>
      <c r="O262" s="2"/>
      <c r="P262" s="2"/>
    </row>
    <row r="263" spans="1:16" ht="12" customHeight="1" x14ac:dyDescent="0.3">
      <c r="A263" s="2" t="str">
        <f t="shared" si="3"/>
        <v/>
      </c>
      <c r="B263" s="2"/>
      <c r="C263" s="2"/>
      <c r="D263" s="2"/>
      <c r="E263" s="2"/>
      <c r="F263" s="2"/>
      <c r="G263" s="2"/>
      <c r="H263" s="2"/>
      <c r="I263" s="2"/>
      <c r="J263" s="2"/>
      <c r="K263" s="2"/>
      <c r="L263" s="2"/>
      <c r="M263" s="2"/>
      <c r="N263" s="2"/>
      <c r="O263" s="2"/>
      <c r="P263" s="2"/>
    </row>
    <row r="264" spans="1:16" ht="12" customHeight="1" x14ac:dyDescent="0.3">
      <c r="A264" s="2" t="str">
        <f t="shared" si="3"/>
        <v/>
      </c>
      <c r="B264" s="2"/>
      <c r="C264" s="2"/>
      <c r="D264" s="2"/>
      <c r="E264" s="2"/>
      <c r="F264" s="2"/>
      <c r="G264" s="2"/>
      <c r="H264" s="2"/>
      <c r="I264" s="2"/>
      <c r="J264" s="2"/>
      <c r="K264" s="2"/>
      <c r="L264" s="2"/>
      <c r="M264" s="2"/>
      <c r="N264" s="2"/>
      <c r="O264" s="2"/>
      <c r="P264" s="2"/>
    </row>
    <row r="265" spans="1:16" ht="12" customHeight="1" x14ac:dyDescent="0.3">
      <c r="A265" s="2" t="str">
        <f t="shared" si="3"/>
        <v/>
      </c>
      <c r="B265" s="2"/>
      <c r="C265" s="2"/>
      <c r="D265" s="2"/>
      <c r="E265" s="2"/>
      <c r="F265" s="2"/>
      <c r="G265" s="2"/>
      <c r="H265" s="2"/>
      <c r="I265" s="2"/>
      <c r="J265" s="2"/>
      <c r="K265" s="2"/>
      <c r="L265" s="2"/>
      <c r="M265" s="2"/>
      <c r="N265" s="2"/>
      <c r="O265" s="2"/>
      <c r="P265" s="2"/>
    </row>
    <row r="266" spans="1:16" ht="12" customHeight="1" x14ac:dyDescent="0.3">
      <c r="A266" s="2" t="str">
        <f t="shared" si="3"/>
        <v/>
      </c>
      <c r="B266" s="2"/>
      <c r="C266" s="2"/>
      <c r="D266" s="2"/>
      <c r="E266" s="2"/>
      <c r="F266" s="2"/>
      <c r="G266" s="2"/>
      <c r="H266" s="2"/>
      <c r="I266" s="2"/>
      <c r="J266" s="2"/>
      <c r="K266" s="2"/>
      <c r="L266" s="2"/>
      <c r="M266" s="2"/>
      <c r="N266" s="2"/>
      <c r="O266" s="2"/>
      <c r="P266" s="2"/>
    </row>
    <row r="267" spans="1:16" ht="12" customHeight="1" x14ac:dyDescent="0.3">
      <c r="A267" s="2" t="str">
        <f t="shared" si="3"/>
        <v/>
      </c>
      <c r="B267" s="2"/>
      <c r="C267" s="2"/>
      <c r="D267" s="2"/>
      <c r="E267" s="2"/>
      <c r="F267" s="2"/>
      <c r="G267" s="2"/>
      <c r="H267" s="2"/>
      <c r="I267" s="2"/>
      <c r="J267" s="2"/>
      <c r="K267" s="2"/>
      <c r="L267" s="2"/>
      <c r="M267" s="2"/>
      <c r="N267" s="2"/>
      <c r="O267" s="2"/>
      <c r="P267" s="2"/>
    </row>
    <row r="268" spans="1:16" ht="12" customHeight="1" x14ac:dyDescent="0.3">
      <c r="A268" s="2" t="str">
        <f t="shared" si="3"/>
        <v/>
      </c>
      <c r="B268" s="2"/>
      <c r="C268" s="2"/>
      <c r="D268" s="2"/>
      <c r="E268" s="2"/>
      <c r="F268" s="2"/>
      <c r="G268" s="2"/>
      <c r="H268" s="2"/>
      <c r="I268" s="2"/>
      <c r="J268" s="2"/>
      <c r="K268" s="2"/>
      <c r="L268" s="2"/>
      <c r="M268" s="2"/>
      <c r="N268" s="2"/>
      <c r="O268" s="2"/>
      <c r="P268" s="2"/>
    </row>
    <row r="269" spans="1:16" ht="12" customHeight="1" x14ac:dyDescent="0.3">
      <c r="A269" s="2" t="str">
        <f t="shared" si="3"/>
        <v/>
      </c>
      <c r="B269" s="2"/>
      <c r="C269" s="2"/>
      <c r="D269" s="2"/>
      <c r="E269" s="2"/>
      <c r="F269" s="2"/>
      <c r="G269" s="2"/>
      <c r="H269" s="2"/>
      <c r="I269" s="2"/>
      <c r="J269" s="2"/>
      <c r="K269" s="2"/>
      <c r="L269" s="2"/>
      <c r="M269" s="2"/>
      <c r="N269" s="2"/>
      <c r="O269" s="2"/>
      <c r="P269" s="2"/>
    </row>
    <row r="270" spans="1:16" ht="12" customHeight="1" x14ac:dyDescent="0.3">
      <c r="A270" s="2" t="str">
        <f t="shared" si="3"/>
        <v/>
      </c>
      <c r="B270" s="2"/>
      <c r="C270" s="2"/>
      <c r="D270" s="2"/>
      <c r="E270" s="2"/>
      <c r="F270" s="2"/>
      <c r="G270" s="2"/>
      <c r="H270" s="2"/>
      <c r="I270" s="2"/>
      <c r="J270" s="2"/>
      <c r="K270" s="2"/>
      <c r="L270" s="2"/>
      <c r="M270" s="2"/>
      <c r="N270" s="2"/>
      <c r="O270" s="2"/>
      <c r="P270" s="2"/>
    </row>
    <row r="271" spans="1:16" ht="12" customHeight="1" x14ac:dyDescent="0.3">
      <c r="A271" s="2" t="str">
        <f t="shared" si="3"/>
        <v/>
      </c>
      <c r="B271" s="2"/>
      <c r="C271" s="2"/>
      <c r="D271" s="2"/>
      <c r="E271" s="2"/>
      <c r="F271" s="2"/>
      <c r="G271" s="2"/>
      <c r="H271" s="2"/>
      <c r="I271" s="2"/>
      <c r="J271" s="2"/>
      <c r="K271" s="2"/>
      <c r="L271" s="2"/>
      <c r="M271" s="2"/>
      <c r="N271" s="2"/>
      <c r="O271" s="2"/>
      <c r="P271" s="2"/>
    </row>
    <row r="272" spans="1:16" ht="12" customHeight="1" x14ac:dyDescent="0.3">
      <c r="A272" s="2" t="str">
        <f t="shared" si="3"/>
        <v/>
      </c>
      <c r="B272" s="2"/>
      <c r="C272" s="2"/>
      <c r="D272" s="2"/>
      <c r="E272" s="2"/>
      <c r="F272" s="2"/>
      <c r="G272" s="2"/>
      <c r="H272" s="2"/>
      <c r="I272" s="2"/>
      <c r="J272" s="2"/>
      <c r="K272" s="2"/>
      <c r="L272" s="2"/>
      <c r="M272" s="2"/>
      <c r="N272" s="2"/>
      <c r="O272" s="2"/>
      <c r="P272" s="2"/>
    </row>
    <row r="273" spans="1:16" ht="12" customHeight="1" x14ac:dyDescent="0.3">
      <c r="A273" s="2" t="str">
        <f t="shared" si="3"/>
        <v/>
      </c>
      <c r="B273" s="2"/>
      <c r="C273" s="2"/>
      <c r="D273" s="2"/>
      <c r="E273" s="2"/>
      <c r="F273" s="2"/>
      <c r="G273" s="2"/>
      <c r="H273" s="2"/>
      <c r="I273" s="2"/>
      <c r="J273" s="2"/>
      <c r="K273" s="2"/>
      <c r="L273" s="2"/>
      <c r="M273" s="2"/>
      <c r="N273" s="2"/>
      <c r="O273" s="2"/>
      <c r="P273" s="2"/>
    </row>
    <row r="274" spans="1:16" ht="12" customHeight="1" x14ac:dyDescent="0.3">
      <c r="A274" s="2" t="str">
        <f t="shared" si="3"/>
        <v/>
      </c>
      <c r="B274" s="2"/>
      <c r="C274" s="2"/>
      <c r="D274" s="2"/>
      <c r="E274" s="2"/>
      <c r="F274" s="2"/>
      <c r="G274" s="2"/>
      <c r="H274" s="2"/>
      <c r="I274" s="2"/>
      <c r="J274" s="2"/>
      <c r="K274" s="2"/>
      <c r="L274" s="2"/>
      <c r="M274" s="2"/>
      <c r="N274" s="2"/>
      <c r="O274" s="2"/>
      <c r="P274" s="2"/>
    </row>
    <row r="275" spans="1:16" ht="12" customHeight="1" x14ac:dyDescent="0.3">
      <c r="A275" s="2" t="str">
        <f t="shared" si="3"/>
        <v/>
      </c>
      <c r="B275" s="2"/>
      <c r="C275" s="2"/>
      <c r="D275" s="2"/>
      <c r="E275" s="2"/>
      <c r="F275" s="2"/>
      <c r="G275" s="2"/>
      <c r="H275" s="2"/>
      <c r="I275" s="2"/>
      <c r="J275" s="2"/>
      <c r="K275" s="2"/>
      <c r="L275" s="2"/>
      <c r="M275" s="2"/>
      <c r="N275" s="2"/>
      <c r="O275" s="2"/>
      <c r="P275" s="2"/>
    </row>
    <row r="276" spans="1:16" ht="12" customHeight="1" x14ac:dyDescent="0.3">
      <c r="A276" s="2" t="str">
        <f t="shared" si="3"/>
        <v/>
      </c>
      <c r="B276" s="2"/>
      <c r="C276" s="2"/>
      <c r="D276" s="2"/>
      <c r="E276" s="2"/>
      <c r="F276" s="2"/>
      <c r="G276" s="2"/>
      <c r="H276" s="2"/>
      <c r="I276" s="2"/>
      <c r="J276" s="2"/>
      <c r="K276" s="2"/>
      <c r="L276" s="2"/>
      <c r="M276" s="2"/>
      <c r="N276" s="2"/>
      <c r="O276" s="2"/>
      <c r="P276" s="2"/>
    </row>
    <row r="277" spans="1:16" ht="12" customHeight="1" x14ac:dyDescent="0.3">
      <c r="A277" s="2" t="str">
        <f t="shared" si="3"/>
        <v/>
      </c>
      <c r="B277" s="2"/>
      <c r="C277" s="2"/>
      <c r="D277" s="2"/>
      <c r="E277" s="2"/>
      <c r="F277" s="2"/>
      <c r="G277" s="2"/>
      <c r="H277" s="2"/>
      <c r="I277" s="2"/>
      <c r="J277" s="2"/>
      <c r="K277" s="2"/>
      <c r="L277" s="2"/>
      <c r="M277" s="2"/>
      <c r="N277" s="2"/>
      <c r="O277" s="2"/>
      <c r="P277" s="2"/>
    </row>
    <row r="278" spans="1:16" ht="12" customHeight="1" x14ac:dyDescent="0.3">
      <c r="A278" s="2" t="str">
        <f t="shared" si="3"/>
        <v/>
      </c>
      <c r="B278" s="2"/>
      <c r="C278" s="2"/>
      <c r="D278" s="2"/>
      <c r="E278" s="2"/>
      <c r="F278" s="2"/>
      <c r="G278" s="2"/>
      <c r="H278" s="2"/>
      <c r="I278" s="2"/>
      <c r="J278" s="2"/>
      <c r="K278" s="2"/>
      <c r="L278" s="2"/>
      <c r="M278" s="2"/>
      <c r="N278" s="2"/>
      <c r="O278" s="2"/>
      <c r="P278" s="2"/>
    </row>
    <row r="279" spans="1:16" ht="12" customHeight="1" x14ac:dyDescent="0.3">
      <c r="A279" s="2" t="str">
        <f t="shared" si="3"/>
        <v/>
      </c>
      <c r="B279" s="2"/>
      <c r="C279" s="2"/>
      <c r="D279" s="2"/>
      <c r="E279" s="2"/>
      <c r="F279" s="2"/>
      <c r="G279" s="2"/>
      <c r="H279" s="2"/>
      <c r="I279" s="2"/>
      <c r="J279" s="2"/>
      <c r="K279" s="2"/>
      <c r="L279" s="2"/>
      <c r="M279" s="2"/>
      <c r="N279" s="2"/>
      <c r="O279" s="2"/>
      <c r="P279" s="2"/>
    </row>
    <row r="280" spans="1:16" ht="12" customHeight="1" x14ac:dyDescent="0.3">
      <c r="A280" s="2" t="str">
        <f t="shared" si="3"/>
        <v/>
      </c>
      <c r="B280" s="2"/>
      <c r="C280" s="2"/>
      <c r="D280" s="2"/>
      <c r="E280" s="2"/>
      <c r="F280" s="2"/>
      <c r="G280" s="2"/>
      <c r="H280" s="2"/>
      <c r="I280" s="2"/>
      <c r="J280" s="2"/>
      <c r="K280" s="2"/>
      <c r="L280" s="2"/>
      <c r="M280" s="2"/>
      <c r="N280" s="2"/>
      <c r="O280" s="2"/>
      <c r="P280" s="2"/>
    </row>
    <row r="281" spans="1:16" ht="12" customHeight="1" x14ac:dyDescent="0.3">
      <c r="A281" s="2" t="str">
        <f t="shared" si="3"/>
        <v/>
      </c>
      <c r="B281" s="2"/>
      <c r="C281" s="2"/>
      <c r="D281" s="2"/>
      <c r="E281" s="2"/>
      <c r="F281" s="2"/>
      <c r="G281" s="2"/>
      <c r="H281" s="2"/>
      <c r="I281" s="2"/>
      <c r="J281" s="2"/>
      <c r="K281" s="2"/>
      <c r="L281" s="2"/>
      <c r="M281" s="2"/>
      <c r="N281" s="2"/>
      <c r="O281" s="2"/>
      <c r="P281" s="2"/>
    </row>
    <row r="282" spans="1:16" ht="12" customHeight="1" x14ac:dyDescent="0.3">
      <c r="A282" s="2" t="str">
        <f t="shared" ref="A282:A345" si="4">IF(B282&lt;&gt;"","REC-"&amp;TEXT(ROW()-1,"000"),"")</f>
        <v/>
      </c>
      <c r="B282" s="2"/>
      <c r="C282" s="2"/>
      <c r="D282" s="2"/>
      <c r="E282" s="2"/>
      <c r="F282" s="2"/>
      <c r="G282" s="2"/>
      <c r="H282" s="2"/>
      <c r="I282" s="2"/>
      <c r="J282" s="2"/>
      <c r="K282" s="2"/>
      <c r="L282" s="2"/>
      <c r="M282" s="2"/>
      <c r="N282" s="2"/>
      <c r="O282" s="2"/>
      <c r="P282" s="2"/>
    </row>
    <row r="283" spans="1:16" ht="12" customHeight="1" x14ac:dyDescent="0.3">
      <c r="A283" s="2" t="str">
        <f t="shared" si="4"/>
        <v/>
      </c>
      <c r="B283" s="2"/>
      <c r="C283" s="2"/>
      <c r="D283" s="2"/>
      <c r="E283" s="2"/>
      <c r="F283" s="2"/>
      <c r="G283" s="2"/>
      <c r="H283" s="2"/>
      <c r="I283" s="2"/>
      <c r="J283" s="2"/>
      <c r="K283" s="2"/>
      <c r="L283" s="2"/>
      <c r="M283" s="2"/>
      <c r="N283" s="2"/>
      <c r="O283" s="2"/>
      <c r="P283" s="2"/>
    </row>
    <row r="284" spans="1:16" ht="12" customHeight="1" x14ac:dyDescent="0.3">
      <c r="A284" s="2" t="str">
        <f t="shared" si="4"/>
        <v/>
      </c>
      <c r="B284" s="2"/>
      <c r="C284" s="2"/>
      <c r="D284" s="2"/>
      <c r="E284" s="2"/>
      <c r="F284" s="2"/>
      <c r="G284" s="2"/>
      <c r="H284" s="2"/>
      <c r="I284" s="2"/>
      <c r="J284" s="2"/>
      <c r="K284" s="2"/>
      <c r="L284" s="2"/>
      <c r="M284" s="2"/>
      <c r="N284" s="2"/>
      <c r="O284" s="2"/>
      <c r="P284" s="2"/>
    </row>
    <row r="285" spans="1:16" ht="12" customHeight="1" x14ac:dyDescent="0.3">
      <c r="A285" s="2" t="str">
        <f t="shared" si="4"/>
        <v/>
      </c>
      <c r="B285" s="2"/>
      <c r="C285" s="2"/>
      <c r="D285" s="2"/>
      <c r="E285" s="2"/>
      <c r="F285" s="2"/>
      <c r="G285" s="2"/>
      <c r="H285" s="2"/>
      <c r="I285" s="2"/>
      <c r="J285" s="2"/>
      <c r="K285" s="2"/>
      <c r="L285" s="2"/>
      <c r="M285" s="2"/>
      <c r="N285" s="2"/>
      <c r="O285" s="2"/>
      <c r="P285" s="2"/>
    </row>
    <row r="286" spans="1:16" ht="12" customHeight="1" x14ac:dyDescent="0.3">
      <c r="A286" s="2" t="str">
        <f t="shared" si="4"/>
        <v/>
      </c>
      <c r="B286" s="2"/>
      <c r="C286" s="2"/>
      <c r="D286" s="2"/>
      <c r="E286" s="2"/>
      <c r="F286" s="2"/>
      <c r="G286" s="2"/>
      <c r="H286" s="2"/>
      <c r="I286" s="2"/>
      <c r="J286" s="2"/>
      <c r="K286" s="2"/>
      <c r="L286" s="2"/>
      <c r="M286" s="2"/>
      <c r="N286" s="2"/>
      <c r="O286" s="2"/>
      <c r="P286" s="2"/>
    </row>
    <row r="287" spans="1:16" ht="12" customHeight="1" x14ac:dyDescent="0.3">
      <c r="A287" s="2" t="str">
        <f t="shared" si="4"/>
        <v/>
      </c>
      <c r="B287" s="2"/>
      <c r="C287" s="2"/>
      <c r="D287" s="2"/>
      <c r="E287" s="2"/>
      <c r="F287" s="2"/>
      <c r="G287" s="2"/>
      <c r="H287" s="2"/>
      <c r="I287" s="2"/>
      <c r="J287" s="2"/>
      <c r="K287" s="2"/>
      <c r="L287" s="2"/>
      <c r="M287" s="2"/>
      <c r="N287" s="2"/>
      <c r="O287" s="2"/>
      <c r="P287" s="2"/>
    </row>
    <row r="288" spans="1:16" ht="12" customHeight="1" x14ac:dyDescent="0.3">
      <c r="A288" s="2" t="str">
        <f t="shared" si="4"/>
        <v/>
      </c>
      <c r="B288" s="2"/>
      <c r="C288" s="2"/>
      <c r="D288" s="2"/>
      <c r="E288" s="2"/>
      <c r="F288" s="2"/>
      <c r="G288" s="2"/>
      <c r="H288" s="2"/>
      <c r="I288" s="2"/>
      <c r="J288" s="2"/>
      <c r="K288" s="2"/>
      <c r="L288" s="2"/>
      <c r="M288" s="2"/>
      <c r="N288" s="2"/>
      <c r="O288" s="2"/>
      <c r="P288" s="2"/>
    </row>
    <row r="289" spans="1:16" ht="12" customHeight="1" x14ac:dyDescent="0.3">
      <c r="A289" s="2" t="str">
        <f t="shared" si="4"/>
        <v/>
      </c>
      <c r="B289" s="2"/>
      <c r="C289" s="2"/>
      <c r="D289" s="2"/>
      <c r="E289" s="2"/>
      <c r="F289" s="2"/>
      <c r="G289" s="2"/>
      <c r="H289" s="2"/>
      <c r="I289" s="2"/>
      <c r="J289" s="2"/>
      <c r="K289" s="2"/>
      <c r="L289" s="2"/>
      <c r="M289" s="2"/>
      <c r="N289" s="2"/>
      <c r="O289" s="2"/>
      <c r="P289" s="2"/>
    </row>
    <row r="290" spans="1:16" ht="12" customHeight="1" x14ac:dyDescent="0.3">
      <c r="A290" s="2" t="str">
        <f t="shared" si="4"/>
        <v/>
      </c>
      <c r="B290" s="2"/>
      <c r="C290" s="2"/>
      <c r="D290" s="2"/>
      <c r="E290" s="2"/>
      <c r="F290" s="2"/>
      <c r="G290" s="2"/>
      <c r="H290" s="2"/>
      <c r="I290" s="2"/>
      <c r="J290" s="2"/>
      <c r="K290" s="2"/>
      <c r="L290" s="2"/>
      <c r="M290" s="2"/>
      <c r="N290" s="2"/>
      <c r="O290" s="2"/>
      <c r="P290" s="2"/>
    </row>
    <row r="291" spans="1:16" ht="12" customHeight="1" x14ac:dyDescent="0.3">
      <c r="A291" s="2" t="str">
        <f t="shared" si="4"/>
        <v/>
      </c>
      <c r="B291" s="2"/>
      <c r="C291" s="2"/>
      <c r="D291" s="2"/>
      <c r="E291" s="2"/>
      <c r="F291" s="2"/>
      <c r="G291" s="2"/>
      <c r="H291" s="2"/>
      <c r="I291" s="2"/>
      <c r="J291" s="2"/>
      <c r="K291" s="2"/>
      <c r="L291" s="2"/>
      <c r="M291" s="2"/>
      <c r="N291" s="2"/>
      <c r="O291" s="2"/>
      <c r="P291" s="2"/>
    </row>
    <row r="292" spans="1:16" ht="12" customHeight="1" x14ac:dyDescent="0.3">
      <c r="A292" s="2" t="str">
        <f t="shared" si="4"/>
        <v/>
      </c>
      <c r="B292" s="2"/>
      <c r="C292" s="2"/>
      <c r="D292" s="2"/>
      <c r="E292" s="2"/>
      <c r="F292" s="2"/>
      <c r="G292" s="2"/>
      <c r="H292" s="2"/>
      <c r="I292" s="2"/>
      <c r="J292" s="2"/>
      <c r="K292" s="2"/>
      <c r="L292" s="2"/>
      <c r="M292" s="2"/>
      <c r="N292" s="2"/>
      <c r="O292" s="2"/>
      <c r="P292" s="2"/>
    </row>
    <row r="293" spans="1:16" ht="12" customHeight="1" x14ac:dyDescent="0.3">
      <c r="A293" s="2" t="str">
        <f t="shared" si="4"/>
        <v/>
      </c>
      <c r="B293" s="2"/>
      <c r="C293" s="2"/>
      <c r="D293" s="2"/>
      <c r="E293" s="2"/>
      <c r="F293" s="2"/>
      <c r="G293" s="2"/>
      <c r="H293" s="2"/>
      <c r="I293" s="2"/>
      <c r="J293" s="2"/>
      <c r="K293" s="2"/>
      <c r="L293" s="2"/>
      <c r="M293" s="2"/>
      <c r="N293" s="2"/>
      <c r="O293" s="2"/>
      <c r="P293" s="2"/>
    </row>
    <row r="294" spans="1:16" ht="12" customHeight="1" x14ac:dyDescent="0.3">
      <c r="A294" s="2" t="str">
        <f t="shared" si="4"/>
        <v/>
      </c>
      <c r="B294" s="2"/>
      <c r="C294" s="2"/>
      <c r="D294" s="2"/>
      <c r="E294" s="2"/>
      <c r="F294" s="2"/>
      <c r="G294" s="2"/>
      <c r="H294" s="2"/>
      <c r="I294" s="2"/>
      <c r="J294" s="2"/>
      <c r="K294" s="2"/>
      <c r="L294" s="2"/>
      <c r="M294" s="2"/>
      <c r="N294" s="2"/>
      <c r="O294" s="2"/>
      <c r="P294" s="2"/>
    </row>
    <row r="295" spans="1:16" ht="12" customHeight="1" x14ac:dyDescent="0.3">
      <c r="A295" s="2" t="str">
        <f t="shared" si="4"/>
        <v/>
      </c>
      <c r="B295" s="2"/>
      <c r="C295" s="2"/>
      <c r="D295" s="2"/>
      <c r="E295" s="2"/>
      <c r="F295" s="2"/>
      <c r="G295" s="2"/>
      <c r="H295" s="2"/>
      <c r="I295" s="2"/>
      <c r="J295" s="2"/>
      <c r="K295" s="2"/>
      <c r="L295" s="2"/>
      <c r="M295" s="2"/>
      <c r="N295" s="2"/>
      <c r="O295" s="2"/>
      <c r="P295" s="2"/>
    </row>
    <row r="296" spans="1:16" ht="12" customHeight="1" x14ac:dyDescent="0.3">
      <c r="A296" s="2" t="str">
        <f t="shared" si="4"/>
        <v/>
      </c>
      <c r="B296" s="2"/>
      <c r="C296" s="2"/>
      <c r="D296" s="2"/>
      <c r="E296" s="2"/>
      <c r="F296" s="2"/>
      <c r="G296" s="2"/>
      <c r="H296" s="2"/>
      <c r="I296" s="2"/>
      <c r="J296" s="2"/>
      <c r="K296" s="2"/>
      <c r="L296" s="2"/>
      <c r="M296" s="2"/>
      <c r="N296" s="2"/>
      <c r="O296" s="2"/>
      <c r="P296" s="2"/>
    </row>
    <row r="297" spans="1:16" ht="12" customHeight="1" x14ac:dyDescent="0.3">
      <c r="A297" s="2" t="str">
        <f t="shared" si="4"/>
        <v/>
      </c>
      <c r="B297" s="2"/>
      <c r="C297" s="2"/>
      <c r="D297" s="2"/>
      <c r="E297" s="2"/>
      <c r="F297" s="2"/>
      <c r="G297" s="2"/>
      <c r="H297" s="2"/>
      <c r="I297" s="2"/>
      <c r="J297" s="2"/>
      <c r="K297" s="2"/>
      <c r="L297" s="2"/>
      <c r="M297" s="2"/>
      <c r="N297" s="2"/>
      <c r="O297" s="2"/>
      <c r="P297" s="2"/>
    </row>
    <row r="298" spans="1:16" ht="12" customHeight="1" x14ac:dyDescent="0.3">
      <c r="A298" s="2" t="str">
        <f t="shared" si="4"/>
        <v/>
      </c>
      <c r="B298" s="2"/>
      <c r="C298" s="2"/>
      <c r="D298" s="2"/>
      <c r="E298" s="2"/>
      <c r="F298" s="2"/>
      <c r="G298" s="2"/>
      <c r="H298" s="2"/>
      <c r="I298" s="2"/>
      <c r="J298" s="2"/>
      <c r="K298" s="2"/>
      <c r="L298" s="2"/>
      <c r="M298" s="2"/>
      <c r="N298" s="2"/>
      <c r="O298" s="2"/>
      <c r="P298" s="2"/>
    </row>
    <row r="299" spans="1:16" ht="12" customHeight="1" x14ac:dyDescent="0.3">
      <c r="A299" s="2" t="str">
        <f t="shared" si="4"/>
        <v/>
      </c>
      <c r="B299" s="2"/>
      <c r="C299" s="2"/>
      <c r="D299" s="2"/>
      <c r="E299" s="2"/>
      <c r="F299" s="2"/>
      <c r="G299" s="2"/>
      <c r="H299" s="2"/>
      <c r="I299" s="2"/>
      <c r="J299" s="2"/>
      <c r="K299" s="2"/>
      <c r="L299" s="2"/>
      <c r="M299" s="2"/>
      <c r="N299" s="2"/>
      <c r="O299" s="2"/>
      <c r="P299" s="2"/>
    </row>
    <row r="300" spans="1:16" ht="12" customHeight="1" x14ac:dyDescent="0.3">
      <c r="A300" s="2" t="str">
        <f t="shared" si="4"/>
        <v/>
      </c>
      <c r="B300" s="2"/>
      <c r="C300" s="2"/>
      <c r="D300" s="2"/>
      <c r="E300" s="2"/>
      <c r="F300" s="2"/>
      <c r="G300" s="2"/>
      <c r="H300" s="2"/>
      <c r="I300" s="2"/>
      <c r="J300" s="2"/>
      <c r="K300" s="2"/>
      <c r="L300" s="2"/>
      <c r="M300" s="2"/>
      <c r="N300" s="2"/>
      <c r="O300" s="2"/>
      <c r="P300" s="2"/>
    </row>
    <row r="301" spans="1:16" ht="12" customHeight="1" x14ac:dyDescent="0.3">
      <c r="A301" s="2" t="str">
        <f t="shared" si="4"/>
        <v/>
      </c>
      <c r="B301" s="2"/>
      <c r="C301" s="2"/>
      <c r="D301" s="2"/>
      <c r="E301" s="2"/>
      <c r="F301" s="2"/>
      <c r="G301" s="2"/>
      <c r="H301" s="2"/>
      <c r="I301" s="2"/>
      <c r="J301" s="2"/>
      <c r="K301" s="2"/>
      <c r="L301" s="2"/>
      <c r="M301" s="2"/>
      <c r="N301" s="2"/>
      <c r="O301" s="2"/>
      <c r="P301" s="2"/>
    </row>
    <row r="302" spans="1:16" ht="12" customHeight="1" x14ac:dyDescent="0.3">
      <c r="A302" s="2" t="str">
        <f t="shared" si="4"/>
        <v/>
      </c>
      <c r="B302" s="2"/>
      <c r="C302" s="2"/>
      <c r="D302" s="2"/>
      <c r="E302" s="2"/>
      <c r="F302" s="2"/>
      <c r="G302" s="2"/>
      <c r="H302" s="2"/>
      <c r="I302" s="2"/>
      <c r="J302" s="2"/>
      <c r="K302" s="2"/>
      <c r="L302" s="2"/>
      <c r="M302" s="2"/>
      <c r="N302" s="2"/>
      <c r="O302" s="2"/>
      <c r="P302" s="2"/>
    </row>
    <row r="303" spans="1:16" ht="12" customHeight="1" x14ac:dyDescent="0.3">
      <c r="A303" s="2" t="str">
        <f t="shared" si="4"/>
        <v/>
      </c>
      <c r="B303" s="2"/>
      <c r="C303" s="2"/>
      <c r="D303" s="2"/>
      <c r="E303" s="2"/>
      <c r="F303" s="2"/>
      <c r="G303" s="2"/>
      <c r="H303" s="2"/>
      <c r="I303" s="2"/>
      <c r="J303" s="2"/>
      <c r="K303" s="2"/>
      <c r="L303" s="2"/>
      <c r="M303" s="2"/>
      <c r="N303" s="2"/>
      <c r="O303" s="2"/>
      <c r="P303" s="2"/>
    </row>
    <row r="304" spans="1:16" ht="12" customHeight="1" x14ac:dyDescent="0.3">
      <c r="A304" s="2" t="str">
        <f t="shared" si="4"/>
        <v/>
      </c>
      <c r="B304" s="2"/>
      <c r="C304" s="2"/>
      <c r="D304" s="2"/>
      <c r="E304" s="2"/>
      <c r="F304" s="2"/>
      <c r="G304" s="2"/>
      <c r="H304" s="2"/>
      <c r="I304" s="2"/>
      <c r="J304" s="2"/>
      <c r="K304" s="2"/>
      <c r="L304" s="2"/>
      <c r="M304" s="2"/>
      <c r="N304" s="2"/>
      <c r="O304" s="2"/>
      <c r="P304" s="2"/>
    </row>
    <row r="305" spans="1:16" ht="12" customHeight="1" x14ac:dyDescent="0.3">
      <c r="A305" s="2" t="str">
        <f t="shared" si="4"/>
        <v/>
      </c>
      <c r="B305" s="2"/>
      <c r="C305" s="2"/>
      <c r="D305" s="2"/>
      <c r="E305" s="2"/>
      <c r="F305" s="2"/>
      <c r="G305" s="2"/>
      <c r="H305" s="2"/>
      <c r="I305" s="2"/>
      <c r="J305" s="2"/>
      <c r="K305" s="2"/>
      <c r="L305" s="2"/>
      <c r="M305" s="2"/>
      <c r="N305" s="2"/>
      <c r="O305" s="2"/>
      <c r="P305" s="2"/>
    </row>
    <row r="306" spans="1:16" ht="12" customHeight="1" x14ac:dyDescent="0.3">
      <c r="A306" s="2" t="str">
        <f t="shared" si="4"/>
        <v/>
      </c>
      <c r="B306" s="2"/>
      <c r="C306" s="2"/>
      <c r="D306" s="2"/>
      <c r="E306" s="2"/>
      <c r="F306" s="2"/>
      <c r="G306" s="2"/>
      <c r="H306" s="2"/>
      <c r="I306" s="2"/>
      <c r="J306" s="2"/>
      <c r="K306" s="2"/>
      <c r="L306" s="2"/>
      <c r="M306" s="2"/>
      <c r="N306" s="2"/>
      <c r="O306" s="2"/>
      <c r="P306" s="2"/>
    </row>
    <row r="307" spans="1:16" ht="12" customHeight="1" x14ac:dyDescent="0.3">
      <c r="A307" s="2" t="str">
        <f t="shared" si="4"/>
        <v/>
      </c>
      <c r="B307" s="2"/>
      <c r="C307" s="2"/>
      <c r="D307" s="2"/>
      <c r="E307" s="2"/>
      <c r="F307" s="2"/>
      <c r="G307" s="2"/>
      <c r="H307" s="2"/>
      <c r="I307" s="2"/>
      <c r="J307" s="2"/>
      <c r="K307" s="2"/>
      <c r="L307" s="2"/>
      <c r="M307" s="2"/>
      <c r="N307" s="2"/>
      <c r="O307" s="2"/>
      <c r="P307" s="2"/>
    </row>
    <row r="308" spans="1:16" ht="12" customHeight="1" x14ac:dyDescent="0.3">
      <c r="A308" s="2" t="str">
        <f t="shared" si="4"/>
        <v/>
      </c>
      <c r="B308" s="2"/>
      <c r="C308" s="2"/>
      <c r="D308" s="2"/>
      <c r="E308" s="2"/>
      <c r="F308" s="2"/>
      <c r="G308" s="2"/>
      <c r="H308" s="2"/>
      <c r="I308" s="2"/>
      <c r="J308" s="2"/>
      <c r="K308" s="2"/>
      <c r="L308" s="2"/>
      <c r="M308" s="2"/>
      <c r="N308" s="2"/>
      <c r="O308" s="2"/>
      <c r="P308" s="2"/>
    </row>
    <row r="309" spans="1:16" ht="12" customHeight="1" x14ac:dyDescent="0.3">
      <c r="A309" s="2" t="str">
        <f t="shared" si="4"/>
        <v/>
      </c>
      <c r="B309" s="2"/>
      <c r="C309" s="2"/>
      <c r="D309" s="2"/>
      <c r="E309" s="2"/>
      <c r="F309" s="2"/>
      <c r="G309" s="2"/>
      <c r="H309" s="2"/>
      <c r="I309" s="2"/>
      <c r="J309" s="2"/>
      <c r="K309" s="2"/>
      <c r="L309" s="2"/>
      <c r="M309" s="2"/>
      <c r="N309" s="2"/>
      <c r="O309" s="2"/>
      <c r="P309" s="2"/>
    </row>
    <row r="310" spans="1:16" ht="12" customHeight="1" x14ac:dyDescent="0.3">
      <c r="A310" s="2" t="str">
        <f t="shared" si="4"/>
        <v/>
      </c>
      <c r="B310" s="2"/>
      <c r="C310" s="2"/>
      <c r="D310" s="2"/>
      <c r="E310" s="2"/>
      <c r="F310" s="2"/>
      <c r="G310" s="2"/>
      <c r="H310" s="2"/>
      <c r="I310" s="2"/>
      <c r="J310" s="2"/>
      <c r="K310" s="2"/>
      <c r="L310" s="2"/>
      <c r="M310" s="2"/>
      <c r="N310" s="2"/>
      <c r="O310" s="2"/>
      <c r="P310" s="2"/>
    </row>
    <row r="311" spans="1:16" ht="12" customHeight="1" x14ac:dyDescent="0.3">
      <c r="A311" s="2" t="str">
        <f t="shared" si="4"/>
        <v/>
      </c>
      <c r="B311" s="2"/>
      <c r="C311" s="2"/>
      <c r="D311" s="2"/>
      <c r="E311" s="2"/>
      <c r="F311" s="2"/>
      <c r="G311" s="2"/>
      <c r="H311" s="2"/>
      <c r="I311" s="2"/>
      <c r="J311" s="2"/>
      <c r="K311" s="2"/>
      <c r="L311" s="2"/>
      <c r="M311" s="2"/>
      <c r="N311" s="2"/>
      <c r="O311" s="2"/>
      <c r="P311" s="2"/>
    </row>
    <row r="312" spans="1:16" ht="12" customHeight="1" x14ac:dyDescent="0.3">
      <c r="A312" s="2" t="str">
        <f t="shared" si="4"/>
        <v/>
      </c>
      <c r="B312" s="2"/>
      <c r="C312" s="2"/>
      <c r="D312" s="2"/>
      <c r="E312" s="2"/>
      <c r="F312" s="2"/>
      <c r="G312" s="2"/>
      <c r="H312" s="2"/>
      <c r="I312" s="2"/>
      <c r="J312" s="2"/>
      <c r="K312" s="2"/>
      <c r="L312" s="2"/>
      <c r="M312" s="2"/>
      <c r="N312" s="2"/>
      <c r="O312" s="2"/>
      <c r="P312" s="2"/>
    </row>
    <row r="313" spans="1:16" ht="12" customHeight="1" x14ac:dyDescent="0.3">
      <c r="A313" s="2" t="str">
        <f t="shared" si="4"/>
        <v/>
      </c>
      <c r="B313" s="2"/>
      <c r="C313" s="2"/>
      <c r="D313" s="2"/>
      <c r="E313" s="2"/>
      <c r="F313" s="2"/>
      <c r="G313" s="2"/>
      <c r="H313" s="2"/>
      <c r="I313" s="2"/>
      <c r="J313" s="2"/>
      <c r="K313" s="2"/>
      <c r="L313" s="2"/>
      <c r="M313" s="2"/>
      <c r="N313" s="2"/>
      <c r="O313" s="2"/>
      <c r="P313" s="2"/>
    </row>
    <row r="314" spans="1:16" ht="12" customHeight="1" x14ac:dyDescent="0.3">
      <c r="A314" s="2" t="str">
        <f t="shared" si="4"/>
        <v/>
      </c>
      <c r="B314" s="2"/>
      <c r="C314" s="2"/>
      <c r="D314" s="2"/>
      <c r="E314" s="2"/>
      <c r="F314" s="2"/>
      <c r="G314" s="2"/>
      <c r="H314" s="2"/>
      <c r="I314" s="2"/>
      <c r="J314" s="2"/>
      <c r="K314" s="2"/>
      <c r="L314" s="2"/>
      <c r="M314" s="2"/>
      <c r="N314" s="2"/>
      <c r="O314" s="2"/>
      <c r="P314" s="2"/>
    </row>
    <row r="315" spans="1:16" ht="12" customHeight="1" x14ac:dyDescent="0.3">
      <c r="A315" s="2" t="str">
        <f t="shared" si="4"/>
        <v/>
      </c>
      <c r="B315" s="2"/>
      <c r="C315" s="2"/>
      <c r="D315" s="2"/>
      <c r="E315" s="2"/>
      <c r="F315" s="2"/>
      <c r="G315" s="2"/>
      <c r="H315" s="2"/>
      <c r="I315" s="2"/>
      <c r="J315" s="2"/>
      <c r="K315" s="2"/>
      <c r="L315" s="2"/>
      <c r="M315" s="2"/>
      <c r="N315" s="2"/>
      <c r="O315" s="2"/>
      <c r="P315" s="2"/>
    </row>
    <row r="316" spans="1:16" ht="12" customHeight="1" x14ac:dyDescent="0.3">
      <c r="A316" s="2" t="str">
        <f t="shared" si="4"/>
        <v/>
      </c>
      <c r="B316" s="2"/>
      <c r="C316" s="2"/>
      <c r="D316" s="2"/>
      <c r="E316" s="2"/>
      <c r="F316" s="2"/>
      <c r="G316" s="2"/>
      <c r="H316" s="2"/>
      <c r="I316" s="2"/>
      <c r="J316" s="2"/>
      <c r="K316" s="2"/>
      <c r="L316" s="2"/>
      <c r="M316" s="2"/>
      <c r="N316" s="2"/>
      <c r="O316" s="2"/>
      <c r="P316" s="2"/>
    </row>
    <row r="317" spans="1:16" ht="12" customHeight="1" x14ac:dyDescent="0.3">
      <c r="A317" s="2" t="str">
        <f t="shared" si="4"/>
        <v/>
      </c>
      <c r="B317" s="2"/>
      <c r="C317" s="2"/>
      <c r="D317" s="2"/>
      <c r="E317" s="2"/>
      <c r="F317" s="2"/>
      <c r="G317" s="2"/>
      <c r="H317" s="2"/>
      <c r="I317" s="2"/>
      <c r="J317" s="2"/>
      <c r="K317" s="2"/>
      <c r="L317" s="2"/>
      <c r="M317" s="2"/>
      <c r="N317" s="2"/>
      <c r="O317" s="2"/>
      <c r="P317" s="2"/>
    </row>
    <row r="318" spans="1:16" ht="12" customHeight="1" x14ac:dyDescent="0.3">
      <c r="A318" s="2" t="str">
        <f t="shared" si="4"/>
        <v/>
      </c>
      <c r="B318" s="2"/>
      <c r="C318" s="2"/>
      <c r="D318" s="2"/>
      <c r="E318" s="2"/>
      <c r="F318" s="2"/>
      <c r="G318" s="2"/>
      <c r="H318" s="2"/>
      <c r="I318" s="2"/>
      <c r="J318" s="2"/>
      <c r="K318" s="2"/>
      <c r="L318" s="2"/>
      <c r="M318" s="2"/>
      <c r="N318" s="2"/>
      <c r="O318" s="2"/>
      <c r="P318" s="2"/>
    </row>
    <row r="319" spans="1:16" ht="12" customHeight="1" x14ac:dyDescent="0.3">
      <c r="A319" s="2" t="str">
        <f t="shared" si="4"/>
        <v/>
      </c>
      <c r="B319" s="2"/>
      <c r="C319" s="2"/>
      <c r="D319" s="2"/>
      <c r="E319" s="2"/>
      <c r="F319" s="2"/>
      <c r="G319" s="2"/>
      <c r="H319" s="2"/>
      <c r="I319" s="2"/>
      <c r="J319" s="2"/>
      <c r="K319" s="2"/>
      <c r="L319" s="2"/>
      <c r="M319" s="2"/>
      <c r="N319" s="2"/>
      <c r="O319" s="2"/>
      <c r="P319" s="2"/>
    </row>
    <row r="320" spans="1:16" ht="12" customHeight="1" x14ac:dyDescent="0.3">
      <c r="A320" s="2" t="str">
        <f t="shared" si="4"/>
        <v/>
      </c>
      <c r="B320" s="2"/>
      <c r="C320" s="2"/>
      <c r="D320" s="2"/>
      <c r="E320" s="2"/>
      <c r="F320" s="2"/>
      <c r="G320" s="2"/>
      <c r="H320" s="2"/>
      <c r="I320" s="2"/>
      <c r="J320" s="2"/>
      <c r="K320" s="2"/>
      <c r="L320" s="2"/>
      <c r="M320" s="2"/>
      <c r="N320" s="2"/>
      <c r="O320" s="2"/>
      <c r="P320" s="2"/>
    </row>
    <row r="321" spans="1:16" ht="12" customHeight="1" x14ac:dyDescent="0.3">
      <c r="A321" s="2" t="str">
        <f t="shared" si="4"/>
        <v/>
      </c>
      <c r="B321" s="2"/>
      <c r="C321" s="2"/>
      <c r="D321" s="2"/>
      <c r="E321" s="2"/>
      <c r="F321" s="2"/>
      <c r="G321" s="2"/>
      <c r="H321" s="2"/>
      <c r="I321" s="2"/>
      <c r="J321" s="2"/>
      <c r="K321" s="2"/>
      <c r="L321" s="2"/>
      <c r="M321" s="2"/>
      <c r="N321" s="2"/>
      <c r="O321" s="2"/>
      <c r="P321" s="2"/>
    </row>
    <row r="322" spans="1:16" ht="12" customHeight="1" x14ac:dyDescent="0.3">
      <c r="A322" s="2" t="str">
        <f t="shared" si="4"/>
        <v/>
      </c>
      <c r="B322" s="2"/>
      <c r="C322" s="2"/>
      <c r="D322" s="2"/>
      <c r="E322" s="2"/>
      <c r="F322" s="2"/>
      <c r="G322" s="2"/>
      <c r="H322" s="2"/>
      <c r="I322" s="2"/>
      <c r="J322" s="2"/>
      <c r="K322" s="2"/>
      <c r="L322" s="2"/>
      <c r="M322" s="2"/>
      <c r="N322" s="2"/>
      <c r="O322" s="2"/>
      <c r="P322" s="2"/>
    </row>
    <row r="323" spans="1:16" ht="12" customHeight="1" x14ac:dyDescent="0.3">
      <c r="A323" s="2" t="str">
        <f t="shared" si="4"/>
        <v/>
      </c>
      <c r="B323" s="2"/>
      <c r="C323" s="2"/>
      <c r="D323" s="2"/>
      <c r="E323" s="2"/>
      <c r="F323" s="2"/>
      <c r="G323" s="2"/>
      <c r="H323" s="2"/>
      <c r="I323" s="2"/>
      <c r="J323" s="2"/>
      <c r="K323" s="2"/>
      <c r="L323" s="2"/>
      <c r="M323" s="2"/>
      <c r="N323" s="2"/>
      <c r="O323" s="2"/>
      <c r="P323" s="2"/>
    </row>
    <row r="324" spans="1:16" ht="12" customHeight="1" x14ac:dyDescent="0.3">
      <c r="A324" s="2" t="str">
        <f t="shared" si="4"/>
        <v/>
      </c>
      <c r="B324" s="2"/>
      <c r="C324" s="2"/>
      <c r="D324" s="2"/>
      <c r="E324" s="2"/>
      <c r="F324" s="2"/>
      <c r="G324" s="2"/>
      <c r="H324" s="2"/>
      <c r="I324" s="2"/>
      <c r="J324" s="2"/>
      <c r="K324" s="2"/>
      <c r="L324" s="2"/>
      <c r="M324" s="2"/>
      <c r="N324" s="2"/>
      <c r="O324" s="2"/>
      <c r="P324" s="2"/>
    </row>
    <row r="325" spans="1:16" ht="12" customHeight="1" x14ac:dyDescent="0.3">
      <c r="A325" s="2" t="str">
        <f t="shared" si="4"/>
        <v/>
      </c>
      <c r="B325" s="2"/>
      <c r="C325" s="2"/>
      <c r="D325" s="2"/>
      <c r="E325" s="2"/>
      <c r="F325" s="2"/>
      <c r="G325" s="2"/>
      <c r="H325" s="2"/>
      <c r="I325" s="2"/>
      <c r="J325" s="2"/>
      <c r="K325" s="2"/>
      <c r="L325" s="2"/>
      <c r="M325" s="2"/>
      <c r="N325" s="2"/>
      <c r="O325" s="2"/>
      <c r="P325" s="2"/>
    </row>
    <row r="326" spans="1:16" ht="12" customHeight="1" x14ac:dyDescent="0.3">
      <c r="A326" s="2" t="str">
        <f t="shared" si="4"/>
        <v/>
      </c>
      <c r="B326" s="2"/>
      <c r="C326" s="2"/>
      <c r="D326" s="2"/>
      <c r="E326" s="2"/>
      <c r="F326" s="2"/>
      <c r="G326" s="2"/>
      <c r="H326" s="2"/>
      <c r="I326" s="2"/>
      <c r="J326" s="2"/>
      <c r="K326" s="2"/>
      <c r="L326" s="2"/>
      <c r="M326" s="2"/>
      <c r="N326" s="2"/>
      <c r="O326" s="2"/>
      <c r="P326" s="2"/>
    </row>
    <row r="327" spans="1:16" ht="12" customHeight="1" x14ac:dyDescent="0.3">
      <c r="A327" s="2" t="str">
        <f t="shared" si="4"/>
        <v/>
      </c>
      <c r="B327" s="2"/>
      <c r="C327" s="2"/>
      <c r="D327" s="2"/>
      <c r="E327" s="2"/>
      <c r="F327" s="2"/>
      <c r="G327" s="2"/>
      <c r="H327" s="2"/>
      <c r="I327" s="2"/>
      <c r="J327" s="2"/>
      <c r="K327" s="2"/>
      <c r="L327" s="2"/>
      <c r="M327" s="2"/>
      <c r="N327" s="2"/>
      <c r="O327" s="2"/>
      <c r="P327" s="2"/>
    </row>
    <row r="328" spans="1:16" ht="12" customHeight="1" x14ac:dyDescent="0.3">
      <c r="A328" s="2" t="str">
        <f t="shared" si="4"/>
        <v/>
      </c>
      <c r="B328" s="2"/>
      <c r="C328" s="2"/>
      <c r="D328" s="2"/>
      <c r="E328" s="2"/>
      <c r="F328" s="2"/>
      <c r="G328" s="2"/>
      <c r="H328" s="2"/>
      <c r="I328" s="2"/>
      <c r="J328" s="2"/>
      <c r="K328" s="2"/>
      <c r="L328" s="2"/>
      <c r="M328" s="2"/>
      <c r="N328" s="2"/>
      <c r="O328" s="2"/>
      <c r="P328" s="2"/>
    </row>
    <row r="329" spans="1:16" ht="12" customHeight="1" x14ac:dyDescent="0.3">
      <c r="A329" s="2" t="str">
        <f t="shared" si="4"/>
        <v/>
      </c>
      <c r="B329" s="2"/>
      <c r="C329" s="2"/>
      <c r="D329" s="2"/>
      <c r="E329" s="2"/>
      <c r="F329" s="2"/>
      <c r="G329" s="2"/>
      <c r="H329" s="2"/>
      <c r="I329" s="2"/>
      <c r="J329" s="2"/>
      <c r="K329" s="2"/>
      <c r="L329" s="2"/>
      <c r="M329" s="2"/>
      <c r="N329" s="2"/>
      <c r="O329" s="2"/>
      <c r="P329" s="2"/>
    </row>
    <row r="330" spans="1:16" ht="12" customHeight="1" x14ac:dyDescent="0.3">
      <c r="A330" s="2" t="str">
        <f t="shared" si="4"/>
        <v/>
      </c>
      <c r="B330" s="2"/>
      <c r="C330" s="2"/>
      <c r="D330" s="2"/>
      <c r="E330" s="2"/>
      <c r="F330" s="2"/>
      <c r="G330" s="2"/>
      <c r="H330" s="2"/>
      <c r="I330" s="2"/>
      <c r="J330" s="2"/>
      <c r="K330" s="2"/>
      <c r="L330" s="2"/>
      <c r="M330" s="2"/>
      <c r="N330" s="2"/>
      <c r="O330" s="2"/>
      <c r="P330" s="2"/>
    </row>
    <row r="331" spans="1:16" ht="12" customHeight="1" x14ac:dyDescent="0.3">
      <c r="A331" s="2" t="str">
        <f t="shared" si="4"/>
        <v/>
      </c>
      <c r="B331" s="2"/>
      <c r="C331" s="2"/>
      <c r="D331" s="2"/>
      <c r="E331" s="2"/>
      <c r="F331" s="2"/>
      <c r="G331" s="2"/>
      <c r="H331" s="2"/>
      <c r="I331" s="2"/>
      <c r="J331" s="2"/>
      <c r="K331" s="2"/>
      <c r="L331" s="2"/>
      <c r="M331" s="2"/>
      <c r="N331" s="2"/>
      <c r="O331" s="2"/>
      <c r="P331" s="2"/>
    </row>
    <row r="332" spans="1:16" ht="12" customHeight="1" x14ac:dyDescent="0.3">
      <c r="A332" s="2" t="str">
        <f t="shared" si="4"/>
        <v/>
      </c>
      <c r="B332" s="2"/>
      <c r="C332" s="2"/>
      <c r="D332" s="2"/>
      <c r="E332" s="2"/>
      <c r="F332" s="2"/>
      <c r="G332" s="2"/>
      <c r="H332" s="2"/>
      <c r="I332" s="2"/>
      <c r="J332" s="2"/>
      <c r="K332" s="2"/>
      <c r="L332" s="2"/>
      <c r="M332" s="2"/>
      <c r="N332" s="2"/>
      <c r="O332" s="2"/>
      <c r="P332" s="2"/>
    </row>
    <row r="333" spans="1:16" ht="12" customHeight="1" x14ac:dyDescent="0.3">
      <c r="A333" s="2" t="str">
        <f t="shared" si="4"/>
        <v/>
      </c>
      <c r="B333" s="2"/>
      <c r="C333" s="2"/>
      <c r="D333" s="2"/>
      <c r="E333" s="2"/>
      <c r="F333" s="2"/>
      <c r="G333" s="2"/>
      <c r="H333" s="2"/>
      <c r="I333" s="2"/>
      <c r="J333" s="2"/>
      <c r="K333" s="2"/>
      <c r="L333" s="2"/>
      <c r="M333" s="2"/>
      <c r="N333" s="2"/>
      <c r="O333" s="2"/>
      <c r="P333" s="2"/>
    </row>
    <row r="334" spans="1:16" ht="12" customHeight="1" x14ac:dyDescent="0.3">
      <c r="A334" s="2" t="str">
        <f t="shared" si="4"/>
        <v/>
      </c>
      <c r="B334" s="2"/>
      <c r="C334" s="2"/>
      <c r="D334" s="2"/>
      <c r="E334" s="2"/>
      <c r="F334" s="2"/>
      <c r="G334" s="2"/>
      <c r="H334" s="2"/>
      <c r="I334" s="2"/>
      <c r="J334" s="2"/>
      <c r="K334" s="2"/>
      <c r="L334" s="2"/>
      <c r="M334" s="2"/>
      <c r="N334" s="2"/>
      <c r="O334" s="2"/>
      <c r="P334" s="2"/>
    </row>
    <row r="335" spans="1:16" ht="12" customHeight="1" x14ac:dyDescent="0.3">
      <c r="A335" s="2" t="str">
        <f t="shared" si="4"/>
        <v/>
      </c>
      <c r="B335" s="2"/>
      <c r="C335" s="2"/>
      <c r="D335" s="2"/>
      <c r="E335" s="2"/>
      <c r="F335" s="2"/>
      <c r="G335" s="2"/>
      <c r="H335" s="2"/>
      <c r="I335" s="2"/>
      <c r="J335" s="2"/>
      <c r="K335" s="2"/>
      <c r="L335" s="2"/>
      <c r="M335" s="2"/>
      <c r="N335" s="2"/>
      <c r="O335" s="2"/>
      <c r="P335" s="2"/>
    </row>
    <row r="336" spans="1:16" ht="12" customHeight="1" x14ac:dyDescent="0.3">
      <c r="A336" s="2" t="str">
        <f t="shared" si="4"/>
        <v/>
      </c>
      <c r="B336" s="2"/>
      <c r="C336" s="2"/>
      <c r="D336" s="2"/>
      <c r="E336" s="2"/>
      <c r="F336" s="2"/>
      <c r="G336" s="2"/>
      <c r="H336" s="2"/>
      <c r="I336" s="2"/>
      <c r="J336" s="2"/>
      <c r="K336" s="2"/>
      <c r="L336" s="2"/>
      <c r="M336" s="2"/>
      <c r="N336" s="2"/>
      <c r="O336" s="2"/>
      <c r="P336" s="2"/>
    </row>
    <row r="337" spans="1:16" ht="12" customHeight="1" x14ac:dyDescent="0.3">
      <c r="A337" s="2" t="str">
        <f t="shared" si="4"/>
        <v/>
      </c>
      <c r="B337" s="2"/>
      <c r="C337" s="2"/>
      <c r="D337" s="2"/>
      <c r="E337" s="2"/>
      <c r="F337" s="2"/>
      <c r="G337" s="2"/>
      <c r="H337" s="2"/>
      <c r="I337" s="2"/>
      <c r="J337" s="2"/>
      <c r="K337" s="2"/>
      <c r="L337" s="2"/>
      <c r="M337" s="2"/>
      <c r="N337" s="2"/>
      <c r="O337" s="2"/>
      <c r="P337" s="2"/>
    </row>
    <row r="338" spans="1:16" ht="12" customHeight="1" x14ac:dyDescent="0.3">
      <c r="A338" s="2" t="str">
        <f t="shared" si="4"/>
        <v/>
      </c>
      <c r="B338" s="2"/>
      <c r="C338" s="2"/>
      <c r="D338" s="2"/>
      <c r="E338" s="2"/>
      <c r="F338" s="2"/>
      <c r="G338" s="2"/>
      <c r="H338" s="2"/>
      <c r="I338" s="2"/>
      <c r="J338" s="2"/>
      <c r="K338" s="2"/>
      <c r="L338" s="2"/>
      <c r="M338" s="2"/>
      <c r="N338" s="2"/>
      <c r="O338" s="2"/>
      <c r="P338" s="2"/>
    </row>
    <row r="339" spans="1:16" ht="12" customHeight="1" x14ac:dyDescent="0.3">
      <c r="A339" s="2" t="str">
        <f t="shared" si="4"/>
        <v/>
      </c>
      <c r="B339" s="2"/>
      <c r="C339" s="2"/>
      <c r="D339" s="2"/>
      <c r="E339" s="2"/>
      <c r="F339" s="2"/>
      <c r="G339" s="2"/>
      <c r="H339" s="2"/>
      <c r="I339" s="2"/>
      <c r="J339" s="2"/>
      <c r="K339" s="2"/>
      <c r="L339" s="2"/>
      <c r="M339" s="2"/>
      <c r="N339" s="2"/>
      <c r="O339" s="2"/>
      <c r="P339" s="2"/>
    </row>
    <row r="340" spans="1:16" ht="12" customHeight="1" x14ac:dyDescent="0.3">
      <c r="A340" s="2" t="str">
        <f t="shared" si="4"/>
        <v/>
      </c>
      <c r="B340" s="2"/>
      <c r="C340" s="2"/>
      <c r="D340" s="2"/>
      <c r="E340" s="2"/>
      <c r="F340" s="2"/>
      <c r="G340" s="2"/>
      <c r="H340" s="2"/>
      <c r="I340" s="2"/>
      <c r="J340" s="2"/>
      <c r="K340" s="2"/>
      <c r="L340" s="2"/>
      <c r="M340" s="2"/>
      <c r="N340" s="2"/>
      <c r="O340" s="2"/>
      <c r="P340" s="2"/>
    </row>
    <row r="341" spans="1:16" ht="12" customHeight="1" x14ac:dyDescent="0.3">
      <c r="A341" s="2" t="str">
        <f t="shared" si="4"/>
        <v/>
      </c>
      <c r="B341" s="2"/>
      <c r="C341" s="2"/>
      <c r="D341" s="2"/>
      <c r="E341" s="2"/>
      <c r="F341" s="2"/>
      <c r="G341" s="2"/>
      <c r="H341" s="2"/>
      <c r="I341" s="2"/>
      <c r="J341" s="2"/>
      <c r="K341" s="2"/>
      <c r="L341" s="2"/>
      <c r="M341" s="2"/>
      <c r="N341" s="2"/>
      <c r="O341" s="2"/>
      <c r="P341" s="2"/>
    </row>
    <row r="342" spans="1:16" ht="12" customHeight="1" x14ac:dyDescent="0.3">
      <c r="A342" s="2" t="str">
        <f t="shared" si="4"/>
        <v/>
      </c>
      <c r="B342" s="2"/>
      <c r="C342" s="2"/>
      <c r="D342" s="2"/>
      <c r="E342" s="2"/>
      <c r="F342" s="2"/>
      <c r="G342" s="2"/>
      <c r="H342" s="2"/>
      <c r="I342" s="2"/>
      <c r="J342" s="2"/>
      <c r="K342" s="2"/>
      <c r="L342" s="2"/>
      <c r="M342" s="2"/>
      <c r="N342" s="2"/>
      <c r="O342" s="2"/>
      <c r="P342" s="2"/>
    </row>
    <row r="343" spans="1:16" ht="12" customHeight="1" x14ac:dyDescent="0.3">
      <c r="A343" s="2" t="str">
        <f t="shared" si="4"/>
        <v/>
      </c>
      <c r="B343" s="2"/>
      <c r="C343" s="2"/>
      <c r="D343" s="2"/>
      <c r="E343" s="2"/>
      <c r="F343" s="2"/>
      <c r="G343" s="2"/>
      <c r="H343" s="2"/>
      <c r="I343" s="2"/>
      <c r="J343" s="2"/>
      <c r="K343" s="2"/>
      <c r="L343" s="2"/>
      <c r="M343" s="2"/>
      <c r="N343" s="2"/>
      <c r="O343" s="2"/>
      <c r="P343" s="2"/>
    </row>
    <row r="344" spans="1:16" ht="12" customHeight="1" x14ac:dyDescent="0.3">
      <c r="A344" s="2" t="str">
        <f t="shared" si="4"/>
        <v/>
      </c>
      <c r="B344" s="2"/>
      <c r="C344" s="2"/>
      <c r="D344" s="2"/>
      <c r="E344" s="2"/>
      <c r="F344" s="2"/>
      <c r="G344" s="2"/>
      <c r="H344" s="2"/>
      <c r="I344" s="2"/>
      <c r="J344" s="2"/>
      <c r="K344" s="2"/>
      <c r="L344" s="2"/>
      <c r="M344" s="2"/>
      <c r="N344" s="2"/>
      <c r="O344" s="2"/>
      <c r="P344" s="2"/>
    </row>
    <row r="345" spans="1:16" ht="12" customHeight="1" x14ac:dyDescent="0.3">
      <c r="A345" s="2" t="str">
        <f t="shared" si="4"/>
        <v/>
      </c>
      <c r="B345" s="2"/>
      <c r="C345" s="2"/>
      <c r="D345" s="2"/>
      <c r="E345" s="2"/>
      <c r="F345" s="2"/>
      <c r="G345" s="2"/>
      <c r="H345" s="2"/>
      <c r="I345" s="2"/>
      <c r="J345" s="2"/>
      <c r="K345" s="2"/>
      <c r="L345" s="2"/>
      <c r="M345" s="2"/>
      <c r="N345" s="2"/>
      <c r="O345" s="2"/>
      <c r="P345" s="2"/>
    </row>
    <row r="346" spans="1:16" ht="12" customHeight="1" x14ac:dyDescent="0.3">
      <c r="A346" s="2" t="str">
        <f t="shared" ref="A346:A409" si="5">IF(B346&lt;&gt;"","REC-"&amp;TEXT(ROW()-1,"000"),"")</f>
        <v/>
      </c>
      <c r="B346" s="2"/>
      <c r="C346" s="2"/>
      <c r="D346" s="2"/>
      <c r="E346" s="2"/>
      <c r="F346" s="2"/>
      <c r="G346" s="2"/>
      <c r="H346" s="2"/>
      <c r="I346" s="2"/>
      <c r="J346" s="2"/>
      <c r="K346" s="2"/>
      <c r="L346" s="2"/>
      <c r="M346" s="2"/>
      <c r="N346" s="2"/>
      <c r="O346" s="2"/>
      <c r="P346" s="2"/>
    </row>
    <row r="347" spans="1:16" ht="12" customHeight="1" x14ac:dyDescent="0.3">
      <c r="A347" s="2" t="str">
        <f t="shared" si="5"/>
        <v/>
      </c>
      <c r="B347" s="2"/>
      <c r="C347" s="2"/>
      <c r="D347" s="2"/>
      <c r="E347" s="2"/>
      <c r="F347" s="2"/>
      <c r="G347" s="2"/>
      <c r="H347" s="2"/>
      <c r="I347" s="2"/>
      <c r="J347" s="2"/>
      <c r="K347" s="2"/>
      <c r="L347" s="2"/>
      <c r="M347" s="2"/>
      <c r="N347" s="2"/>
      <c r="O347" s="2"/>
      <c r="P347" s="2"/>
    </row>
    <row r="348" spans="1:16" ht="12" customHeight="1" x14ac:dyDescent="0.3">
      <c r="A348" s="2" t="str">
        <f t="shared" si="5"/>
        <v/>
      </c>
      <c r="B348" s="2"/>
      <c r="C348" s="2"/>
      <c r="D348" s="2"/>
      <c r="E348" s="2"/>
      <c r="F348" s="2"/>
      <c r="G348" s="2"/>
      <c r="H348" s="2"/>
      <c r="I348" s="2"/>
      <c r="J348" s="2"/>
      <c r="K348" s="2"/>
      <c r="L348" s="2"/>
      <c r="M348" s="2"/>
      <c r="N348" s="2"/>
      <c r="O348" s="2"/>
      <c r="P348" s="2"/>
    </row>
    <row r="349" spans="1:16" ht="12" customHeight="1" x14ac:dyDescent="0.3">
      <c r="A349" s="2" t="str">
        <f t="shared" si="5"/>
        <v/>
      </c>
      <c r="B349" s="2"/>
      <c r="C349" s="2"/>
      <c r="D349" s="2"/>
      <c r="E349" s="2"/>
      <c r="F349" s="2"/>
      <c r="G349" s="2"/>
      <c r="H349" s="2"/>
      <c r="I349" s="2"/>
      <c r="J349" s="2"/>
      <c r="K349" s="2"/>
      <c r="L349" s="2"/>
      <c r="M349" s="2"/>
      <c r="N349" s="2"/>
      <c r="O349" s="2"/>
      <c r="P349" s="2"/>
    </row>
    <row r="350" spans="1:16" ht="12" customHeight="1" x14ac:dyDescent="0.3">
      <c r="A350" s="2" t="str">
        <f t="shared" si="5"/>
        <v/>
      </c>
      <c r="B350" s="2"/>
      <c r="C350" s="2"/>
      <c r="D350" s="2"/>
      <c r="E350" s="2"/>
      <c r="F350" s="2"/>
      <c r="G350" s="2"/>
      <c r="H350" s="2"/>
      <c r="I350" s="2"/>
      <c r="J350" s="2"/>
      <c r="K350" s="2"/>
      <c r="L350" s="2"/>
      <c r="M350" s="2"/>
      <c r="N350" s="2"/>
      <c r="O350" s="2"/>
      <c r="P350" s="2"/>
    </row>
    <row r="351" spans="1:16" ht="12" customHeight="1" x14ac:dyDescent="0.3">
      <c r="A351" s="2" t="str">
        <f t="shared" si="5"/>
        <v/>
      </c>
      <c r="B351" s="2"/>
      <c r="C351" s="2"/>
      <c r="D351" s="2"/>
      <c r="E351" s="2"/>
      <c r="F351" s="2"/>
      <c r="G351" s="2"/>
      <c r="H351" s="2"/>
      <c r="I351" s="2"/>
      <c r="J351" s="2"/>
      <c r="K351" s="2"/>
      <c r="L351" s="2"/>
      <c r="M351" s="2"/>
      <c r="N351" s="2"/>
      <c r="O351" s="2"/>
      <c r="P351" s="2"/>
    </row>
    <row r="352" spans="1:16" ht="12" customHeight="1" x14ac:dyDescent="0.3">
      <c r="A352" s="2" t="str">
        <f t="shared" si="5"/>
        <v/>
      </c>
      <c r="B352" s="2"/>
      <c r="C352" s="2"/>
      <c r="D352" s="2"/>
      <c r="E352" s="2"/>
      <c r="F352" s="2"/>
      <c r="G352" s="2"/>
      <c r="H352" s="2"/>
      <c r="I352" s="2"/>
      <c r="J352" s="2"/>
      <c r="K352" s="2"/>
      <c r="L352" s="2"/>
      <c r="M352" s="2"/>
      <c r="N352" s="2"/>
      <c r="O352" s="2"/>
      <c r="P352" s="2"/>
    </row>
    <row r="353" spans="1:16" ht="12" customHeight="1" x14ac:dyDescent="0.3">
      <c r="A353" s="2" t="str">
        <f t="shared" si="5"/>
        <v/>
      </c>
      <c r="B353" s="2"/>
      <c r="C353" s="2"/>
      <c r="D353" s="2"/>
      <c r="E353" s="2"/>
      <c r="F353" s="2"/>
      <c r="G353" s="2"/>
      <c r="H353" s="2"/>
      <c r="I353" s="2"/>
      <c r="J353" s="2"/>
      <c r="K353" s="2"/>
      <c r="L353" s="2"/>
      <c r="M353" s="2"/>
      <c r="N353" s="2"/>
      <c r="O353" s="2"/>
      <c r="P353" s="2"/>
    </row>
    <row r="354" spans="1:16" ht="12" customHeight="1" x14ac:dyDescent="0.3">
      <c r="A354" s="2" t="str">
        <f t="shared" si="5"/>
        <v/>
      </c>
      <c r="B354" s="2"/>
      <c r="C354" s="2"/>
      <c r="D354" s="2"/>
      <c r="E354" s="2"/>
      <c r="F354" s="2"/>
      <c r="G354" s="2"/>
      <c r="H354" s="2"/>
      <c r="I354" s="2"/>
      <c r="J354" s="2"/>
      <c r="K354" s="2"/>
      <c r="L354" s="2"/>
      <c r="M354" s="2"/>
      <c r="N354" s="2"/>
      <c r="O354" s="2"/>
      <c r="P354" s="2"/>
    </row>
    <row r="355" spans="1:16" ht="12" customHeight="1" x14ac:dyDescent="0.3">
      <c r="A355" s="2" t="str">
        <f t="shared" si="5"/>
        <v/>
      </c>
      <c r="B355" s="2"/>
      <c r="C355" s="2"/>
      <c r="D355" s="2"/>
      <c r="E355" s="2"/>
      <c r="F355" s="2"/>
      <c r="G355" s="2"/>
      <c r="H355" s="2"/>
      <c r="I355" s="2"/>
      <c r="J355" s="2"/>
      <c r="K355" s="2"/>
      <c r="L355" s="2"/>
      <c r="M355" s="2"/>
      <c r="N355" s="2"/>
      <c r="O355" s="2"/>
      <c r="P355" s="2"/>
    </row>
    <row r="356" spans="1:16" ht="12" customHeight="1" x14ac:dyDescent="0.3">
      <c r="A356" s="2" t="str">
        <f t="shared" si="5"/>
        <v/>
      </c>
      <c r="B356" s="2"/>
      <c r="C356" s="2"/>
      <c r="D356" s="2"/>
      <c r="E356" s="2"/>
      <c r="F356" s="2"/>
      <c r="G356" s="2"/>
      <c r="H356" s="2"/>
      <c r="I356" s="2"/>
      <c r="J356" s="2"/>
      <c r="K356" s="2"/>
      <c r="L356" s="2"/>
      <c r="M356" s="2"/>
      <c r="N356" s="2"/>
      <c r="O356" s="2"/>
      <c r="P356" s="2"/>
    </row>
    <row r="357" spans="1:16" ht="12" customHeight="1" x14ac:dyDescent="0.3">
      <c r="A357" s="2" t="str">
        <f t="shared" si="5"/>
        <v/>
      </c>
      <c r="B357" s="2"/>
      <c r="C357" s="2"/>
      <c r="D357" s="2"/>
      <c r="E357" s="2"/>
      <c r="F357" s="2"/>
      <c r="G357" s="2"/>
      <c r="H357" s="2"/>
      <c r="I357" s="2"/>
      <c r="J357" s="2"/>
      <c r="K357" s="2"/>
      <c r="L357" s="2"/>
      <c r="M357" s="2"/>
      <c r="N357" s="2"/>
      <c r="O357" s="2"/>
      <c r="P357" s="2"/>
    </row>
    <row r="358" spans="1:16" ht="12" customHeight="1" x14ac:dyDescent="0.3">
      <c r="A358" s="2" t="str">
        <f t="shared" si="5"/>
        <v/>
      </c>
      <c r="B358" s="2"/>
      <c r="C358" s="2"/>
      <c r="D358" s="2"/>
      <c r="E358" s="2"/>
      <c r="F358" s="2"/>
      <c r="G358" s="2"/>
      <c r="H358" s="2"/>
      <c r="I358" s="2"/>
      <c r="J358" s="2"/>
      <c r="K358" s="2"/>
      <c r="L358" s="2"/>
      <c r="M358" s="2"/>
      <c r="N358" s="2"/>
      <c r="O358" s="2"/>
      <c r="P358" s="2"/>
    </row>
    <row r="359" spans="1:16" ht="12" customHeight="1" x14ac:dyDescent="0.3">
      <c r="A359" s="2" t="str">
        <f t="shared" si="5"/>
        <v/>
      </c>
      <c r="B359" s="2"/>
      <c r="C359" s="2"/>
      <c r="D359" s="2"/>
      <c r="E359" s="2"/>
      <c r="F359" s="2"/>
      <c r="G359" s="2"/>
      <c r="H359" s="2"/>
      <c r="I359" s="2"/>
      <c r="J359" s="2"/>
      <c r="K359" s="2"/>
      <c r="L359" s="2"/>
      <c r="M359" s="2"/>
      <c r="N359" s="2"/>
      <c r="O359" s="2"/>
      <c r="P359" s="2"/>
    </row>
    <row r="360" spans="1:16" ht="12" customHeight="1" x14ac:dyDescent="0.3">
      <c r="A360" s="2" t="str">
        <f t="shared" si="5"/>
        <v/>
      </c>
      <c r="B360" s="2"/>
      <c r="C360" s="2"/>
      <c r="D360" s="2"/>
      <c r="E360" s="2"/>
      <c r="F360" s="2"/>
      <c r="G360" s="2"/>
      <c r="H360" s="2"/>
      <c r="I360" s="2"/>
      <c r="J360" s="2"/>
      <c r="K360" s="2"/>
      <c r="L360" s="2"/>
      <c r="M360" s="2"/>
      <c r="N360" s="2"/>
      <c r="O360" s="2"/>
      <c r="P360" s="2"/>
    </row>
    <row r="361" spans="1:16" ht="12" customHeight="1" x14ac:dyDescent="0.3">
      <c r="A361" s="2" t="str">
        <f t="shared" si="5"/>
        <v/>
      </c>
      <c r="B361" s="2"/>
      <c r="C361" s="2"/>
      <c r="D361" s="2"/>
      <c r="E361" s="2"/>
      <c r="F361" s="2"/>
      <c r="G361" s="2"/>
      <c r="H361" s="2"/>
      <c r="I361" s="2"/>
      <c r="J361" s="2"/>
      <c r="K361" s="2"/>
      <c r="L361" s="2"/>
      <c r="M361" s="2"/>
      <c r="N361" s="2"/>
      <c r="O361" s="2"/>
      <c r="P361" s="2"/>
    </row>
    <row r="362" spans="1:16" ht="12" customHeight="1" x14ac:dyDescent="0.3">
      <c r="A362" s="2" t="str">
        <f t="shared" si="5"/>
        <v/>
      </c>
      <c r="B362" s="2"/>
      <c r="C362" s="2"/>
      <c r="D362" s="2"/>
      <c r="E362" s="2"/>
      <c r="F362" s="2"/>
      <c r="G362" s="2"/>
      <c r="H362" s="2"/>
      <c r="I362" s="2"/>
      <c r="J362" s="2"/>
      <c r="K362" s="2"/>
      <c r="L362" s="2"/>
      <c r="M362" s="2"/>
      <c r="N362" s="2"/>
      <c r="O362" s="2"/>
      <c r="P362" s="2"/>
    </row>
    <row r="363" spans="1:16" ht="12" customHeight="1" x14ac:dyDescent="0.3">
      <c r="A363" s="2" t="str">
        <f t="shared" si="5"/>
        <v/>
      </c>
      <c r="B363" s="2"/>
      <c r="C363" s="2"/>
      <c r="D363" s="2"/>
      <c r="E363" s="2"/>
      <c r="F363" s="2"/>
      <c r="G363" s="2"/>
      <c r="H363" s="2"/>
      <c r="I363" s="2"/>
      <c r="J363" s="2"/>
      <c r="K363" s="2"/>
      <c r="L363" s="2"/>
      <c r="M363" s="2"/>
      <c r="N363" s="2"/>
      <c r="O363" s="2"/>
      <c r="P363" s="2"/>
    </row>
    <row r="364" spans="1:16" ht="12" customHeight="1" x14ac:dyDescent="0.3">
      <c r="A364" s="2" t="str">
        <f t="shared" si="5"/>
        <v/>
      </c>
      <c r="B364" s="2"/>
      <c r="C364" s="2"/>
      <c r="D364" s="2"/>
      <c r="E364" s="2"/>
      <c r="F364" s="2"/>
      <c r="G364" s="2"/>
      <c r="H364" s="2"/>
      <c r="I364" s="2"/>
      <c r="J364" s="2"/>
      <c r="K364" s="2"/>
      <c r="L364" s="2"/>
      <c r="M364" s="2"/>
      <c r="N364" s="2"/>
      <c r="O364" s="2"/>
      <c r="P364" s="2"/>
    </row>
    <row r="365" spans="1:16" ht="12" customHeight="1" x14ac:dyDescent="0.3">
      <c r="A365" s="2" t="str">
        <f t="shared" si="5"/>
        <v/>
      </c>
      <c r="B365" s="2"/>
      <c r="C365" s="2"/>
      <c r="D365" s="2"/>
      <c r="E365" s="2"/>
      <c r="F365" s="2"/>
      <c r="G365" s="2"/>
      <c r="H365" s="2"/>
      <c r="I365" s="2"/>
      <c r="J365" s="2"/>
      <c r="K365" s="2"/>
      <c r="L365" s="2"/>
      <c r="M365" s="2"/>
      <c r="N365" s="2"/>
      <c r="O365" s="2"/>
      <c r="P365" s="2"/>
    </row>
    <row r="366" spans="1:16" ht="12" customHeight="1" x14ac:dyDescent="0.3">
      <c r="A366" s="2" t="str">
        <f t="shared" si="5"/>
        <v/>
      </c>
      <c r="B366" s="2"/>
      <c r="C366" s="2"/>
      <c r="D366" s="2"/>
      <c r="E366" s="2"/>
      <c r="F366" s="2"/>
      <c r="G366" s="2"/>
      <c r="H366" s="2"/>
      <c r="I366" s="2"/>
      <c r="J366" s="2"/>
      <c r="K366" s="2"/>
      <c r="L366" s="2"/>
      <c r="M366" s="2"/>
      <c r="N366" s="2"/>
      <c r="O366" s="2"/>
      <c r="P366" s="2"/>
    </row>
    <row r="367" spans="1:16" ht="12" customHeight="1" x14ac:dyDescent="0.3">
      <c r="A367" s="2" t="str">
        <f t="shared" si="5"/>
        <v/>
      </c>
      <c r="B367" s="2"/>
      <c r="C367" s="2"/>
      <c r="D367" s="2"/>
      <c r="E367" s="2"/>
      <c r="F367" s="2"/>
      <c r="G367" s="2"/>
      <c r="H367" s="2"/>
      <c r="I367" s="2"/>
      <c r="J367" s="2"/>
      <c r="K367" s="2"/>
      <c r="L367" s="2"/>
      <c r="M367" s="2"/>
      <c r="N367" s="2"/>
      <c r="O367" s="2"/>
      <c r="P367" s="2"/>
    </row>
    <row r="368" spans="1:16" ht="12" customHeight="1" x14ac:dyDescent="0.3">
      <c r="A368" s="2" t="str">
        <f t="shared" si="5"/>
        <v/>
      </c>
      <c r="B368" s="2"/>
      <c r="C368" s="2"/>
      <c r="D368" s="2"/>
      <c r="E368" s="2"/>
      <c r="F368" s="2"/>
      <c r="G368" s="2"/>
      <c r="H368" s="2"/>
      <c r="I368" s="2"/>
      <c r="J368" s="2"/>
      <c r="K368" s="2"/>
      <c r="L368" s="2"/>
      <c r="M368" s="2"/>
      <c r="N368" s="2"/>
      <c r="O368" s="2"/>
      <c r="P368" s="2"/>
    </row>
    <row r="369" spans="1:16" ht="12" customHeight="1" x14ac:dyDescent="0.3">
      <c r="A369" s="2" t="str">
        <f t="shared" si="5"/>
        <v/>
      </c>
      <c r="B369" s="2"/>
      <c r="C369" s="2"/>
      <c r="D369" s="2"/>
      <c r="E369" s="2"/>
      <c r="F369" s="2"/>
      <c r="G369" s="2"/>
      <c r="H369" s="2"/>
      <c r="I369" s="2"/>
      <c r="J369" s="2"/>
      <c r="K369" s="2"/>
      <c r="L369" s="2"/>
      <c r="M369" s="2"/>
      <c r="N369" s="2"/>
      <c r="O369" s="2"/>
      <c r="P369" s="2"/>
    </row>
    <row r="370" spans="1:16" ht="12" customHeight="1" x14ac:dyDescent="0.3">
      <c r="A370" s="2" t="str">
        <f t="shared" si="5"/>
        <v/>
      </c>
      <c r="B370" s="2"/>
      <c r="C370" s="2"/>
      <c r="D370" s="2"/>
      <c r="E370" s="2"/>
      <c r="F370" s="2"/>
      <c r="G370" s="2"/>
      <c r="H370" s="2"/>
      <c r="I370" s="2"/>
      <c r="J370" s="2"/>
      <c r="K370" s="2"/>
      <c r="L370" s="2"/>
      <c r="M370" s="2"/>
      <c r="N370" s="2"/>
      <c r="O370" s="2"/>
      <c r="P370" s="2"/>
    </row>
    <row r="371" spans="1:16" ht="12" customHeight="1" x14ac:dyDescent="0.3">
      <c r="A371" s="2" t="str">
        <f t="shared" si="5"/>
        <v/>
      </c>
      <c r="B371" s="2"/>
      <c r="C371" s="2"/>
      <c r="D371" s="2"/>
      <c r="E371" s="2"/>
      <c r="F371" s="2"/>
      <c r="G371" s="2"/>
      <c r="H371" s="2"/>
      <c r="I371" s="2"/>
      <c r="J371" s="2"/>
      <c r="K371" s="2"/>
      <c r="L371" s="2"/>
      <c r="M371" s="2"/>
      <c r="N371" s="2"/>
      <c r="O371" s="2"/>
      <c r="P371" s="2"/>
    </row>
    <row r="372" spans="1:16" ht="12" customHeight="1" x14ac:dyDescent="0.3">
      <c r="A372" s="2" t="str">
        <f t="shared" si="5"/>
        <v/>
      </c>
      <c r="B372" s="2"/>
      <c r="C372" s="2"/>
      <c r="D372" s="2"/>
      <c r="E372" s="2"/>
      <c r="F372" s="2"/>
      <c r="G372" s="2"/>
      <c r="H372" s="2"/>
      <c r="I372" s="2"/>
      <c r="J372" s="2"/>
      <c r="K372" s="2"/>
      <c r="L372" s="2"/>
      <c r="M372" s="2"/>
      <c r="N372" s="2"/>
      <c r="O372" s="2"/>
      <c r="P372" s="2"/>
    </row>
    <row r="373" spans="1:16" ht="12" customHeight="1" x14ac:dyDescent="0.3">
      <c r="A373" s="2" t="str">
        <f t="shared" si="5"/>
        <v/>
      </c>
      <c r="B373" s="2"/>
      <c r="C373" s="2"/>
      <c r="D373" s="2"/>
      <c r="E373" s="2"/>
      <c r="F373" s="2"/>
      <c r="G373" s="2"/>
      <c r="H373" s="2"/>
      <c r="I373" s="2"/>
      <c r="J373" s="2"/>
      <c r="K373" s="2"/>
      <c r="L373" s="2"/>
      <c r="M373" s="2"/>
      <c r="N373" s="2"/>
      <c r="O373" s="2"/>
      <c r="P373" s="2"/>
    </row>
    <row r="374" spans="1:16" ht="12" customHeight="1" x14ac:dyDescent="0.3">
      <c r="A374" s="2" t="str">
        <f t="shared" si="5"/>
        <v/>
      </c>
      <c r="B374" s="2"/>
      <c r="C374" s="2"/>
      <c r="D374" s="2"/>
      <c r="E374" s="2"/>
      <c r="F374" s="2"/>
      <c r="G374" s="2"/>
      <c r="H374" s="2"/>
      <c r="I374" s="2"/>
      <c r="J374" s="2"/>
      <c r="K374" s="2"/>
      <c r="L374" s="2"/>
      <c r="M374" s="2"/>
      <c r="N374" s="2"/>
      <c r="O374" s="2"/>
      <c r="P374" s="2"/>
    </row>
    <row r="375" spans="1:16" ht="12" customHeight="1" x14ac:dyDescent="0.3">
      <c r="A375" s="2" t="str">
        <f t="shared" si="5"/>
        <v/>
      </c>
      <c r="B375" s="2"/>
      <c r="C375" s="2"/>
      <c r="D375" s="2"/>
      <c r="E375" s="2"/>
      <c r="F375" s="2"/>
      <c r="G375" s="2"/>
      <c r="H375" s="2"/>
      <c r="I375" s="2"/>
      <c r="J375" s="2"/>
      <c r="K375" s="2"/>
      <c r="L375" s="2"/>
      <c r="M375" s="2"/>
      <c r="N375" s="2"/>
      <c r="O375" s="2"/>
      <c r="P375" s="2"/>
    </row>
    <row r="376" spans="1:16" ht="12" customHeight="1" x14ac:dyDescent="0.3">
      <c r="A376" s="2" t="str">
        <f t="shared" si="5"/>
        <v/>
      </c>
      <c r="B376" s="2"/>
      <c r="C376" s="2"/>
      <c r="D376" s="2"/>
      <c r="E376" s="2"/>
      <c r="F376" s="2"/>
      <c r="G376" s="2"/>
      <c r="H376" s="2"/>
      <c r="I376" s="2"/>
      <c r="J376" s="2"/>
      <c r="K376" s="2"/>
      <c r="L376" s="2"/>
      <c r="M376" s="2"/>
      <c r="N376" s="2"/>
      <c r="O376" s="2"/>
      <c r="P376" s="2"/>
    </row>
    <row r="377" spans="1:16" ht="12" customHeight="1" x14ac:dyDescent="0.3">
      <c r="A377" s="2" t="str">
        <f t="shared" si="5"/>
        <v/>
      </c>
      <c r="B377" s="2"/>
      <c r="C377" s="2"/>
      <c r="D377" s="2"/>
      <c r="E377" s="2"/>
      <c r="F377" s="2"/>
      <c r="G377" s="2"/>
      <c r="H377" s="2"/>
      <c r="I377" s="2"/>
      <c r="J377" s="2"/>
      <c r="K377" s="2"/>
      <c r="L377" s="2"/>
      <c r="M377" s="2"/>
      <c r="N377" s="2"/>
      <c r="O377" s="2"/>
      <c r="P377" s="2"/>
    </row>
    <row r="378" spans="1:16" ht="12" customHeight="1" x14ac:dyDescent="0.3">
      <c r="A378" s="2" t="str">
        <f t="shared" si="5"/>
        <v/>
      </c>
      <c r="B378" s="2"/>
      <c r="C378" s="2"/>
      <c r="D378" s="2"/>
      <c r="E378" s="2"/>
      <c r="F378" s="2"/>
      <c r="G378" s="2"/>
      <c r="H378" s="2"/>
      <c r="I378" s="2"/>
      <c r="J378" s="2"/>
      <c r="K378" s="2"/>
      <c r="L378" s="2"/>
      <c r="M378" s="2"/>
      <c r="N378" s="2"/>
      <c r="O378" s="2"/>
      <c r="P378" s="2"/>
    </row>
    <row r="379" spans="1:16" ht="12" customHeight="1" x14ac:dyDescent="0.3">
      <c r="A379" s="2" t="str">
        <f t="shared" si="5"/>
        <v/>
      </c>
      <c r="B379" s="2"/>
      <c r="C379" s="2"/>
      <c r="D379" s="2"/>
      <c r="E379" s="2"/>
      <c r="F379" s="2"/>
      <c r="G379" s="2"/>
      <c r="H379" s="2"/>
      <c r="I379" s="2"/>
      <c r="J379" s="2"/>
      <c r="K379" s="2"/>
      <c r="L379" s="2"/>
      <c r="M379" s="2"/>
      <c r="N379" s="2"/>
      <c r="O379" s="2"/>
      <c r="P379" s="2"/>
    </row>
    <row r="380" spans="1:16" ht="12" customHeight="1" x14ac:dyDescent="0.3">
      <c r="A380" s="2" t="str">
        <f t="shared" si="5"/>
        <v/>
      </c>
      <c r="B380" s="2"/>
      <c r="C380" s="2"/>
      <c r="D380" s="2"/>
      <c r="E380" s="2"/>
      <c r="F380" s="2"/>
      <c r="G380" s="2"/>
      <c r="H380" s="2"/>
      <c r="I380" s="2"/>
      <c r="J380" s="2"/>
      <c r="K380" s="2"/>
      <c r="L380" s="2"/>
      <c r="M380" s="2"/>
      <c r="N380" s="2"/>
      <c r="O380" s="2"/>
      <c r="P380" s="2"/>
    </row>
    <row r="381" spans="1:16" ht="12" customHeight="1" x14ac:dyDescent="0.3">
      <c r="A381" s="2" t="str">
        <f t="shared" si="5"/>
        <v/>
      </c>
      <c r="B381" s="2"/>
      <c r="C381" s="2"/>
      <c r="D381" s="2"/>
      <c r="E381" s="2"/>
      <c r="F381" s="2"/>
      <c r="G381" s="2"/>
      <c r="H381" s="2"/>
      <c r="I381" s="2"/>
      <c r="J381" s="2"/>
      <c r="K381" s="2"/>
      <c r="L381" s="2"/>
      <c r="M381" s="2"/>
      <c r="N381" s="2"/>
      <c r="O381" s="2"/>
      <c r="P381" s="2"/>
    </row>
    <row r="382" spans="1:16" ht="12" customHeight="1" x14ac:dyDescent="0.3">
      <c r="A382" s="2" t="str">
        <f t="shared" si="5"/>
        <v/>
      </c>
      <c r="B382" s="2"/>
      <c r="C382" s="2"/>
      <c r="D382" s="2"/>
      <c r="E382" s="2"/>
      <c r="F382" s="2"/>
      <c r="G382" s="2"/>
      <c r="H382" s="2"/>
      <c r="I382" s="2"/>
      <c r="J382" s="2"/>
      <c r="K382" s="2"/>
      <c r="L382" s="2"/>
      <c r="M382" s="2"/>
      <c r="N382" s="2"/>
      <c r="O382" s="2"/>
      <c r="P382" s="2"/>
    </row>
    <row r="383" spans="1:16" ht="12" customHeight="1" x14ac:dyDescent="0.3">
      <c r="A383" s="2" t="str">
        <f t="shared" si="5"/>
        <v/>
      </c>
      <c r="B383" s="2"/>
      <c r="C383" s="2"/>
      <c r="D383" s="2"/>
      <c r="E383" s="2"/>
      <c r="F383" s="2"/>
      <c r="G383" s="2"/>
      <c r="H383" s="2"/>
      <c r="I383" s="2"/>
      <c r="J383" s="2"/>
      <c r="K383" s="2"/>
      <c r="L383" s="2"/>
      <c r="M383" s="2"/>
      <c r="N383" s="2"/>
      <c r="O383" s="2"/>
      <c r="P383" s="2"/>
    </row>
    <row r="384" spans="1:16" ht="12" customHeight="1" x14ac:dyDescent="0.3">
      <c r="A384" s="2" t="str">
        <f t="shared" si="5"/>
        <v/>
      </c>
      <c r="B384" s="2"/>
      <c r="C384" s="2"/>
      <c r="D384" s="2"/>
      <c r="E384" s="2"/>
      <c r="F384" s="2"/>
      <c r="G384" s="2"/>
      <c r="H384" s="2"/>
      <c r="I384" s="2"/>
      <c r="J384" s="2"/>
      <c r="K384" s="2"/>
      <c r="L384" s="2"/>
      <c r="M384" s="2"/>
      <c r="N384" s="2"/>
      <c r="O384" s="2"/>
      <c r="P384" s="2"/>
    </row>
    <row r="385" spans="1:16" ht="12" customHeight="1" x14ac:dyDescent="0.3">
      <c r="A385" s="2" t="str">
        <f t="shared" si="5"/>
        <v/>
      </c>
      <c r="B385" s="2"/>
      <c r="C385" s="2"/>
      <c r="D385" s="2"/>
      <c r="E385" s="2"/>
      <c r="F385" s="2"/>
      <c r="G385" s="2"/>
      <c r="H385" s="2"/>
      <c r="I385" s="2"/>
      <c r="J385" s="2"/>
      <c r="K385" s="2"/>
      <c r="L385" s="2"/>
      <c r="M385" s="2"/>
      <c r="N385" s="2"/>
      <c r="O385" s="2"/>
      <c r="P385" s="2"/>
    </row>
    <row r="386" spans="1:16" ht="12" customHeight="1" x14ac:dyDescent="0.3">
      <c r="A386" s="2" t="str">
        <f t="shared" si="5"/>
        <v/>
      </c>
      <c r="B386" s="2"/>
      <c r="C386" s="2"/>
      <c r="D386" s="2"/>
      <c r="E386" s="2"/>
      <c r="F386" s="2"/>
      <c r="G386" s="2"/>
      <c r="H386" s="2"/>
      <c r="I386" s="2"/>
      <c r="J386" s="2"/>
      <c r="K386" s="2"/>
      <c r="L386" s="2"/>
      <c r="M386" s="2"/>
      <c r="N386" s="2"/>
      <c r="O386" s="2"/>
      <c r="P386" s="2"/>
    </row>
    <row r="387" spans="1:16" ht="12" customHeight="1" x14ac:dyDescent="0.3">
      <c r="A387" s="2" t="str">
        <f t="shared" si="5"/>
        <v/>
      </c>
      <c r="B387" s="2"/>
      <c r="C387" s="2"/>
      <c r="D387" s="2"/>
      <c r="E387" s="2"/>
      <c r="F387" s="2"/>
      <c r="G387" s="2"/>
      <c r="H387" s="2"/>
      <c r="I387" s="2"/>
      <c r="J387" s="2"/>
      <c r="K387" s="2"/>
      <c r="L387" s="2"/>
      <c r="M387" s="2"/>
      <c r="N387" s="2"/>
      <c r="O387" s="2"/>
      <c r="P387" s="2"/>
    </row>
    <row r="388" spans="1:16" ht="12" customHeight="1" x14ac:dyDescent="0.3">
      <c r="A388" s="2" t="str">
        <f t="shared" si="5"/>
        <v/>
      </c>
      <c r="B388" s="2"/>
      <c r="C388" s="2"/>
      <c r="D388" s="2"/>
      <c r="E388" s="2"/>
      <c r="F388" s="2"/>
      <c r="G388" s="2"/>
      <c r="H388" s="2"/>
      <c r="I388" s="2"/>
      <c r="J388" s="2"/>
      <c r="K388" s="2"/>
      <c r="L388" s="2"/>
      <c r="M388" s="2"/>
      <c r="N388" s="2"/>
      <c r="O388" s="2"/>
      <c r="P388" s="2"/>
    </row>
    <row r="389" spans="1:16" ht="12" customHeight="1" x14ac:dyDescent="0.3">
      <c r="A389" s="2" t="str">
        <f t="shared" si="5"/>
        <v/>
      </c>
      <c r="B389" s="2"/>
      <c r="C389" s="2"/>
      <c r="D389" s="2"/>
      <c r="E389" s="2"/>
      <c r="F389" s="2"/>
      <c r="G389" s="2"/>
      <c r="H389" s="2"/>
      <c r="I389" s="2"/>
      <c r="J389" s="2"/>
      <c r="K389" s="2"/>
      <c r="L389" s="2"/>
      <c r="M389" s="2"/>
      <c r="N389" s="2"/>
      <c r="O389" s="2"/>
      <c r="P389" s="2"/>
    </row>
    <row r="390" spans="1:16" ht="12" customHeight="1" x14ac:dyDescent="0.3">
      <c r="A390" s="2" t="str">
        <f t="shared" si="5"/>
        <v/>
      </c>
      <c r="B390" s="2"/>
      <c r="C390" s="2"/>
      <c r="D390" s="2"/>
      <c r="E390" s="2"/>
      <c r="F390" s="2"/>
      <c r="G390" s="2"/>
      <c r="H390" s="2"/>
      <c r="I390" s="2"/>
      <c r="J390" s="2"/>
      <c r="K390" s="2"/>
      <c r="L390" s="2"/>
      <c r="M390" s="2"/>
      <c r="N390" s="2"/>
      <c r="O390" s="2"/>
      <c r="P390" s="2"/>
    </row>
    <row r="391" spans="1:16" ht="12" customHeight="1" x14ac:dyDescent="0.3">
      <c r="A391" s="2" t="str">
        <f t="shared" si="5"/>
        <v/>
      </c>
      <c r="B391" s="2"/>
      <c r="C391" s="2"/>
      <c r="D391" s="2"/>
      <c r="E391" s="2"/>
      <c r="F391" s="2"/>
      <c r="G391" s="2"/>
      <c r="H391" s="2"/>
      <c r="I391" s="2"/>
      <c r="J391" s="2"/>
      <c r="K391" s="2"/>
      <c r="L391" s="2"/>
      <c r="M391" s="2"/>
      <c r="N391" s="2"/>
      <c r="O391" s="2"/>
      <c r="P391" s="2"/>
    </row>
    <row r="392" spans="1:16" ht="12" customHeight="1" x14ac:dyDescent="0.3">
      <c r="A392" s="2" t="str">
        <f t="shared" si="5"/>
        <v/>
      </c>
      <c r="B392" s="2"/>
      <c r="C392" s="2"/>
      <c r="D392" s="2"/>
      <c r="E392" s="2"/>
      <c r="F392" s="2"/>
      <c r="G392" s="2"/>
      <c r="H392" s="2"/>
      <c r="I392" s="2"/>
      <c r="J392" s="2"/>
      <c r="K392" s="2"/>
      <c r="L392" s="2"/>
      <c r="M392" s="2"/>
      <c r="N392" s="2"/>
      <c r="O392" s="2"/>
      <c r="P392" s="2"/>
    </row>
    <row r="393" spans="1:16" ht="12" customHeight="1" x14ac:dyDescent="0.3">
      <c r="A393" s="2" t="str">
        <f t="shared" si="5"/>
        <v/>
      </c>
      <c r="B393" s="2"/>
      <c r="C393" s="2"/>
      <c r="D393" s="2"/>
      <c r="E393" s="2"/>
      <c r="F393" s="2"/>
      <c r="G393" s="2"/>
      <c r="H393" s="2"/>
      <c r="I393" s="2"/>
      <c r="J393" s="2"/>
      <c r="K393" s="2"/>
      <c r="L393" s="2"/>
      <c r="M393" s="2"/>
      <c r="N393" s="2"/>
      <c r="O393" s="2"/>
      <c r="P393" s="2"/>
    </row>
    <row r="394" spans="1:16" ht="12" customHeight="1" x14ac:dyDescent="0.3">
      <c r="A394" s="2" t="str">
        <f t="shared" si="5"/>
        <v/>
      </c>
      <c r="B394" s="2"/>
      <c r="C394" s="2"/>
      <c r="D394" s="2"/>
      <c r="E394" s="2"/>
      <c r="F394" s="2"/>
      <c r="G394" s="2"/>
      <c r="H394" s="2"/>
      <c r="I394" s="2"/>
      <c r="J394" s="2"/>
      <c r="K394" s="2"/>
      <c r="L394" s="2"/>
      <c r="M394" s="2"/>
      <c r="N394" s="2"/>
      <c r="O394" s="2"/>
      <c r="P394" s="2"/>
    </row>
    <row r="395" spans="1:16" ht="12" customHeight="1" x14ac:dyDescent="0.3">
      <c r="A395" s="2" t="str">
        <f t="shared" si="5"/>
        <v/>
      </c>
      <c r="B395" s="2"/>
      <c r="C395" s="2"/>
      <c r="D395" s="2"/>
      <c r="E395" s="2"/>
      <c r="F395" s="2"/>
      <c r="G395" s="2"/>
      <c r="H395" s="2"/>
      <c r="I395" s="2"/>
      <c r="J395" s="2"/>
      <c r="K395" s="2"/>
      <c r="L395" s="2"/>
      <c r="M395" s="2"/>
      <c r="N395" s="2"/>
      <c r="O395" s="2"/>
      <c r="P395" s="2"/>
    </row>
    <row r="396" spans="1:16" ht="12" customHeight="1" x14ac:dyDescent="0.3">
      <c r="A396" s="2" t="str">
        <f t="shared" si="5"/>
        <v/>
      </c>
      <c r="B396" s="2"/>
      <c r="C396" s="2"/>
      <c r="D396" s="2"/>
      <c r="E396" s="2"/>
      <c r="F396" s="2"/>
      <c r="G396" s="2"/>
      <c r="H396" s="2"/>
      <c r="I396" s="2"/>
      <c r="J396" s="2"/>
      <c r="K396" s="2"/>
      <c r="L396" s="2"/>
      <c r="M396" s="2"/>
      <c r="N396" s="2"/>
      <c r="O396" s="2"/>
      <c r="P396" s="2"/>
    </row>
    <row r="397" spans="1:16" ht="12" customHeight="1" x14ac:dyDescent="0.3">
      <c r="A397" s="2" t="str">
        <f t="shared" si="5"/>
        <v/>
      </c>
      <c r="B397" s="2"/>
      <c r="C397" s="2"/>
      <c r="D397" s="2"/>
      <c r="E397" s="2"/>
      <c r="F397" s="2"/>
      <c r="G397" s="2"/>
      <c r="H397" s="2"/>
      <c r="I397" s="2"/>
      <c r="J397" s="2"/>
      <c r="K397" s="2"/>
      <c r="L397" s="2"/>
      <c r="M397" s="2"/>
      <c r="N397" s="2"/>
      <c r="O397" s="2"/>
      <c r="P397" s="2"/>
    </row>
    <row r="398" spans="1:16" ht="12" customHeight="1" x14ac:dyDescent="0.3">
      <c r="A398" s="2" t="str">
        <f t="shared" si="5"/>
        <v/>
      </c>
      <c r="B398" s="2"/>
      <c r="C398" s="2"/>
      <c r="D398" s="2"/>
      <c r="E398" s="2"/>
      <c r="F398" s="2"/>
      <c r="G398" s="2"/>
      <c r="H398" s="2"/>
      <c r="I398" s="2"/>
      <c r="J398" s="2"/>
      <c r="K398" s="2"/>
      <c r="L398" s="2"/>
      <c r="M398" s="2"/>
      <c r="N398" s="2"/>
      <c r="O398" s="2"/>
      <c r="P398" s="2"/>
    </row>
    <row r="399" spans="1:16" ht="12" customHeight="1" x14ac:dyDescent="0.3">
      <c r="A399" s="2" t="str">
        <f t="shared" si="5"/>
        <v/>
      </c>
      <c r="B399" s="2"/>
      <c r="C399" s="2"/>
      <c r="D399" s="2"/>
      <c r="E399" s="2"/>
      <c r="F399" s="2"/>
      <c r="G399" s="2"/>
      <c r="H399" s="2"/>
      <c r="I399" s="2"/>
      <c r="J399" s="2"/>
      <c r="K399" s="2"/>
      <c r="L399" s="2"/>
      <c r="M399" s="2"/>
      <c r="N399" s="2"/>
      <c r="O399" s="2"/>
      <c r="P399" s="2"/>
    </row>
    <row r="400" spans="1:16" ht="12" customHeight="1" x14ac:dyDescent="0.3">
      <c r="A400" s="2" t="str">
        <f t="shared" si="5"/>
        <v/>
      </c>
      <c r="B400" s="2"/>
      <c r="C400" s="2"/>
      <c r="D400" s="2"/>
      <c r="E400" s="2"/>
      <c r="F400" s="2"/>
      <c r="G400" s="2"/>
      <c r="H400" s="2"/>
      <c r="I400" s="2"/>
      <c r="J400" s="2"/>
      <c r="K400" s="2"/>
      <c r="L400" s="2"/>
      <c r="M400" s="2"/>
      <c r="N400" s="2"/>
      <c r="O400" s="2"/>
      <c r="P400" s="2"/>
    </row>
    <row r="401" spans="1:16" ht="12" customHeight="1" x14ac:dyDescent="0.3">
      <c r="A401" s="2" t="str">
        <f t="shared" si="5"/>
        <v/>
      </c>
      <c r="B401" s="2"/>
      <c r="C401" s="2"/>
      <c r="D401" s="2"/>
      <c r="E401" s="2"/>
      <c r="F401" s="2"/>
      <c r="G401" s="2"/>
      <c r="H401" s="2"/>
      <c r="I401" s="2"/>
      <c r="J401" s="2"/>
      <c r="K401" s="2"/>
      <c r="L401" s="2"/>
      <c r="M401" s="2"/>
      <c r="N401" s="2"/>
      <c r="O401" s="2"/>
      <c r="P401" s="2"/>
    </row>
    <row r="402" spans="1:16" ht="12" customHeight="1" x14ac:dyDescent="0.3">
      <c r="A402" s="2" t="str">
        <f t="shared" si="5"/>
        <v/>
      </c>
      <c r="B402" s="2"/>
      <c r="C402" s="2"/>
      <c r="D402" s="2"/>
      <c r="E402" s="2"/>
      <c r="F402" s="2"/>
      <c r="G402" s="2"/>
      <c r="H402" s="2"/>
      <c r="I402" s="2"/>
      <c r="J402" s="2"/>
      <c r="K402" s="2"/>
      <c r="L402" s="2"/>
      <c r="M402" s="2"/>
      <c r="N402" s="2"/>
      <c r="O402" s="2"/>
      <c r="P402" s="2"/>
    </row>
    <row r="403" spans="1:16" ht="12" customHeight="1" x14ac:dyDescent="0.3">
      <c r="A403" s="2" t="str">
        <f t="shared" si="5"/>
        <v/>
      </c>
      <c r="B403" s="2"/>
      <c r="C403" s="2"/>
      <c r="D403" s="2"/>
      <c r="E403" s="2"/>
      <c r="F403" s="2"/>
      <c r="G403" s="2"/>
      <c r="H403" s="2"/>
      <c r="I403" s="2"/>
      <c r="J403" s="2"/>
      <c r="K403" s="2"/>
      <c r="L403" s="2"/>
      <c r="M403" s="2"/>
      <c r="N403" s="2"/>
      <c r="O403" s="2"/>
      <c r="P403" s="2"/>
    </row>
    <row r="404" spans="1:16" ht="12" customHeight="1" x14ac:dyDescent="0.3">
      <c r="A404" s="2" t="str">
        <f t="shared" si="5"/>
        <v/>
      </c>
      <c r="B404" s="2"/>
      <c r="C404" s="2"/>
      <c r="D404" s="2"/>
      <c r="E404" s="2"/>
      <c r="F404" s="2"/>
      <c r="G404" s="2"/>
      <c r="H404" s="2"/>
      <c r="I404" s="2"/>
      <c r="J404" s="2"/>
      <c r="K404" s="2"/>
      <c r="L404" s="2"/>
      <c r="M404" s="2"/>
      <c r="N404" s="2"/>
      <c r="O404" s="2"/>
      <c r="P404" s="2"/>
    </row>
    <row r="405" spans="1:16" ht="12" customHeight="1" x14ac:dyDescent="0.3">
      <c r="A405" s="2" t="str">
        <f t="shared" si="5"/>
        <v/>
      </c>
      <c r="B405" s="2"/>
      <c r="C405" s="2"/>
      <c r="D405" s="2"/>
      <c r="E405" s="2"/>
      <c r="F405" s="2"/>
      <c r="G405" s="2"/>
      <c r="H405" s="2"/>
      <c r="I405" s="2"/>
      <c r="J405" s="2"/>
      <c r="K405" s="2"/>
      <c r="L405" s="2"/>
      <c r="M405" s="2"/>
      <c r="N405" s="2"/>
      <c r="O405" s="2"/>
      <c r="P405" s="2"/>
    </row>
    <row r="406" spans="1:16" ht="12" customHeight="1" x14ac:dyDescent="0.3">
      <c r="A406" s="2" t="str">
        <f t="shared" si="5"/>
        <v/>
      </c>
      <c r="B406" s="2"/>
      <c r="C406" s="2"/>
      <c r="D406" s="2"/>
      <c r="E406" s="2"/>
      <c r="F406" s="2"/>
      <c r="G406" s="2"/>
      <c r="H406" s="2"/>
      <c r="I406" s="2"/>
      <c r="J406" s="2"/>
      <c r="K406" s="2"/>
      <c r="L406" s="2"/>
      <c r="M406" s="2"/>
      <c r="N406" s="2"/>
      <c r="O406" s="2"/>
      <c r="P406" s="2"/>
    </row>
    <row r="407" spans="1:16" ht="12" customHeight="1" x14ac:dyDescent="0.3">
      <c r="A407" s="2" t="str">
        <f t="shared" si="5"/>
        <v/>
      </c>
      <c r="B407" s="2"/>
      <c r="C407" s="2"/>
      <c r="D407" s="2"/>
      <c r="E407" s="2"/>
      <c r="F407" s="2"/>
      <c r="G407" s="2"/>
      <c r="H407" s="2"/>
      <c r="I407" s="2"/>
      <c r="J407" s="2"/>
      <c r="K407" s="2"/>
      <c r="L407" s="2"/>
      <c r="M407" s="2"/>
      <c r="N407" s="2"/>
      <c r="O407" s="2"/>
      <c r="P407" s="2"/>
    </row>
    <row r="408" spans="1:16" ht="12" customHeight="1" x14ac:dyDescent="0.3">
      <c r="A408" s="2" t="str">
        <f t="shared" si="5"/>
        <v/>
      </c>
      <c r="B408" s="2"/>
      <c r="C408" s="2"/>
      <c r="D408" s="2"/>
      <c r="E408" s="2"/>
      <c r="F408" s="2"/>
      <c r="G408" s="2"/>
      <c r="H408" s="2"/>
      <c r="I408" s="2"/>
      <c r="J408" s="2"/>
      <c r="K408" s="2"/>
      <c r="L408" s="2"/>
      <c r="M408" s="2"/>
      <c r="N408" s="2"/>
      <c r="O408" s="2"/>
      <c r="P408" s="2"/>
    </row>
    <row r="409" spans="1:16" ht="12" customHeight="1" x14ac:dyDescent="0.3">
      <c r="A409" s="2" t="str">
        <f t="shared" si="5"/>
        <v/>
      </c>
      <c r="B409" s="2"/>
      <c r="C409" s="2"/>
      <c r="D409" s="2"/>
      <c r="E409" s="2"/>
      <c r="F409" s="2"/>
      <c r="G409" s="2"/>
      <c r="H409" s="2"/>
      <c r="I409" s="2"/>
      <c r="J409" s="2"/>
      <c r="K409" s="2"/>
      <c r="L409" s="2"/>
      <c r="M409" s="2"/>
      <c r="N409" s="2"/>
      <c r="O409" s="2"/>
      <c r="P409" s="2"/>
    </row>
    <row r="410" spans="1:16" ht="12" customHeight="1" x14ac:dyDescent="0.3">
      <c r="A410" s="2" t="str">
        <f t="shared" ref="A410:A473" si="6">IF(B410&lt;&gt;"","REC-"&amp;TEXT(ROW()-1,"000"),"")</f>
        <v/>
      </c>
      <c r="B410" s="2"/>
      <c r="C410" s="2"/>
      <c r="D410" s="2"/>
      <c r="E410" s="2"/>
      <c r="F410" s="2"/>
      <c r="G410" s="2"/>
      <c r="H410" s="2"/>
      <c r="I410" s="2"/>
      <c r="J410" s="2"/>
      <c r="K410" s="2"/>
      <c r="L410" s="2"/>
      <c r="M410" s="2"/>
      <c r="N410" s="2"/>
      <c r="O410" s="2"/>
      <c r="P410" s="2"/>
    </row>
    <row r="411" spans="1:16" ht="12" customHeight="1" x14ac:dyDescent="0.3">
      <c r="A411" s="2" t="str">
        <f t="shared" si="6"/>
        <v/>
      </c>
      <c r="B411" s="2"/>
      <c r="C411" s="2"/>
      <c r="D411" s="2"/>
      <c r="E411" s="2"/>
      <c r="F411" s="2"/>
      <c r="G411" s="2"/>
      <c r="H411" s="2"/>
      <c r="I411" s="2"/>
      <c r="J411" s="2"/>
      <c r="K411" s="2"/>
      <c r="L411" s="2"/>
      <c r="M411" s="2"/>
      <c r="N411" s="2"/>
      <c r="O411" s="2"/>
      <c r="P411" s="2"/>
    </row>
    <row r="412" spans="1:16" ht="12" customHeight="1" x14ac:dyDescent="0.3">
      <c r="A412" s="2" t="str">
        <f t="shared" si="6"/>
        <v/>
      </c>
      <c r="B412" s="2"/>
      <c r="C412" s="2"/>
      <c r="D412" s="2"/>
      <c r="E412" s="2"/>
      <c r="F412" s="2"/>
      <c r="G412" s="2"/>
      <c r="H412" s="2"/>
      <c r="I412" s="2"/>
      <c r="J412" s="2"/>
      <c r="K412" s="2"/>
      <c r="L412" s="2"/>
      <c r="M412" s="2"/>
      <c r="N412" s="2"/>
      <c r="O412" s="2"/>
      <c r="P412" s="2"/>
    </row>
    <row r="413" spans="1:16" ht="12" customHeight="1" x14ac:dyDescent="0.3">
      <c r="A413" s="2" t="str">
        <f t="shared" si="6"/>
        <v/>
      </c>
      <c r="B413" s="2"/>
      <c r="C413" s="2"/>
      <c r="D413" s="2"/>
      <c r="E413" s="2"/>
      <c r="F413" s="2"/>
      <c r="G413" s="2"/>
      <c r="H413" s="2"/>
      <c r="I413" s="2"/>
      <c r="J413" s="2"/>
      <c r="K413" s="2"/>
      <c r="L413" s="2"/>
      <c r="M413" s="2"/>
      <c r="N413" s="2"/>
      <c r="O413" s="2"/>
      <c r="P413" s="2"/>
    </row>
    <row r="414" spans="1:16" ht="12" customHeight="1" x14ac:dyDescent="0.3">
      <c r="A414" s="2" t="str">
        <f t="shared" si="6"/>
        <v/>
      </c>
      <c r="B414" s="2"/>
      <c r="C414" s="2"/>
      <c r="D414" s="2"/>
      <c r="E414" s="2"/>
      <c r="F414" s="2"/>
      <c r="G414" s="2"/>
      <c r="H414" s="2"/>
      <c r="I414" s="2"/>
      <c r="J414" s="2"/>
      <c r="K414" s="2"/>
      <c r="L414" s="2"/>
      <c r="M414" s="2"/>
      <c r="N414" s="2"/>
      <c r="O414" s="2"/>
      <c r="P414" s="2"/>
    </row>
    <row r="415" spans="1:16" ht="12" customHeight="1" x14ac:dyDescent="0.3">
      <c r="A415" s="2" t="str">
        <f t="shared" si="6"/>
        <v/>
      </c>
      <c r="B415" s="2"/>
      <c r="C415" s="2"/>
      <c r="D415" s="2"/>
      <c r="E415" s="2"/>
      <c r="F415" s="2"/>
      <c r="G415" s="2"/>
      <c r="H415" s="2"/>
      <c r="I415" s="2"/>
      <c r="J415" s="2"/>
      <c r="K415" s="2"/>
      <c r="L415" s="2"/>
      <c r="M415" s="2"/>
      <c r="N415" s="2"/>
      <c r="O415" s="2"/>
      <c r="P415" s="2"/>
    </row>
    <row r="416" spans="1:16" ht="12" customHeight="1" x14ac:dyDescent="0.3">
      <c r="A416" s="2" t="str">
        <f t="shared" si="6"/>
        <v/>
      </c>
      <c r="B416" s="2"/>
      <c r="C416" s="2"/>
      <c r="D416" s="2"/>
      <c r="E416" s="2"/>
      <c r="F416" s="2"/>
      <c r="G416" s="2"/>
      <c r="H416" s="2"/>
      <c r="I416" s="2"/>
      <c r="J416" s="2"/>
      <c r="K416" s="2"/>
      <c r="L416" s="2"/>
      <c r="M416" s="2"/>
      <c r="N416" s="2"/>
      <c r="O416" s="2"/>
      <c r="P416" s="2"/>
    </row>
    <row r="417" spans="1:16" ht="12" customHeight="1" x14ac:dyDescent="0.3">
      <c r="A417" s="2" t="str">
        <f t="shared" si="6"/>
        <v/>
      </c>
      <c r="B417" s="2"/>
      <c r="C417" s="2"/>
      <c r="D417" s="2"/>
      <c r="E417" s="2"/>
      <c r="F417" s="2"/>
      <c r="G417" s="2"/>
      <c r="H417" s="2"/>
      <c r="I417" s="2"/>
      <c r="J417" s="2"/>
      <c r="K417" s="2"/>
      <c r="L417" s="2"/>
      <c r="M417" s="2"/>
      <c r="N417" s="2"/>
      <c r="O417" s="2"/>
      <c r="P417" s="2"/>
    </row>
    <row r="418" spans="1:16" ht="12" customHeight="1" x14ac:dyDescent="0.3">
      <c r="A418" s="2" t="str">
        <f t="shared" si="6"/>
        <v/>
      </c>
      <c r="B418" s="2"/>
      <c r="C418" s="2"/>
      <c r="D418" s="2"/>
      <c r="E418" s="2"/>
      <c r="F418" s="2"/>
      <c r="G418" s="2"/>
      <c r="H418" s="2"/>
      <c r="I418" s="2"/>
      <c r="J418" s="2"/>
      <c r="K418" s="2"/>
      <c r="L418" s="2"/>
      <c r="M418" s="2"/>
      <c r="N418" s="2"/>
      <c r="O418" s="2"/>
      <c r="P418" s="2"/>
    </row>
    <row r="419" spans="1:16" ht="12" customHeight="1" x14ac:dyDescent="0.3">
      <c r="A419" s="2" t="str">
        <f t="shared" si="6"/>
        <v/>
      </c>
      <c r="B419" s="2"/>
      <c r="C419" s="2"/>
      <c r="D419" s="2"/>
      <c r="E419" s="2"/>
      <c r="F419" s="2"/>
      <c r="G419" s="2"/>
      <c r="H419" s="2"/>
      <c r="I419" s="2"/>
      <c r="J419" s="2"/>
      <c r="K419" s="2"/>
      <c r="L419" s="2"/>
      <c r="M419" s="2"/>
      <c r="N419" s="2"/>
      <c r="O419" s="2"/>
      <c r="P419" s="2"/>
    </row>
    <row r="420" spans="1:16" ht="12" customHeight="1" x14ac:dyDescent="0.3">
      <c r="A420" s="2" t="str">
        <f t="shared" si="6"/>
        <v/>
      </c>
      <c r="B420" s="2"/>
      <c r="C420" s="2"/>
      <c r="D420" s="2"/>
      <c r="E420" s="2"/>
      <c r="F420" s="2"/>
      <c r="G420" s="2"/>
      <c r="H420" s="2"/>
      <c r="I420" s="2"/>
      <c r="J420" s="2"/>
      <c r="K420" s="2"/>
      <c r="L420" s="2"/>
      <c r="M420" s="2"/>
      <c r="N420" s="2"/>
      <c r="O420" s="2"/>
      <c r="P420" s="2"/>
    </row>
    <row r="421" spans="1:16" ht="12" customHeight="1" x14ac:dyDescent="0.3">
      <c r="A421" s="2" t="str">
        <f t="shared" si="6"/>
        <v/>
      </c>
      <c r="B421" s="2"/>
      <c r="C421" s="2"/>
      <c r="D421" s="2"/>
      <c r="E421" s="2"/>
      <c r="F421" s="2"/>
      <c r="G421" s="2"/>
      <c r="H421" s="2"/>
      <c r="I421" s="2"/>
      <c r="J421" s="2"/>
      <c r="K421" s="2"/>
      <c r="L421" s="2"/>
      <c r="M421" s="2"/>
      <c r="N421" s="2"/>
      <c r="O421" s="2"/>
      <c r="P421" s="2"/>
    </row>
    <row r="422" spans="1:16" ht="12" customHeight="1" x14ac:dyDescent="0.3">
      <c r="A422" s="2" t="str">
        <f t="shared" si="6"/>
        <v/>
      </c>
      <c r="B422" s="2"/>
      <c r="C422" s="2"/>
      <c r="D422" s="2"/>
      <c r="E422" s="2"/>
      <c r="F422" s="2"/>
      <c r="G422" s="2"/>
      <c r="H422" s="2"/>
      <c r="I422" s="2"/>
      <c r="J422" s="2"/>
      <c r="K422" s="2"/>
      <c r="L422" s="2"/>
      <c r="M422" s="2"/>
      <c r="N422" s="2"/>
      <c r="O422" s="2"/>
      <c r="P422" s="2"/>
    </row>
    <row r="423" spans="1:16" ht="12" customHeight="1" x14ac:dyDescent="0.3">
      <c r="A423" s="2" t="str">
        <f t="shared" si="6"/>
        <v/>
      </c>
      <c r="B423" s="2"/>
      <c r="C423" s="2"/>
      <c r="D423" s="2"/>
      <c r="E423" s="2"/>
      <c r="F423" s="2"/>
      <c r="G423" s="2"/>
      <c r="H423" s="2"/>
      <c r="I423" s="2"/>
      <c r="J423" s="2"/>
      <c r="K423" s="2"/>
      <c r="L423" s="2"/>
      <c r="M423" s="2"/>
      <c r="N423" s="2"/>
      <c r="O423" s="2"/>
      <c r="P423" s="2"/>
    </row>
    <row r="424" spans="1:16" ht="12" customHeight="1" x14ac:dyDescent="0.3">
      <c r="A424" s="2" t="str">
        <f t="shared" si="6"/>
        <v/>
      </c>
      <c r="B424" s="2"/>
      <c r="C424" s="2"/>
      <c r="D424" s="2"/>
      <c r="E424" s="2"/>
      <c r="F424" s="2"/>
      <c r="G424" s="2"/>
      <c r="H424" s="2"/>
      <c r="I424" s="2"/>
      <c r="J424" s="2"/>
      <c r="K424" s="2"/>
      <c r="L424" s="2"/>
      <c r="M424" s="2"/>
      <c r="N424" s="2"/>
      <c r="O424" s="2"/>
      <c r="P424" s="2"/>
    </row>
    <row r="425" spans="1:16" ht="12" customHeight="1" x14ac:dyDescent="0.3">
      <c r="A425" s="2" t="str">
        <f t="shared" si="6"/>
        <v/>
      </c>
      <c r="B425" s="2"/>
      <c r="C425" s="2"/>
      <c r="D425" s="2"/>
      <c r="E425" s="2"/>
      <c r="F425" s="2"/>
      <c r="G425" s="2"/>
      <c r="H425" s="2"/>
      <c r="I425" s="2"/>
      <c r="J425" s="2"/>
      <c r="K425" s="2"/>
      <c r="L425" s="2"/>
      <c r="M425" s="2"/>
      <c r="N425" s="2"/>
      <c r="O425" s="2"/>
      <c r="P425" s="2"/>
    </row>
    <row r="426" spans="1:16" ht="12" customHeight="1" x14ac:dyDescent="0.3">
      <c r="A426" s="2" t="str">
        <f t="shared" si="6"/>
        <v/>
      </c>
      <c r="B426" s="2"/>
      <c r="C426" s="2"/>
      <c r="D426" s="2"/>
      <c r="E426" s="2"/>
      <c r="F426" s="2"/>
      <c r="G426" s="2"/>
      <c r="H426" s="2"/>
      <c r="I426" s="2"/>
      <c r="J426" s="2"/>
      <c r="K426" s="2"/>
      <c r="L426" s="2"/>
      <c r="M426" s="2"/>
      <c r="N426" s="2"/>
      <c r="O426" s="2"/>
      <c r="P426" s="2"/>
    </row>
    <row r="427" spans="1:16" ht="12" customHeight="1" x14ac:dyDescent="0.3">
      <c r="A427" s="2" t="str">
        <f t="shared" si="6"/>
        <v/>
      </c>
      <c r="B427" s="2"/>
      <c r="C427" s="2"/>
      <c r="D427" s="2"/>
      <c r="E427" s="2"/>
      <c r="F427" s="2"/>
      <c r="G427" s="2"/>
      <c r="H427" s="2"/>
      <c r="I427" s="2"/>
      <c r="J427" s="2"/>
      <c r="K427" s="2"/>
      <c r="L427" s="2"/>
      <c r="M427" s="2"/>
      <c r="N427" s="2"/>
      <c r="O427" s="2"/>
      <c r="P427" s="2"/>
    </row>
    <row r="428" spans="1:16" ht="12" customHeight="1" x14ac:dyDescent="0.3">
      <c r="A428" s="2" t="str">
        <f t="shared" si="6"/>
        <v/>
      </c>
      <c r="B428" s="2"/>
      <c r="C428" s="2"/>
      <c r="D428" s="2"/>
      <c r="E428" s="2"/>
      <c r="F428" s="2"/>
      <c r="G428" s="2"/>
      <c r="H428" s="2"/>
      <c r="I428" s="2"/>
      <c r="J428" s="2"/>
      <c r="K428" s="2"/>
      <c r="L428" s="2"/>
      <c r="M428" s="2"/>
      <c r="N428" s="2"/>
      <c r="O428" s="2"/>
      <c r="P428" s="2"/>
    </row>
    <row r="429" spans="1:16" ht="12" customHeight="1" x14ac:dyDescent="0.3">
      <c r="A429" s="2" t="str">
        <f t="shared" si="6"/>
        <v/>
      </c>
      <c r="B429" s="2"/>
      <c r="C429" s="2"/>
      <c r="D429" s="2"/>
      <c r="E429" s="2"/>
      <c r="F429" s="2"/>
      <c r="G429" s="2"/>
      <c r="H429" s="2"/>
      <c r="I429" s="2"/>
      <c r="J429" s="2"/>
      <c r="K429" s="2"/>
      <c r="L429" s="2"/>
      <c r="M429" s="2"/>
      <c r="N429" s="2"/>
      <c r="O429" s="2"/>
      <c r="P429" s="2"/>
    </row>
    <row r="430" spans="1:16" ht="12" customHeight="1" x14ac:dyDescent="0.3">
      <c r="A430" s="2" t="str">
        <f t="shared" si="6"/>
        <v/>
      </c>
      <c r="B430" s="2"/>
      <c r="C430" s="2"/>
      <c r="D430" s="2"/>
      <c r="E430" s="2"/>
      <c r="F430" s="2"/>
      <c r="G430" s="2"/>
      <c r="H430" s="2"/>
      <c r="I430" s="2"/>
      <c r="J430" s="2"/>
      <c r="K430" s="2"/>
      <c r="L430" s="2"/>
      <c r="M430" s="2"/>
      <c r="N430" s="2"/>
      <c r="O430" s="2"/>
      <c r="P430" s="2"/>
    </row>
    <row r="431" spans="1:16" ht="12" customHeight="1" x14ac:dyDescent="0.3">
      <c r="A431" s="2" t="str">
        <f t="shared" si="6"/>
        <v/>
      </c>
      <c r="B431" s="2"/>
      <c r="C431" s="2"/>
      <c r="D431" s="2"/>
      <c r="E431" s="2"/>
      <c r="F431" s="2"/>
      <c r="G431" s="2"/>
      <c r="H431" s="2"/>
      <c r="I431" s="2"/>
      <c r="J431" s="2"/>
      <c r="K431" s="2"/>
      <c r="L431" s="2"/>
      <c r="M431" s="2"/>
      <c r="N431" s="2"/>
      <c r="O431" s="2"/>
      <c r="P431" s="2"/>
    </row>
    <row r="432" spans="1:16" ht="12" customHeight="1" x14ac:dyDescent="0.3">
      <c r="A432" s="2" t="str">
        <f t="shared" si="6"/>
        <v/>
      </c>
      <c r="B432" s="2"/>
      <c r="C432" s="2"/>
      <c r="D432" s="2"/>
      <c r="E432" s="2"/>
      <c r="F432" s="2"/>
      <c r="G432" s="2"/>
      <c r="H432" s="2"/>
      <c r="I432" s="2"/>
      <c r="J432" s="2"/>
      <c r="K432" s="2"/>
      <c r="L432" s="2"/>
      <c r="M432" s="2"/>
      <c r="N432" s="2"/>
      <c r="O432" s="2"/>
      <c r="P432" s="2"/>
    </row>
    <row r="433" spans="1:16" ht="12" customHeight="1" x14ac:dyDescent="0.3">
      <c r="A433" s="2" t="str">
        <f t="shared" si="6"/>
        <v/>
      </c>
      <c r="B433" s="2"/>
      <c r="C433" s="2"/>
      <c r="D433" s="2"/>
      <c r="E433" s="2"/>
      <c r="F433" s="2"/>
      <c r="G433" s="2"/>
      <c r="H433" s="2"/>
      <c r="I433" s="2"/>
      <c r="J433" s="2"/>
      <c r="K433" s="2"/>
      <c r="L433" s="2"/>
      <c r="M433" s="2"/>
      <c r="N433" s="2"/>
      <c r="O433" s="2"/>
      <c r="P433" s="2"/>
    </row>
    <row r="434" spans="1:16" ht="12" customHeight="1" x14ac:dyDescent="0.3">
      <c r="A434" s="2" t="str">
        <f t="shared" si="6"/>
        <v/>
      </c>
      <c r="B434" s="2"/>
      <c r="C434" s="2"/>
      <c r="D434" s="2"/>
      <c r="E434" s="2"/>
      <c r="F434" s="2"/>
      <c r="G434" s="2"/>
      <c r="H434" s="2"/>
      <c r="I434" s="2"/>
      <c r="J434" s="2"/>
      <c r="K434" s="2"/>
      <c r="L434" s="2"/>
      <c r="M434" s="2"/>
      <c r="N434" s="2"/>
      <c r="O434" s="2"/>
      <c r="P434" s="2"/>
    </row>
    <row r="435" spans="1:16" ht="12" customHeight="1" x14ac:dyDescent="0.3">
      <c r="A435" s="2" t="str">
        <f t="shared" si="6"/>
        <v/>
      </c>
      <c r="B435" s="2"/>
      <c r="C435" s="2"/>
      <c r="D435" s="2"/>
      <c r="E435" s="2"/>
      <c r="F435" s="2"/>
      <c r="G435" s="2"/>
      <c r="H435" s="2"/>
      <c r="I435" s="2"/>
      <c r="J435" s="2"/>
      <c r="K435" s="2"/>
      <c r="L435" s="2"/>
      <c r="M435" s="2"/>
      <c r="N435" s="2"/>
      <c r="O435" s="2"/>
      <c r="P435" s="2"/>
    </row>
    <row r="436" spans="1:16" ht="12" customHeight="1" x14ac:dyDescent="0.3">
      <c r="A436" s="2" t="str">
        <f t="shared" si="6"/>
        <v/>
      </c>
      <c r="B436" s="2"/>
      <c r="C436" s="2"/>
      <c r="D436" s="2"/>
      <c r="E436" s="2"/>
      <c r="F436" s="2"/>
      <c r="G436" s="2"/>
      <c r="H436" s="2"/>
      <c r="I436" s="2"/>
      <c r="J436" s="2"/>
      <c r="K436" s="2"/>
      <c r="L436" s="2"/>
      <c r="M436" s="2"/>
      <c r="N436" s="2"/>
      <c r="O436" s="2"/>
      <c r="P436" s="2"/>
    </row>
    <row r="437" spans="1:16" ht="12" customHeight="1" x14ac:dyDescent="0.3">
      <c r="A437" s="2" t="str">
        <f t="shared" si="6"/>
        <v/>
      </c>
      <c r="B437" s="2"/>
      <c r="C437" s="2"/>
      <c r="D437" s="2"/>
      <c r="E437" s="2"/>
      <c r="F437" s="2"/>
      <c r="G437" s="2"/>
      <c r="H437" s="2"/>
      <c r="I437" s="2"/>
      <c r="J437" s="2"/>
      <c r="K437" s="2"/>
      <c r="L437" s="2"/>
      <c r="M437" s="2"/>
      <c r="N437" s="2"/>
      <c r="O437" s="2"/>
      <c r="P437" s="2"/>
    </row>
    <row r="438" spans="1:16" ht="12" customHeight="1" x14ac:dyDescent="0.3">
      <c r="A438" s="2" t="str">
        <f t="shared" si="6"/>
        <v/>
      </c>
      <c r="B438" s="2"/>
      <c r="C438" s="2"/>
      <c r="D438" s="2"/>
      <c r="E438" s="2"/>
      <c r="F438" s="2"/>
      <c r="G438" s="2"/>
      <c r="H438" s="2"/>
      <c r="I438" s="2"/>
      <c r="J438" s="2"/>
      <c r="K438" s="2"/>
      <c r="L438" s="2"/>
      <c r="M438" s="2"/>
      <c r="N438" s="2"/>
      <c r="O438" s="2"/>
      <c r="P438" s="2"/>
    </row>
    <row r="439" spans="1:16" ht="12" customHeight="1" x14ac:dyDescent="0.3">
      <c r="A439" s="2" t="str">
        <f t="shared" si="6"/>
        <v/>
      </c>
      <c r="B439" s="2"/>
      <c r="C439" s="2"/>
      <c r="D439" s="2"/>
      <c r="E439" s="2"/>
      <c r="F439" s="2"/>
      <c r="G439" s="2"/>
      <c r="H439" s="2"/>
      <c r="I439" s="2"/>
      <c r="J439" s="2"/>
      <c r="K439" s="2"/>
      <c r="L439" s="2"/>
      <c r="M439" s="2"/>
      <c r="N439" s="2"/>
      <c r="O439" s="2"/>
      <c r="P439" s="2"/>
    </row>
    <row r="440" spans="1:16" ht="12" customHeight="1" x14ac:dyDescent="0.3">
      <c r="A440" s="2" t="str">
        <f t="shared" si="6"/>
        <v/>
      </c>
      <c r="B440" s="2"/>
      <c r="C440" s="2"/>
      <c r="D440" s="2"/>
      <c r="E440" s="2"/>
      <c r="F440" s="2"/>
      <c r="G440" s="2"/>
      <c r="H440" s="2"/>
      <c r="I440" s="2"/>
      <c r="J440" s="2"/>
      <c r="K440" s="2"/>
      <c r="L440" s="2"/>
      <c r="M440" s="2"/>
      <c r="N440" s="2"/>
      <c r="O440" s="2"/>
      <c r="P440" s="2"/>
    </row>
    <row r="441" spans="1:16" ht="12" customHeight="1" x14ac:dyDescent="0.3">
      <c r="A441" s="2" t="str">
        <f t="shared" si="6"/>
        <v/>
      </c>
      <c r="B441" s="2"/>
      <c r="C441" s="2"/>
      <c r="D441" s="2"/>
      <c r="E441" s="2"/>
      <c r="F441" s="2"/>
      <c r="G441" s="2"/>
      <c r="H441" s="2"/>
      <c r="I441" s="2"/>
      <c r="J441" s="2"/>
      <c r="K441" s="2"/>
      <c r="L441" s="2"/>
      <c r="M441" s="2"/>
      <c r="N441" s="2"/>
      <c r="O441" s="2"/>
      <c r="P441" s="2"/>
    </row>
    <row r="442" spans="1:16" ht="12" customHeight="1" x14ac:dyDescent="0.3">
      <c r="A442" s="2" t="str">
        <f t="shared" si="6"/>
        <v/>
      </c>
      <c r="B442" s="2"/>
      <c r="C442" s="2"/>
      <c r="D442" s="2"/>
      <c r="E442" s="2"/>
      <c r="F442" s="2"/>
      <c r="G442" s="2"/>
      <c r="H442" s="2"/>
      <c r="I442" s="2"/>
      <c r="J442" s="2"/>
      <c r="K442" s="2"/>
      <c r="L442" s="2"/>
      <c r="M442" s="2"/>
      <c r="N442" s="2"/>
      <c r="O442" s="2"/>
      <c r="P442" s="2"/>
    </row>
    <row r="443" spans="1:16" ht="12" customHeight="1" x14ac:dyDescent="0.3">
      <c r="A443" s="2" t="str">
        <f t="shared" si="6"/>
        <v/>
      </c>
      <c r="B443" s="2"/>
      <c r="C443" s="2"/>
      <c r="D443" s="2"/>
      <c r="E443" s="2"/>
      <c r="F443" s="2"/>
      <c r="G443" s="2"/>
      <c r="H443" s="2"/>
      <c r="I443" s="2"/>
      <c r="J443" s="2"/>
      <c r="K443" s="2"/>
      <c r="L443" s="2"/>
      <c r="M443" s="2"/>
      <c r="N443" s="2"/>
      <c r="O443" s="2"/>
      <c r="P443" s="2"/>
    </row>
    <row r="444" spans="1:16" ht="12" customHeight="1" x14ac:dyDescent="0.3">
      <c r="A444" s="2" t="str">
        <f t="shared" si="6"/>
        <v/>
      </c>
      <c r="B444" s="2"/>
      <c r="C444" s="2"/>
      <c r="D444" s="2"/>
      <c r="E444" s="2"/>
      <c r="F444" s="2"/>
      <c r="G444" s="2"/>
      <c r="H444" s="2"/>
      <c r="I444" s="2"/>
      <c r="J444" s="2"/>
      <c r="K444" s="2"/>
      <c r="L444" s="2"/>
      <c r="M444" s="2"/>
      <c r="N444" s="2"/>
      <c r="O444" s="2"/>
      <c r="P444" s="2"/>
    </row>
    <row r="445" spans="1:16" ht="12" customHeight="1" x14ac:dyDescent="0.3">
      <c r="A445" s="2" t="str">
        <f t="shared" si="6"/>
        <v/>
      </c>
      <c r="B445" s="2"/>
      <c r="C445" s="2"/>
      <c r="D445" s="2"/>
      <c r="E445" s="2"/>
      <c r="F445" s="2"/>
      <c r="G445" s="2"/>
      <c r="H445" s="2"/>
      <c r="I445" s="2"/>
      <c r="J445" s="2"/>
      <c r="K445" s="2"/>
      <c r="L445" s="2"/>
      <c r="M445" s="2"/>
      <c r="N445" s="2"/>
      <c r="O445" s="2"/>
      <c r="P445" s="2"/>
    </row>
    <row r="446" spans="1:16" ht="12" customHeight="1" x14ac:dyDescent="0.3">
      <c r="A446" s="2" t="str">
        <f t="shared" si="6"/>
        <v/>
      </c>
      <c r="B446" s="2"/>
      <c r="C446" s="2"/>
      <c r="D446" s="2"/>
      <c r="E446" s="2"/>
      <c r="F446" s="2"/>
      <c r="G446" s="2"/>
      <c r="H446" s="2"/>
      <c r="I446" s="2"/>
      <c r="J446" s="2"/>
      <c r="K446" s="2"/>
      <c r="L446" s="2"/>
      <c r="M446" s="2"/>
      <c r="N446" s="2"/>
      <c r="O446" s="2"/>
      <c r="P446" s="2"/>
    </row>
    <row r="447" spans="1:16" ht="12" customHeight="1" x14ac:dyDescent="0.3">
      <c r="A447" s="2" t="str">
        <f t="shared" si="6"/>
        <v/>
      </c>
      <c r="B447" s="2"/>
      <c r="C447" s="2"/>
      <c r="D447" s="2"/>
      <c r="E447" s="2"/>
      <c r="F447" s="2"/>
      <c r="G447" s="2"/>
      <c r="H447" s="2"/>
      <c r="I447" s="2"/>
      <c r="J447" s="2"/>
      <c r="K447" s="2"/>
      <c r="L447" s="2"/>
      <c r="M447" s="2"/>
      <c r="N447" s="2"/>
      <c r="O447" s="2"/>
      <c r="P447" s="2"/>
    </row>
    <row r="448" spans="1:16" ht="12" customHeight="1" x14ac:dyDescent="0.3">
      <c r="A448" s="2" t="str">
        <f t="shared" si="6"/>
        <v/>
      </c>
      <c r="B448" s="2"/>
      <c r="C448" s="2"/>
      <c r="D448" s="2"/>
      <c r="E448" s="2"/>
      <c r="F448" s="2"/>
      <c r="G448" s="2"/>
      <c r="H448" s="2"/>
      <c r="I448" s="2"/>
      <c r="J448" s="2"/>
      <c r="K448" s="2"/>
      <c r="L448" s="2"/>
      <c r="M448" s="2"/>
      <c r="N448" s="2"/>
      <c r="O448" s="2"/>
      <c r="P448" s="2"/>
    </row>
    <row r="449" spans="1:16" ht="12" customHeight="1" x14ac:dyDescent="0.3">
      <c r="A449" s="2" t="str">
        <f t="shared" si="6"/>
        <v/>
      </c>
      <c r="B449" s="2"/>
      <c r="C449" s="2"/>
      <c r="D449" s="2"/>
      <c r="E449" s="2"/>
      <c r="F449" s="2"/>
      <c r="G449" s="2"/>
      <c r="H449" s="2"/>
      <c r="I449" s="2"/>
      <c r="J449" s="2"/>
      <c r="K449" s="2"/>
      <c r="L449" s="2"/>
      <c r="M449" s="2"/>
      <c r="N449" s="2"/>
      <c r="O449" s="2"/>
      <c r="P449" s="2"/>
    </row>
    <row r="450" spans="1:16" ht="12" customHeight="1" x14ac:dyDescent="0.3">
      <c r="A450" s="2" t="str">
        <f t="shared" si="6"/>
        <v/>
      </c>
      <c r="B450" s="2"/>
      <c r="C450" s="2"/>
      <c r="D450" s="2"/>
      <c r="E450" s="2"/>
      <c r="F450" s="2"/>
      <c r="G450" s="2"/>
      <c r="H450" s="2"/>
      <c r="I450" s="2"/>
      <c r="J450" s="2"/>
      <c r="K450" s="2"/>
      <c r="L450" s="2"/>
      <c r="M450" s="2"/>
      <c r="N450" s="2"/>
      <c r="O450" s="2"/>
      <c r="P450" s="2"/>
    </row>
    <row r="451" spans="1:16" ht="12" customHeight="1" x14ac:dyDescent="0.3">
      <c r="A451" s="2" t="str">
        <f t="shared" si="6"/>
        <v/>
      </c>
      <c r="B451" s="2"/>
      <c r="C451" s="2"/>
      <c r="D451" s="2"/>
      <c r="E451" s="2"/>
      <c r="F451" s="2"/>
      <c r="G451" s="2"/>
      <c r="H451" s="2"/>
      <c r="I451" s="2"/>
      <c r="J451" s="2"/>
      <c r="K451" s="2"/>
      <c r="L451" s="2"/>
      <c r="M451" s="2"/>
      <c r="N451" s="2"/>
      <c r="O451" s="2"/>
      <c r="P451" s="2"/>
    </row>
    <row r="452" spans="1:16" ht="12" customHeight="1" x14ac:dyDescent="0.3">
      <c r="A452" s="2" t="str">
        <f t="shared" si="6"/>
        <v/>
      </c>
      <c r="B452" s="2"/>
      <c r="C452" s="2"/>
      <c r="D452" s="2"/>
      <c r="E452" s="2"/>
      <c r="F452" s="2"/>
      <c r="G452" s="2"/>
      <c r="H452" s="2"/>
      <c r="I452" s="2"/>
      <c r="J452" s="2"/>
      <c r="K452" s="2"/>
      <c r="L452" s="2"/>
      <c r="M452" s="2"/>
      <c r="N452" s="2"/>
      <c r="O452" s="2"/>
      <c r="P452" s="2"/>
    </row>
    <row r="453" spans="1:16" ht="12" customHeight="1" x14ac:dyDescent="0.3">
      <c r="A453" s="2" t="str">
        <f t="shared" si="6"/>
        <v/>
      </c>
      <c r="B453" s="2"/>
      <c r="C453" s="2"/>
      <c r="D453" s="2"/>
      <c r="E453" s="2"/>
      <c r="F453" s="2"/>
      <c r="G453" s="2"/>
      <c r="H453" s="2"/>
      <c r="I453" s="2"/>
      <c r="J453" s="2"/>
      <c r="K453" s="2"/>
      <c r="L453" s="2"/>
      <c r="M453" s="2"/>
      <c r="N453" s="2"/>
      <c r="O453" s="2"/>
      <c r="P453" s="2"/>
    </row>
    <row r="454" spans="1:16" ht="12" customHeight="1" x14ac:dyDescent="0.3">
      <c r="A454" s="2" t="str">
        <f t="shared" si="6"/>
        <v/>
      </c>
      <c r="B454" s="2"/>
      <c r="C454" s="2"/>
      <c r="D454" s="2"/>
      <c r="E454" s="2"/>
      <c r="F454" s="2"/>
      <c r="G454" s="2"/>
      <c r="H454" s="2"/>
      <c r="I454" s="2"/>
      <c r="J454" s="2"/>
      <c r="K454" s="2"/>
      <c r="L454" s="2"/>
      <c r="M454" s="2"/>
      <c r="N454" s="2"/>
      <c r="O454" s="2"/>
      <c r="P454" s="2"/>
    </row>
    <row r="455" spans="1:16" ht="12" customHeight="1" x14ac:dyDescent="0.3">
      <c r="A455" s="2" t="str">
        <f t="shared" si="6"/>
        <v/>
      </c>
      <c r="B455" s="2"/>
      <c r="C455" s="2"/>
      <c r="D455" s="2"/>
      <c r="E455" s="2"/>
      <c r="F455" s="2"/>
      <c r="G455" s="2"/>
      <c r="H455" s="2"/>
      <c r="I455" s="2"/>
      <c r="J455" s="2"/>
      <c r="K455" s="2"/>
      <c r="L455" s="2"/>
      <c r="M455" s="2"/>
      <c r="N455" s="2"/>
      <c r="O455" s="2"/>
      <c r="P455" s="2"/>
    </row>
    <row r="456" spans="1:16" ht="12" customHeight="1" x14ac:dyDescent="0.3">
      <c r="A456" s="2" t="str">
        <f t="shared" si="6"/>
        <v/>
      </c>
      <c r="B456" s="2"/>
      <c r="C456" s="2"/>
      <c r="D456" s="2"/>
      <c r="E456" s="2"/>
      <c r="F456" s="2"/>
      <c r="G456" s="2"/>
      <c r="H456" s="2"/>
      <c r="I456" s="2"/>
      <c r="J456" s="2"/>
      <c r="K456" s="2"/>
      <c r="L456" s="2"/>
      <c r="M456" s="2"/>
      <c r="N456" s="2"/>
      <c r="O456" s="2"/>
      <c r="P456" s="2"/>
    </row>
    <row r="457" spans="1:16" ht="12" customHeight="1" x14ac:dyDescent="0.3">
      <c r="A457" s="2" t="str">
        <f t="shared" si="6"/>
        <v/>
      </c>
      <c r="B457" s="2"/>
      <c r="C457" s="2"/>
      <c r="D457" s="2"/>
      <c r="E457" s="2"/>
      <c r="F457" s="2"/>
      <c r="G457" s="2"/>
      <c r="H457" s="2"/>
      <c r="I457" s="2"/>
      <c r="J457" s="2"/>
      <c r="K457" s="2"/>
      <c r="L457" s="2"/>
      <c r="M457" s="2"/>
      <c r="N457" s="2"/>
      <c r="O457" s="2"/>
      <c r="P457" s="2"/>
    </row>
    <row r="458" spans="1:16" ht="12" customHeight="1" x14ac:dyDescent="0.3">
      <c r="A458" s="2" t="str">
        <f t="shared" si="6"/>
        <v/>
      </c>
      <c r="B458" s="2"/>
      <c r="C458" s="2"/>
      <c r="D458" s="2"/>
      <c r="E458" s="2"/>
      <c r="F458" s="2"/>
      <c r="G458" s="2"/>
      <c r="H458" s="2"/>
      <c r="I458" s="2"/>
      <c r="J458" s="2"/>
      <c r="K458" s="2"/>
      <c r="L458" s="2"/>
      <c r="M458" s="2"/>
      <c r="N458" s="2"/>
      <c r="O458" s="2"/>
      <c r="P458" s="2"/>
    </row>
    <row r="459" spans="1:16" ht="12" customHeight="1" x14ac:dyDescent="0.3">
      <c r="A459" s="2" t="str">
        <f t="shared" si="6"/>
        <v/>
      </c>
      <c r="B459" s="2"/>
      <c r="C459" s="2"/>
      <c r="D459" s="2"/>
      <c r="E459" s="2"/>
      <c r="F459" s="2"/>
      <c r="G459" s="2"/>
      <c r="H459" s="2"/>
      <c r="I459" s="2"/>
      <c r="J459" s="2"/>
      <c r="K459" s="2"/>
      <c r="L459" s="2"/>
      <c r="M459" s="2"/>
      <c r="N459" s="2"/>
      <c r="O459" s="2"/>
      <c r="P459" s="2"/>
    </row>
    <row r="460" spans="1:16" ht="12" customHeight="1" x14ac:dyDescent="0.3">
      <c r="A460" s="2" t="str">
        <f t="shared" si="6"/>
        <v/>
      </c>
      <c r="B460" s="2"/>
      <c r="C460" s="2"/>
      <c r="D460" s="2"/>
      <c r="E460" s="2"/>
      <c r="F460" s="2"/>
      <c r="G460" s="2"/>
      <c r="H460" s="2"/>
      <c r="I460" s="2"/>
      <c r="J460" s="2"/>
      <c r="K460" s="2"/>
      <c r="L460" s="2"/>
      <c r="M460" s="2"/>
      <c r="N460" s="2"/>
      <c r="O460" s="2"/>
      <c r="P460" s="2"/>
    </row>
    <row r="461" spans="1:16" ht="12" customHeight="1" x14ac:dyDescent="0.3">
      <c r="A461" s="2" t="str">
        <f t="shared" si="6"/>
        <v/>
      </c>
      <c r="B461" s="2"/>
      <c r="C461" s="2"/>
      <c r="D461" s="2"/>
      <c r="E461" s="2"/>
      <c r="F461" s="2"/>
      <c r="G461" s="2"/>
      <c r="H461" s="2"/>
      <c r="I461" s="2"/>
      <c r="J461" s="2"/>
      <c r="K461" s="2"/>
      <c r="L461" s="2"/>
      <c r="M461" s="2"/>
      <c r="N461" s="2"/>
      <c r="O461" s="2"/>
      <c r="P461" s="2"/>
    </row>
    <row r="462" spans="1:16" ht="12" customHeight="1" x14ac:dyDescent="0.3">
      <c r="A462" s="2" t="str">
        <f t="shared" si="6"/>
        <v/>
      </c>
      <c r="B462" s="2"/>
      <c r="C462" s="2"/>
      <c r="D462" s="2"/>
      <c r="E462" s="2"/>
      <c r="F462" s="2"/>
      <c r="G462" s="2"/>
      <c r="H462" s="2"/>
      <c r="I462" s="2"/>
      <c r="J462" s="2"/>
      <c r="K462" s="2"/>
      <c r="L462" s="2"/>
      <c r="M462" s="2"/>
      <c r="N462" s="2"/>
      <c r="O462" s="2"/>
      <c r="P462" s="2"/>
    </row>
    <row r="463" spans="1:16" ht="12" customHeight="1" x14ac:dyDescent="0.3">
      <c r="A463" s="2" t="str">
        <f t="shared" si="6"/>
        <v/>
      </c>
      <c r="B463" s="2"/>
      <c r="C463" s="2"/>
      <c r="D463" s="2"/>
      <c r="E463" s="2"/>
      <c r="F463" s="2"/>
      <c r="G463" s="2"/>
      <c r="H463" s="2"/>
      <c r="I463" s="2"/>
      <c r="J463" s="2"/>
      <c r="K463" s="2"/>
      <c r="L463" s="2"/>
      <c r="M463" s="2"/>
      <c r="N463" s="2"/>
      <c r="O463" s="2"/>
      <c r="P463" s="2"/>
    </row>
    <row r="464" spans="1:16" ht="12" customHeight="1" x14ac:dyDescent="0.3">
      <c r="A464" s="2" t="str">
        <f t="shared" si="6"/>
        <v/>
      </c>
      <c r="B464" s="2"/>
      <c r="C464" s="2"/>
      <c r="D464" s="2"/>
      <c r="E464" s="2"/>
      <c r="F464" s="2"/>
      <c r="G464" s="2"/>
      <c r="H464" s="2"/>
      <c r="I464" s="2"/>
      <c r="J464" s="2"/>
      <c r="K464" s="2"/>
      <c r="L464" s="2"/>
      <c r="M464" s="2"/>
      <c r="N464" s="2"/>
      <c r="O464" s="2"/>
      <c r="P464" s="2"/>
    </row>
    <row r="465" spans="1:16" ht="12" customHeight="1" x14ac:dyDescent="0.3">
      <c r="A465" s="2" t="str">
        <f t="shared" si="6"/>
        <v/>
      </c>
      <c r="B465" s="2"/>
      <c r="C465" s="2"/>
      <c r="D465" s="2"/>
      <c r="E465" s="2"/>
      <c r="F465" s="2"/>
      <c r="G465" s="2"/>
      <c r="H465" s="2"/>
      <c r="I465" s="2"/>
      <c r="J465" s="2"/>
      <c r="K465" s="2"/>
      <c r="L465" s="2"/>
      <c r="M465" s="2"/>
      <c r="N465" s="2"/>
      <c r="O465" s="2"/>
      <c r="P465" s="2"/>
    </row>
    <row r="466" spans="1:16" ht="12" customHeight="1" x14ac:dyDescent="0.3">
      <c r="A466" s="2" t="str">
        <f t="shared" si="6"/>
        <v/>
      </c>
      <c r="B466" s="2"/>
      <c r="C466" s="2"/>
      <c r="D466" s="2"/>
      <c r="E466" s="2"/>
      <c r="F466" s="2"/>
      <c r="G466" s="2"/>
      <c r="H466" s="2"/>
      <c r="I466" s="2"/>
      <c r="J466" s="2"/>
      <c r="K466" s="2"/>
      <c r="L466" s="2"/>
      <c r="M466" s="2"/>
      <c r="N466" s="2"/>
      <c r="O466" s="2"/>
      <c r="P466" s="2"/>
    </row>
    <row r="467" spans="1:16" ht="12" customHeight="1" x14ac:dyDescent="0.3">
      <c r="A467" s="2" t="str">
        <f t="shared" si="6"/>
        <v/>
      </c>
      <c r="B467" s="2"/>
      <c r="C467" s="2"/>
      <c r="D467" s="2"/>
      <c r="E467" s="2"/>
      <c r="F467" s="2"/>
      <c r="G467" s="2"/>
      <c r="H467" s="2"/>
      <c r="I467" s="2"/>
      <c r="J467" s="2"/>
      <c r="K467" s="2"/>
      <c r="L467" s="2"/>
      <c r="M467" s="2"/>
      <c r="N467" s="2"/>
      <c r="O467" s="2"/>
      <c r="P467" s="2"/>
    </row>
    <row r="468" spans="1:16" ht="12" customHeight="1" x14ac:dyDescent="0.3">
      <c r="A468" s="2" t="str">
        <f t="shared" si="6"/>
        <v/>
      </c>
      <c r="B468" s="2"/>
      <c r="C468" s="2"/>
      <c r="D468" s="2"/>
      <c r="E468" s="2"/>
      <c r="F468" s="2"/>
      <c r="G468" s="2"/>
      <c r="H468" s="2"/>
      <c r="I468" s="2"/>
      <c r="J468" s="2"/>
      <c r="K468" s="2"/>
      <c r="L468" s="2"/>
      <c r="M468" s="2"/>
      <c r="N468" s="2"/>
      <c r="O468" s="2"/>
      <c r="P468" s="2"/>
    </row>
    <row r="469" spans="1:16" ht="12" customHeight="1" x14ac:dyDescent="0.3">
      <c r="A469" s="2" t="str">
        <f t="shared" si="6"/>
        <v/>
      </c>
      <c r="B469" s="2"/>
      <c r="C469" s="2"/>
      <c r="D469" s="2"/>
      <c r="E469" s="2"/>
      <c r="F469" s="2"/>
      <c r="G469" s="2"/>
      <c r="H469" s="2"/>
      <c r="I469" s="2"/>
      <c r="J469" s="2"/>
      <c r="K469" s="2"/>
      <c r="L469" s="2"/>
      <c r="M469" s="2"/>
      <c r="N469" s="2"/>
      <c r="O469" s="2"/>
      <c r="P469" s="2"/>
    </row>
    <row r="470" spans="1:16" ht="12" customHeight="1" x14ac:dyDescent="0.3">
      <c r="A470" s="2" t="str">
        <f t="shared" si="6"/>
        <v/>
      </c>
      <c r="B470" s="2"/>
      <c r="C470" s="2"/>
      <c r="D470" s="2"/>
      <c r="E470" s="2"/>
      <c r="F470" s="2"/>
      <c r="G470" s="2"/>
      <c r="H470" s="2"/>
      <c r="I470" s="2"/>
      <c r="J470" s="2"/>
      <c r="K470" s="2"/>
      <c r="L470" s="2"/>
      <c r="M470" s="2"/>
      <c r="N470" s="2"/>
      <c r="O470" s="2"/>
      <c r="P470" s="2"/>
    </row>
    <row r="471" spans="1:16" ht="12" customHeight="1" x14ac:dyDescent="0.3">
      <c r="A471" s="2" t="str">
        <f t="shared" si="6"/>
        <v/>
      </c>
      <c r="B471" s="2"/>
      <c r="C471" s="2"/>
      <c r="D471" s="2"/>
      <c r="E471" s="2"/>
      <c r="F471" s="2"/>
      <c r="G471" s="2"/>
      <c r="H471" s="2"/>
      <c r="I471" s="2"/>
      <c r="J471" s="2"/>
      <c r="K471" s="2"/>
      <c r="L471" s="2"/>
      <c r="M471" s="2"/>
      <c r="N471" s="2"/>
      <c r="O471" s="2"/>
      <c r="P471" s="2"/>
    </row>
    <row r="472" spans="1:16" ht="12" customHeight="1" x14ac:dyDescent="0.3">
      <c r="A472" s="2" t="str">
        <f t="shared" si="6"/>
        <v/>
      </c>
      <c r="B472" s="2"/>
      <c r="C472" s="2"/>
      <c r="D472" s="2"/>
      <c r="E472" s="2"/>
      <c r="F472" s="2"/>
      <c r="G472" s="2"/>
      <c r="H472" s="2"/>
      <c r="I472" s="2"/>
      <c r="J472" s="2"/>
      <c r="K472" s="2"/>
      <c r="L472" s="2"/>
      <c r="M472" s="2"/>
      <c r="N472" s="2"/>
      <c r="O472" s="2"/>
      <c r="P472" s="2"/>
    </row>
    <row r="473" spans="1:16" ht="12" customHeight="1" x14ac:dyDescent="0.3">
      <c r="A473" s="2" t="str">
        <f t="shared" si="6"/>
        <v/>
      </c>
      <c r="B473" s="2"/>
      <c r="C473" s="2"/>
      <c r="D473" s="2"/>
      <c r="E473" s="2"/>
      <c r="F473" s="2"/>
      <c r="G473" s="2"/>
      <c r="H473" s="2"/>
      <c r="I473" s="2"/>
      <c r="J473" s="2"/>
      <c r="K473" s="2"/>
      <c r="L473" s="2"/>
      <c r="M473" s="2"/>
      <c r="N473" s="2"/>
      <c r="O473" s="2"/>
      <c r="P473" s="2"/>
    </row>
    <row r="474" spans="1:16" ht="12" customHeight="1" x14ac:dyDescent="0.3">
      <c r="A474" s="2" t="str">
        <f t="shared" ref="A474:A500" si="7">IF(B474&lt;&gt;"","REC-"&amp;TEXT(ROW()-1,"000"),"")</f>
        <v/>
      </c>
      <c r="B474" s="2"/>
      <c r="C474" s="2"/>
      <c r="D474" s="2"/>
      <c r="E474" s="2"/>
      <c r="F474" s="2"/>
      <c r="G474" s="2"/>
      <c r="H474" s="2"/>
      <c r="I474" s="2"/>
      <c r="J474" s="2"/>
      <c r="K474" s="2"/>
      <c r="L474" s="2"/>
      <c r="M474" s="2"/>
      <c r="N474" s="2"/>
      <c r="O474" s="2"/>
      <c r="P474" s="2"/>
    </row>
    <row r="475" spans="1:16" ht="12" customHeight="1" x14ac:dyDescent="0.3">
      <c r="A475" s="2" t="str">
        <f t="shared" si="7"/>
        <v/>
      </c>
      <c r="B475" s="2"/>
      <c r="C475" s="2"/>
      <c r="D475" s="2"/>
      <c r="E475" s="2"/>
      <c r="F475" s="2"/>
      <c r="G475" s="2"/>
      <c r="H475" s="2"/>
      <c r="I475" s="2"/>
      <c r="J475" s="2"/>
      <c r="K475" s="2"/>
      <c r="L475" s="2"/>
      <c r="M475" s="2"/>
      <c r="N475" s="2"/>
      <c r="O475" s="2"/>
      <c r="P475" s="2"/>
    </row>
    <row r="476" spans="1:16" ht="12" customHeight="1" x14ac:dyDescent="0.3">
      <c r="A476" s="2" t="str">
        <f t="shared" si="7"/>
        <v/>
      </c>
      <c r="B476" s="2"/>
      <c r="C476" s="2"/>
      <c r="D476" s="2"/>
      <c r="E476" s="2"/>
      <c r="F476" s="2"/>
      <c r="G476" s="2"/>
      <c r="H476" s="2"/>
      <c r="I476" s="2"/>
      <c r="J476" s="2"/>
      <c r="K476" s="2"/>
      <c r="L476" s="2"/>
      <c r="M476" s="2"/>
      <c r="N476" s="2"/>
      <c r="O476" s="2"/>
      <c r="P476" s="2"/>
    </row>
    <row r="477" spans="1:16" ht="12" customHeight="1" x14ac:dyDescent="0.3">
      <c r="A477" s="2" t="str">
        <f t="shared" si="7"/>
        <v/>
      </c>
      <c r="B477" s="2"/>
      <c r="C477" s="2"/>
      <c r="D477" s="2"/>
      <c r="E477" s="2"/>
      <c r="F477" s="2"/>
      <c r="G477" s="2"/>
      <c r="H477" s="2"/>
      <c r="I477" s="2"/>
      <c r="J477" s="2"/>
      <c r="K477" s="2"/>
      <c r="L477" s="2"/>
      <c r="M477" s="2"/>
      <c r="N477" s="2"/>
      <c r="O477" s="2"/>
      <c r="P477" s="2"/>
    </row>
    <row r="478" spans="1:16" ht="12" customHeight="1" x14ac:dyDescent="0.3">
      <c r="A478" s="2" t="str">
        <f t="shared" si="7"/>
        <v/>
      </c>
      <c r="B478" s="2"/>
      <c r="C478" s="2"/>
      <c r="D478" s="2"/>
      <c r="E478" s="2"/>
      <c r="F478" s="2"/>
      <c r="G478" s="2"/>
      <c r="H478" s="2"/>
      <c r="I478" s="2"/>
      <c r="J478" s="2"/>
      <c r="K478" s="2"/>
      <c r="L478" s="2"/>
      <c r="M478" s="2"/>
      <c r="N478" s="2"/>
      <c r="O478" s="2"/>
      <c r="P478" s="2"/>
    </row>
    <row r="479" spans="1:16" ht="12" customHeight="1" x14ac:dyDescent="0.3">
      <c r="A479" s="2" t="str">
        <f t="shared" si="7"/>
        <v/>
      </c>
      <c r="B479" s="2"/>
      <c r="C479" s="2"/>
      <c r="D479" s="2"/>
      <c r="E479" s="2"/>
      <c r="F479" s="2"/>
      <c r="G479" s="2"/>
      <c r="H479" s="2"/>
      <c r="I479" s="2"/>
      <c r="J479" s="2"/>
      <c r="K479" s="2"/>
      <c r="L479" s="2"/>
      <c r="M479" s="2"/>
      <c r="N479" s="2"/>
      <c r="O479" s="2"/>
      <c r="P479" s="2"/>
    </row>
    <row r="480" spans="1:16" ht="12" customHeight="1" x14ac:dyDescent="0.3">
      <c r="A480" s="2" t="str">
        <f t="shared" si="7"/>
        <v/>
      </c>
      <c r="B480" s="2"/>
      <c r="C480" s="2"/>
      <c r="D480" s="2"/>
      <c r="E480" s="2"/>
      <c r="F480" s="2"/>
      <c r="G480" s="2"/>
      <c r="H480" s="2"/>
      <c r="I480" s="2"/>
      <c r="J480" s="2"/>
      <c r="K480" s="2"/>
      <c r="L480" s="2"/>
      <c r="M480" s="2"/>
      <c r="N480" s="2"/>
      <c r="O480" s="2"/>
      <c r="P480" s="2"/>
    </row>
    <row r="481" spans="1:16" ht="12" customHeight="1" x14ac:dyDescent="0.3">
      <c r="A481" s="2" t="str">
        <f t="shared" si="7"/>
        <v/>
      </c>
      <c r="B481" s="2"/>
      <c r="C481" s="2"/>
      <c r="D481" s="2"/>
      <c r="E481" s="2"/>
      <c r="F481" s="2"/>
      <c r="G481" s="2"/>
      <c r="H481" s="2"/>
      <c r="I481" s="2"/>
      <c r="J481" s="2"/>
      <c r="K481" s="2"/>
      <c r="L481" s="2"/>
      <c r="M481" s="2"/>
      <c r="N481" s="2"/>
      <c r="O481" s="2"/>
      <c r="P481" s="2"/>
    </row>
    <row r="482" spans="1:16" ht="12" customHeight="1" x14ac:dyDescent="0.3">
      <c r="A482" s="2" t="str">
        <f t="shared" si="7"/>
        <v/>
      </c>
      <c r="B482" s="2"/>
      <c r="C482" s="2"/>
      <c r="D482" s="2"/>
      <c r="E482" s="2"/>
      <c r="F482" s="2"/>
      <c r="G482" s="2"/>
      <c r="H482" s="2"/>
      <c r="I482" s="2"/>
      <c r="J482" s="2"/>
      <c r="K482" s="2"/>
      <c r="L482" s="2"/>
      <c r="M482" s="2"/>
      <c r="N482" s="2"/>
      <c r="O482" s="2"/>
      <c r="P482" s="2"/>
    </row>
    <row r="483" spans="1:16" ht="12" customHeight="1" x14ac:dyDescent="0.3">
      <c r="A483" s="2" t="str">
        <f t="shared" si="7"/>
        <v/>
      </c>
      <c r="B483" s="2"/>
      <c r="C483" s="2"/>
      <c r="D483" s="2"/>
      <c r="E483" s="2"/>
      <c r="F483" s="2"/>
      <c r="G483" s="2"/>
      <c r="H483" s="2"/>
      <c r="I483" s="2"/>
      <c r="J483" s="2"/>
      <c r="K483" s="2"/>
      <c r="L483" s="2"/>
      <c r="M483" s="2"/>
      <c r="N483" s="2"/>
      <c r="O483" s="2"/>
      <c r="P483" s="2"/>
    </row>
    <row r="484" spans="1:16" ht="12" customHeight="1" x14ac:dyDescent="0.3">
      <c r="A484" s="2" t="str">
        <f t="shared" si="7"/>
        <v/>
      </c>
      <c r="B484" s="2"/>
      <c r="C484" s="2"/>
      <c r="D484" s="2"/>
      <c r="E484" s="2"/>
      <c r="F484" s="2"/>
      <c r="G484" s="2"/>
      <c r="H484" s="2"/>
      <c r="I484" s="2"/>
      <c r="J484" s="2"/>
      <c r="K484" s="2"/>
      <c r="L484" s="2"/>
      <c r="M484" s="2"/>
      <c r="N484" s="2"/>
      <c r="O484" s="2"/>
      <c r="P484" s="2"/>
    </row>
    <row r="485" spans="1:16" ht="12" customHeight="1" x14ac:dyDescent="0.3">
      <c r="A485" s="2" t="str">
        <f t="shared" si="7"/>
        <v/>
      </c>
      <c r="B485" s="2"/>
      <c r="C485" s="2"/>
      <c r="D485" s="2"/>
      <c r="E485" s="2"/>
      <c r="F485" s="2"/>
      <c r="G485" s="2"/>
      <c r="H485" s="2"/>
      <c r="I485" s="2"/>
      <c r="J485" s="2"/>
      <c r="K485" s="2"/>
      <c r="L485" s="2"/>
      <c r="M485" s="2"/>
      <c r="N485" s="2"/>
      <c r="O485" s="2"/>
      <c r="P485" s="2"/>
    </row>
    <row r="486" spans="1:16" ht="12" customHeight="1" x14ac:dyDescent="0.3">
      <c r="A486" s="2" t="str">
        <f t="shared" si="7"/>
        <v/>
      </c>
      <c r="B486" s="2"/>
      <c r="C486" s="2"/>
      <c r="D486" s="2"/>
      <c r="E486" s="2"/>
      <c r="F486" s="2"/>
      <c r="G486" s="2"/>
      <c r="H486" s="2"/>
      <c r="I486" s="2"/>
      <c r="J486" s="2"/>
      <c r="K486" s="2"/>
      <c r="L486" s="2"/>
      <c r="M486" s="2"/>
      <c r="N486" s="2"/>
      <c r="O486" s="2"/>
      <c r="P486" s="2"/>
    </row>
    <row r="487" spans="1:16" ht="12" customHeight="1" x14ac:dyDescent="0.3">
      <c r="A487" s="2" t="str">
        <f t="shared" si="7"/>
        <v/>
      </c>
      <c r="B487" s="2"/>
      <c r="C487" s="2"/>
      <c r="D487" s="2"/>
      <c r="E487" s="2"/>
      <c r="F487" s="2"/>
      <c r="G487" s="2"/>
      <c r="H487" s="2"/>
      <c r="I487" s="2"/>
      <c r="J487" s="2"/>
      <c r="K487" s="2"/>
      <c r="L487" s="2"/>
      <c r="M487" s="2"/>
      <c r="N487" s="2"/>
      <c r="O487" s="2"/>
      <c r="P487" s="2"/>
    </row>
    <row r="488" spans="1:16" ht="12" customHeight="1" x14ac:dyDescent="0.3">
      <c r="A488" s="2" t="str">
        <f t="shared" si="7"/>
        <v/>
      </c>
      <c r="B488" s="2"/>
      <c r="C488" s="2"/>
      <c r="D488" s="2"/>
      <c r="E488" s="2"/>
      <c r="F488" s="2"/>
      <c r="G488" s="2"/>
      <c r="H488" s="2"/>
      <c r="I488" s="2"/>
      <c r="J488" s="2"/>
      <c r="K488" s="2"/>
      <c r="L488" s="2"/>
      <c r="M488" s="2"/>
      <c r="N488" s="2"/>
      <c r="O488" s="2"/>
      <c r="P488" s="2"/>
    </row>
    <row r="489" spans="1:16" ht="12" customHeight="1" x14ac:dyDescent="0.3">
      <c r="A489" s="2" t="str">
        <f t="shared" si="7"/>
        <v/>
      </c>
      <c r="B489" s="2"/>
      <c r="C489" s="2"/>
      <c r="D489" s="2"/>
      <c r="E489" s="2"/>
      <c r="F489" s="2"/>
      <c r="G489" s="2"/>
      <c r="H489" s="2"/>
      <c r="I489" s="2"/>
      <c r="J489" s="2"/>
      <c r="K489" s="2"/>
      <c r="L489" s="2"/>
      <c r="M489" s="2"/>
      <c r="N489" s="2"/>
      <c r="O489" s="2"/>
      <c r="P489" s="2"/>
    </row>
    <row r="490" spans="1:16" ht="12" customHeight="1" x14ac:dyDescent="0.3">
      <c r="A490" s="2" t="str">
        <f t="shared" si="7"/>
        <v/>
      </c>
      <c r="B490" s="2"/>
      <c r="C490" s="2"/>
      <c r="D490" s="2"/>
      <c r="E490" s="2"/>
      <c r="F490" s="2"/>
      <c r="G490" s="2"/>
      <c r="H490" s="2"/>
      <c r="I490" s="2"/>
      <c r="J490" s="2"/>
      <c r="K490" s="2"/>
      <c r="L490" s="2"/>
      <c r="M490" s="2"/>
      <c r="N490" s="2"/>
      <c r="O490" s="2"/>
      <c r="P490" s="2"/>
    </row>
    <row r="491" spans="1:16" ht="12" customHeight="1" x14ac:dyDescent="0.3">
      <c r="A491" s="2" t="str">
        <f t="shared" si="7"/>
        <v/>
      </c>
      <c r="B491" s="2"/>
      <c r="C491" s="2"/>
      <c r="D491" s="2"/>
      <c r="E491" s="2"/>
      <c r="F491" s="2"/>
      <c r="G491" s="2"/>
      <c r="H491" s="2"/>
      <c r="I491" s="2"/>
      <c r="J491" s="2"/>
      <c r="K491" s="2"/>
      <c r="L491" s="2"/>
      <c r="M491" s="2"/>
      <c r="N491" s="2"/>
      <c r="O491" s="2"/>
      <c r="P491" s="2"/>
    </row>
    <row r="492" spans="1:16" ht="12" customHeight="1" x14ac:dyDescent="0.3">
      <c r="A492" s="2" t="str">
        <f t="shared" si="7"/>
        <v/>
      </c>
      <c r="B492" s="2"/>
      <c r="C492" s="2"/>
      <c r="D492" s="2"/>
      <c r="E492" s="2"/>
      <c r="F492" s="2"/>
      <c r="G492" s="2"/>
      <c r="H492" s="2"/>
      <c r="I492" s="2"/>
      <c r="J492" s="2"/>
      <c r="K492" s="2"/>
      <c r="L492" s="2"/>
      <c r="M492" s="2"/>
      <c r="N492" s="2"/>
      <c r="O492" s="2"/>
      <c r="P492" s="2"/>
    </row>
    <row r="493" spans="1:16" ht="12" customHeight="1" x14ac:dyDescent="0.3">
      <c r="A493" s="2" t="str">
        <f t="shared" si="7"/>
        <v/>
      </c>
      <c r="B493" s="2"/>
      <c r="C493" s="2"/>
      <c r="D493" s="2"/>
      <c r="E493" s="2"/>
      <c r="F493" s="2"/>
      <c r="G493" s="2"/>
      <c r="H493" s="2"/>
      <c r="I493" s="2"/>
      <c r="J493" s="2"/>
      <c r="K493" s="2"/>
      <c r="L493" s="2"/>
      <c r="M493" s="2"/>
      <c r="N493" s="2"/>
      <c r="O493" s="2"/>
      <c r="P493" s="2"/>
    </row>
    <row r="494" spans="1:16" ht="12" customHeight="1" x14ac:dyDescent="0.3">
      <c r="A494" s="2" t="str">
        <f t="shared" si="7"/>
        <v/>
      </c>
      <c r="B494" s="2"/>
      <c r="C494" s="2"/>
      <c r="D494" s="2"/>
      <c r="E494" s="2"/>
      <c r="F494" s="2"/>
      <c r="G494" s="2"/>
      <c r="H494" s="2"/>
      <c r="I494" s="2"/>
      <c r="J494" s="2"/>
      <c r="K494" s="2"/>
      <c r="L494" s="2"/>
      <c r="M494" s="2"/>
      <c r="N494" s="2"/>
      <c r="O494" s="2"/>
      <c r="P494" s="2"/>
    </row>
    <row r="495" spans="1:16" ht="12" customHeight="1" x14ac:dyDescent="0.3">
      <c r="A495" s="2" t="str">
        <f t="shared" si="7"/>
        <v/>
      </c>
      <c r="B495" s="2"/>
      <c r="C495" s="2"/>
      <c r="D495" s="2"/>
      <c r="E495" s="2"/>
      <c r="F495" s="2"/>
      <c r="G495" s="2"/>
      <c r="H495" s="2"/>
      <c r="I495" s="2"/>
      <c r="J495" s="2"/>
      <c r="K495" s="2"/>
      <c r="L495" s="2"/>
      <c r="M495" s="2"/>
      <c r="N495" s="2"/>
      <c r="O495" s="2"/>
      <c r="P495" s="2"/>
    </row>
    <row r="496" spans="1:16" ht="12" customHeight="1" x14ac:dyDescent="0.3">
      <c r="A496" s="2" t="str">
        <f t="shared" si="7"/>
        <v/>
      </c>
      <c r="B496" s="2"/>
      <c r="C496" s="2"/>
      <c r="D496" s="2"/>
      <c r="E496" s="2"/>
      <c r="F496" s="2"/>
      <c r="G496" s="2"/>
      <c r="H496" s="2"/>
      <c r="I496" s="2"/>
      <c r="J496" s="2"/>
      <c r="K496" s="2"/>
      <c r="L496" s="2"/>
      <c r="M496" s="2"/>
      <c r="N496" s="2"/>
      <c r="O496" s="2"/>
      <c r="P496" s="2"/>
    </row>
    <row r="497" spans="1:16" ht="12" customHeight="1" x14ac:dyDescent="0.3">
      <c r="A497" s="2" t="str">
        <f t="shared" si="7"/>
        <v/>
      </c>
      <c r="B497" s="2"/>
      <c r="C497" s="2"/>
      <c r="D497" s="2"/>
      <c r="E497" s="2"/>
      <c r="F497" s="2"/>
      <c r="G497" s="2"/>
      <c r="H497" s="2"/>
      <c r="I497" s="2"/>
      <c r="J497" s="2"/>
      <c r="K497" s="2"/>
      <c r="L497" s="2"/>
      <c r="M497" s="2"/>
      <c r="N497" s="2"/>
      <c r="O497" s="2"/>
      <c r="P497" s="2"/>
    </row>
    <row r="498" spans="1:16" ht="12" customHeight="1" x14ac:dyDescent="0.3">
      <c r="A498" s="2" t="str">
        <f t="shared" si="7"/>
        <v/>
      </c>
      <c r="B498" s="2"/>
      <c r="C498" s="2"/>
      <c r="D498" s="2"/>
      <c r="E498" s="2"/>
      <c r="F498" s="2"/>
      <c r="G498" s="2"/>
      <c r="H498" s="2"/>
      <c r="I498" s="2"/>
      <c r="J498" s="2"/>
      <c r="K498" s="2"/>
      <c r="L498" s="2"/>
      <c r="M498" s="2"/>
      <c r="N498" s="2"/>
      <c r="O498" s="2"/>
      <c r="P498" s="2"/>
    </row>
    <row r="499" spans="1:16" ht="12" customHeight="1" x14ac:dyDescent="0.3">
      <c r="A499" s="2" t="str">
        <f t="shared" si="7"/>
        <v/>
      </c>
      <c r="B499" s="2"/>
      <c r="C499" s="2"/>
      <c r="D499" s="2"/>
      <c r="E499" s="2"/>
      <c r="F499" s="2"/>
      <c r="G499" s="2"/>
      <c r="H499" s="2"/>
      <c r="I499" s="2"/>
      <c r="J499" s="2"/>
      <c r="K499" s="2"/>
      <c r="L499" s="2"/>
      <c r="M499" s="2"/>
      <c r="N499" s="2"/>
      <c r="O499" s="2"/>
      <c r="P499" s="2"/>
    </row>
    <row r="500" spans="1:16" ht="12" customHeight="1" x14ac:dyDescent="0.3">
      <c r="A500" s="2" t="str">
        <f t="shared" si="7"/>
        <v/>
      </c>
      <c r="B500" s="2"/>
      <c r="C500" s="2"/>
      <c r="D500" s="2"/>
      <c r="E500" s="2"/>
      <c r="F500" s="2"/>
      <c r="G500" s="2"/>
      <c r="H500" s="2"/>
      <c r="I500" s="2"/>
      <c r="J500" s="2"/>
      <c r="K500" s="2"/>
      <c r="L500" s="2"/>
      <c r="M500" s="2"/>
      <c r="N500" s="2"/>
      <c r="O500" s="2"/>
      <c r="P500" s="2"/>
    </row>
  </sheetData>
  <dataValidations count="3">
    <dataValidation type="list" sqref="C2:C500" xr:uid="{00000000-0002-0000-0700-000000000000}">
      <formula1>"LOW,MEDIUM,HIGH"</formula1>
      <formula2>0</formula2>
    </dataValidation>
    <dataValidation type="list" sqref="M2:M500" xr:uid="{00000000-0002-0000-0700-000001000000}">
      <formula1>"CREATE,UPDATE,NO_CHANGE,ARCHIVE,REVIEW"</formula1>
      <formula2>0</formula2>
    </dataValidation>
    <dataValidation type="list" sqref="O2:O500" xr:uid="{00000000-0002-0000-0700-000002000000}">
      <formula1>"YES,NO"</formula1>
      <formula2>0</formula2>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4"/>
  <sheetViews>
    <sheetView workbookViewId="0"/>
  </sheetViews>
  <sheetFormatPr defaultColWidth="8.6640625" defaultRowHeight="13.2" x14ac:dyDescent="0.25"/>
  <cols>
    <col min="1" max="1" width="12" customWidth="1"/>
    <col min="2" max="3" width="24" customWidth="1"/>
    <col min="4" max="4" width="22" customWidth="1"/>
    <col min="5" max="5" width="16" customWidth="1"/>
    <col min="6" max="6" width="20" customWidth="1"/>
    <col min="7" max="7" width="14" customWidth="1"/>
    <col min="8" max="8" width="24" customWidth="1"/>
    <col min="9" max="9" width="50" customWidth="1"/>
    <col min="10" max="10" width="38" customWidth="1"/>
    <col min="11" max="11" width="12" customWidth="1"/>
    <col min="12" max="13" width="24" customWidth="1"/>
  </cols>
  <sheetData>
    <row r="1" spans="1:13" ht="28.8" customHeight="1" x14ac:dyDescent="0.25">
      <c r="A1" s="3" t="s">
        <v>738</v>
      </c>
      <c r="B1" s="3" t="s">
        <v>739</v>
      </c>
      <c r="C1" s="3" t="s">
        <v>740</v>
      </c>
      <c r="D1" s="3" t="s">
        <v>741</v>
      </c>
      <c r="E1" s="3" t="s">
        <v>742</v>
      </c>
      <c r="F1" s="3" t="s">
        <v>743</v>
      </c>
      <c r="G1" s="3" t="s">
        <v>744</v>
      </c>
      <c r="H1" s="3" t="s">
        <v>745</v>
      </c>
      <c r="I1" s="3" t="s">
        <v>746</v>
      </c>
      <c r="J1" s="3" t="s">
        <v>747</v>
      </c>
      <c r="K1" s="3" t="s">
        <v>591</v>
      </c>
      <c r="L1" s="3" t="s">
        <v>748</v>
      </c>
      <c r="M1" s="3" t="s">
        <v>749</v>
      </c>
    </row>
    <row r="2" spans="1:13" ht="12" customHeight="1" x14ac:dyDescent="0.3">
      <c r="A2" s="2" t="s">
        <v>750</v>
      </c>
      <c r="B2" s="2" t="s">
        <v>668</v>
      </c>
      <c r="C2" s="2" t="s">
        <v>48</v>
      </c>
      <c r="D2" s="2" t="s">
        <v>751</v>
      </c>
      <c r="E2" s="2" t="s">
        <v>752</v>
      </c>
      <c r="F2" s="2" t="s">
        <v>753</v>
      </c>
      <c r="G2" s="2" t="s">
        <v>754</v>
      </c>
      <c r="H2" s="2" t="s">
        <v>755</v>
      </c>
      <c r="I2" s="2" t="s">
        <v>756</v>
      </c>
      <c r="J2" s="2" t="s">
        <v>757</v>
      </c>
      <c r="K2" s="2" t="s">
        <v>610</v>
      </c>
      <c r="L2" s="2" t="s">
        <v>62</v>
      </c>
      <c r="M2" s="2" t="s">
        <v>758</v>
      </c>
    </row>
    <row r="3" spans="1:13" ht="12" customHeight="1" x14ac:dyDescent="0.3">
      <c r="A3" s="2" t="s">
        <v>759</v>
      </c>
      <c r="B3" s="2" t="s">
        <v>668</v>
      </c>
      <c r="C3" s="2" t="s">
        <v>49</v>
      </c>
      <c r="D3" s="2" t="s">
        <v>760</v>
      </c>
      <c r="E3" s="2" t="s">
        <v>752</v>
      </c>
      <c r="F3" s="2" t="s">
        <v>753</v>
      </c>
      <c r="G3" s="2" t="s">
        <v>754</v>
      </c>
      <c r="H3" s="2" t="s">
        <v>755</v>
      </c>
      <c r="I3" s="2" t="s">
        <v>761</v>
      </c>
      <c r="J3" s="2" t="s">
        <v>762</v>
      </c>
      <c r="K3" s="2" t="s">
        <v>610</v>
      </c>
      <c r="L3" s="2" t="s">
        <v>763</v>
      </c>
      <c r="M3" s="2" t="s">
        <v>758</v>
      </c>
    </row>
    <row r="4" spans="1:13" ht="22.2" customHeight="1" x14ac:dyDescent="0.3">
      <c r="A4" s="2" t="s">
        <v>764</v>
      </c>
      <c r="B4" s="2" t="s">
        <v>668</v>
      </c>
      <c r="C4" s="2" t="s">
        <v>50</v>
      </c>
      <c r="D4" s="2" t="s">
        <v>765</v>
      </c>
      <c r="E4" s="2" t="s">
        <v>752</v>
      </c>
      <c r="F4" s="2" t="s">
        <v>753</v>
      </c>
      <c r="G4" s="2" t="s">
        <v>754</v>
      </c>
      <c r="H4" s="2" t="s">
        <v>766</v>
      </c>
      <c r="I4" s="2" t="s">
        <v>767</v>
      </c>
      <c r="J4" s="2" t="s">
        <v>768</v>
      </c>
      <c r="K4" s="2" t="s">
        <v>610</v>
      </c>
      <c r="L4" s="2" t="s">
        <v>64</v>
      </c>
      <c r="M4" s="2" t="s">
        <v>769</v>
      </c>
    </row>
    <row r="5" spans="1:13" ht="12" customHeight="1" x14ac:dyDescent="0.3">
      <c r="A5" s="2" t="s">
        <v>770</v>
      </c>
      <c r="B5" s="2" t="s">
        <v>668</v>
      </c>
      <c r="C5" s="2" t="s">
        <v>51</v>
      </c>
      <c r="D5" s="2" t="s">
        <v>771</v>
      </c>
      <c r="E5" s="2" t="s">
        <v>772</v>
      </c>
      <c r="F5" s="2" t="s">
        <v>753</v>
      </c>
      <c r="G5" s="2" t="s">
        <v>754</v>
      </c>
      <c r="H5" s="2" t="s">
        <v>773</v>
      </c>
      <c r="I5" s="2" t="s">
        <v>774</v>
      </c>
      <c r="J5" s="2" t="s">
        <v>775</v>
      </c>
      <c r="K5" s="2" t="s">
        <v>682</v>
      </c>
      <c r="L5" s="2" t="s">
        <v>65</v>
      </c>
      <c r="M5" s="2"/>
    </row>
    <row r="6" spans="1:13" ht="12" customHeight="1" x14ac:dyDescent="0.3">
      <c r="A6" s="2" t="s">
        <v>776</v>
      </c>
      <c r="B6" s="2" t="s">
        <v>668</v>
      </c>
      <c r="C6" s="2" t="s">
        <v>52</v>
      </c>
      <c r="D6" s="2" t="s">
        <v>777</v>
      </c>
      <c r="E6" s="2" t="s">
        <v>778</v>
      </c>
      <c r="F6" s="2" t="s">
        <v>753</v>
      </c>
      <c r="G6" s="2" t="s">
        <v>754</v>
      </c>
      <c r="H6" s="2" t="s">
        <v>779</v>
      </c>
      <c r="I6" s="2" t="s">
        <v>780</v>
      </c>
      <c r="J6" s="2" t="s">
        <v>781</v>
      </c>
      <c r="K6" s="2" t="s">
        <v>585</v>
      </c>
      <c r="L6" s="2" t="s">
        <v>782</v>
      </c>
      <c r="M6" s="2" t="s">
        <v>758</v>
      </c>
    </row>
    <row r="7" spans="1:13" ht="12" customHeight="1" x14ac:dyDescent="0.3">
      <c r="A7" s="2" t="s">
        <v>783</v>
      </c>
      <c r="B7" s="2" t="s">
        <v>668</v>
      </c>
      <c r="C7" s="2" t="s">
        <v>53</v>
      </c>
      <c r="D7" s="2" t="s">
        <v>784</v>
      </c>
      <c r="E7" s="2" t="s">
        <v>778</v>
      </c>
      <c r="F7" s="2" t="s">
        <v>753</v>
      </c>
      <c r="G7" s="2" t="s">
        <v>754</v>
      </c>
      <c r="H7" s="2" t="s">
        <v>779</v>
      </c>
      <c r="I7" s="2" t="s">
        <v>785</v>
      </c>
      <c r="J7" s="2" t="s">
        <v>786</v>
      </c>
      <c r="K7" s="2" t="s">
        <v>585</v>
      </c>
      <c r="L7" s="2" t="s">
        <v>67</v>
      </c>
      <c r="M7" s="2" t="s">
        <v>758</v>
      </c>
    </row>
    <row r="8" spans="1:13" ht="22.2" customHeight="1" x14ac:dyDescent="0.3">
      <c r="A8" s="2" t="s">
        <v>787</v>
      </c>
      <c r="B8" s="2" t="s">
        <v>668</v>
      </c>
      <c r="C8" s="2" t="s">
        <v>54</v>
      </c>
      <c r="D8" s="2" t="s">
        <v>788</v>
      </c>
      <c r="E8" s="2" t="s">
        <v>752</v>
      </c>
      <c r="F8" s="2" t="s">
        <v>789</v>
      </c>
      <c r="G8" s="2" t="s">
        <v>790</v>
      </c>
      <c r="H8" s="2" t="s">
        <v>791</v>
      </c>
      <c r="I8" s="2" t="s">
        <v>792</v>
      </c>
      <c r="J8" s="2" t="s">
        <v>793</v>
      </c>
      <c r="K8" s="2" t="s">
        <v>610</v>
      </c>
      <c r="L8" s="2" t="s">
        <v>68</v>
      </c>
      <c r="M8" s="2" t="s">
        <v>794</v>
      </c>
    </row>
    <row r="9" spans="1:13" ht="22.2" customHeight="1" x14ac:dyDescent="0.3">
      <c r="A9" s="2" t="s">
        <v>795</v>
      </c>
      <c r="B9" s="2" t="s">
        <v>668</v>
      </c>
      <c r="C9" s="2" t="s">
        <v>55</v>
      </c>
      <c r="D9" s="2" t="s">
        <v>796</v>
      </c>
      <c r="E9" s="2" t="s">
        <v>772</v>
      </c>
      <c r="F9" s="2" t="s">
        <v>797</v>
      </c>
      <c r="G9" s="2" t="s">
        <v>790</v>
      </c>
      <c r="H9" s="2" t="s">
        <v>798</v>
      </c>
      <c r="I9" s="2" t="s">
        <v>799</v>
      </c>
      <c r="J9" s="2" t="s">
        <v>800</v>
      </c>
      <c r="K9" s="2" t="s">
        <v>610</v>
      </c>
      <c r="L9" s="2" t="s">
        <v>69</v>
      </c>
      <c r="M9" s="2" t="s">
        <v>801</v>
      </c>
    </row>
    <row r="10" spans="1:13" ht="12" customHeight="1" x14ac:dyDescent="0.3">
      <c r="A10" s="2" t="s">
        <v>802</v>
      </c>
      <c r="B10" s="2" t="s">
        <v>668</v>
      </c>
      <c r="C10" s="2" t="s">
        <v>56</v>
      </c>
      <c r="D10" s="2" t="s">
        <v>803</v>
      </c>
      <c r="E10" s="2" t="s">
        <v>772</v>
      </c>
      <c r="F10" s="2" t="s">
        <v>804</v>
      </c>
      <c r="G10" s="2" t="s">
        <v>790</v>
      </c>
      <c r="H10" s="2" t="s">
        <v>805</v>
      </c>
      <c r="I10" s="2" t="s">
        <v>806</v>
      </c>
      <c r="J10" s="2" t="s">
        <v>807</v>
      </c>
      <c r="K10" s="2" t="s">
        <v>610</v>
      </c>
      <c r="L10" s="2" t="s">
        <v>70</v>
      </c>
      <c r="M10" s="2" t="s">
        <v>801</v>
      </c>
    </row>
    <row r="11" spans="1:13" ht="12" customHeight="1" x14ac:dyDescent="0.3">
      <c r="A11" s="2" t="s">
        <v>808</v>
      </c>
      <c r="B11" s="2" t="s">
        <v>668</v>
      </c>
      <c r="C11" s="2" t="s">
        <v>57</v>
      </c>
      <c r="D11" s="2" t="s">
        <v>809</v>
      </c>
      <c r="E11" s="2" t="s">
        <v>772</v>
      </c>
      <c r="F11" s="2" t="s">
        <v>804</v>
      </c>
      <c r="G11" s="2" t="s">
        <v>790</v>
      </c>
      <c r="H11" s="2" t="s">
        <v>805</v>
      </c>
      <c r="I11" s="2" t="s">
        <v>810</v>
      </c>
      <c r="J11" s="2" t="s">
        <v>811</v>
      </c>
      <c r="K11" s="2" t="s">
        <v>610</v>
      </c>
      <c r="L11" s="2" t="s">
        <v>71</v>
      </c>
      <c r="M11" s="2" t="s">
        <v>801</v>
      </c>
    </row>
    <row r="12" spans="1:13" ht="22.2" customHeight="1" x14ac:dyDescent="0.3">
      <c r="A12" s="2" t="s">
        <v>812</v>
      </c>
      <c r="B12" s="2" t="s">
        <v>668</v>
      </c>
      <c r="C12" s="2" t="s">
        <v>58</v>
      </c>
      <c r="D12" s="2" t="s">
        <v>813</v>
      </c>
      <c r="E12" s="2" t="s">
        <v>814</v>
      </c>
      <c r="F12" s="2" t="s">
        <v>815</v>
      </c>
      <c r="G12" s="2" t="s">
        <v>816</v>
      </c>
      <c r="H12" s="2" t="s">
        <v>817</v>
      </c>
      <c r="I12" s="2" t="s">
        <v>818</v>
      </c>
      <c r="J12" s="2" t="s">
        <v>819</v>
      </c>
      <c r="K12" s="2" t="s">
        <v>585</v>
      </c>
      <c r="L12" s="2" t="s">
        <v>820</v>
      </c>
      <c r="M12" s="2" t="s">
        <v>821</v>
      </c>
    </row>
    <row r="13" spans="1:13" ht="22.2" customHeight="1" x14ac:dyDescent="0.3">
      <c r="A13" s="2" t="s">
        <v>822</v>
      </c>
      <c r="B13" s="2" t="s">
        <v>668</v>
      </c>
      <c r="C13" s="2" t="s">
        <v>59</v>
      </c>
      <c r="D13" s="2" t="s">
        <v>823</v>
      </c>
      <c r="E13" s="2" t="s">
        <v>778</v>
      </c>
      <c r="F13" s="2" t="s">
        <v>815</v>
      </c>
      <c r="G13" s="2" t="s">
        <v>754</v>
      </c>
      <c r="H13" s="2" t="s">
        <v>824</v>
      </c>
      <c r="I13" s="2" t="s">
        <v>825</v>
      </c>
      <c r="J13" s="2" t="s">
        <v>826</v>
      </c>
      <c r="K13" s="2" t="s">
        <v>585</v>
      </c>
      <c r="L13" s="2" t="s">
        <v>827</v>
      </c>
      <c r="M13" s="2" t="s">
        <v>758</v>
      </c>
    </row>
    <row r="14" spans="1:13" ht="12" customHeight="1" x14ac:dyDescent="0.3">
      <c r="A14" s="2" t="s">
        <v>828</v>
      </c>
      <c r="B14" s="2" t="s">
        <v>668</v>
      </c>
      <c r="C14" s="2" t="s">
        <v>60</v>
      </c>
      <c r="D14" s="2" t="s">
        <v>829</v>
      </c>
      <c r="E14" s="2" t="s">
        <v>772</v>
      </c>
      <c r="F14" s="2" t="s">
        <v>804</v>
      </c>
      <c r="G14" s="2" t="s">
        <v>830</v>
      </c>
      <c r="H14" s="2" t="s">
        <v>831</v>
      </c>
      <c r="I14" s="2" t="s">
        <v>832</v>
      </c>
      <c r="J14" s="2" t="s">
        <v>833</v>
      </c>
      <c r="K14" s="2" t="s">
        <v>585</v>
      </c>
      <c r="L14" s="2" t="s">
        <v>834</v>
      </c>
      <c r="M14" s="2" t="s">
        <v>835</v>
      </c>
    </row>
    <row r="15" spans="1:13" ht="12" customHeight="1" x14ac:dyDescent="0.3">
      <c r="A15" s="2" t="s">
        <v>836</v>
      </c>
      <c r="B15" s="2" t="s">
        <v>668</v>
      </c>
      <c r="C15" s="2" t="s">
        <v>61</v>
      </c>
      <c r="D15" s="2" t="s">
        <v>837</v>
      </c>
      <c r="E15" s="2" t="s">
        <v>772</v>
      </c>
      <c r="F15" s="2" t="s">
        <v>804</v>
      </c>
      <c r="G15" s="2" t="s">
        <v>830</v>
      </c>
      <c r="H15" s="2" t="s">
        <v>831</v>
      </c>
      <c r="I15" s="2" t="s">
        <v>838</v>
      </c>
      <c r="J15" s="2" t="s">
        <v>839</v>
      </c>
      <c r="K15" s="2" t="s">
        <v>585</v>
      </c>
      <c r="L15" s="2" t="s">
        <v>834</v>
      </c>
      <c r="M15" s="2" t="s">
        <v>835</v>
      </c>
    </row>
    <row r="16" spans="1:13" ht="22.2" customHeight="1" x14ac:dyDescent="0.3">
      <c r="A16" s="2" t="s">
        <v>840</v>
      </c>
      <c r="B16" s="2" t="s">
        <v>602</v>
      </c>
      <c r="C16" s="2" t="s">
        <v>338</v>
      </c>
      <c r="D16" s="2" t="s">
        <v>760</v>
      </c>
      <c r="E16" s="2" t="s">
        <v>841</v>
      </c>
      <c r="F16" s="2" t="s">
        <v>753</v>
      </c>
      <c r="G16" s="2" t="s">
        <v>754</v>
      </c>
      <c r="H16" s="2" t="s">
        <v>842</v>
      </c>
      <c r="I16" s="2" t="s">
        <v>843</v>
      </c>
      <c r="J16" s="2" t="s">
        <v>844</v>
      </c>
      <c r="K16" s="2" t="s">
        <v>610</v>
      </c>
      <c r="L16" s="2" t="s">
        <v>62</v>
      </c>
      <c r="M16" s="2" t="s">
        <v>845</v>
      </c>
    </row>
    <row r="17" spans="1:13" ht="12" customHeight="1" x14ac:dyDescent="0.3">
      <c r="A17" s="2" t="s">
        <v>846</v>
      </c>
      <c r="B17" s="2" t="s">
        <v>602</v>
      </c>
      <c r="C17" s="2" t="s">
        <v>340</v>
      </c>
      <c r="D17" s="2" t="s">
        <v>771</v>
      </c>
      <c r="E17" s="2" t="s">
        <v>841</v>
      </c>
      <c r="F17" s="2" t="s">
        <v>753</v>
      </c>
      <c r="G17" s="2" t="s">
        <v>754</v>
      </c>
      <c r="H17" s="2" t="s">
        <v>755</v>
      </c>
      <c r="I17" s="2" t="s">
        <v>847</v>
      </c>
      <c r="J17" s="2" t="s">
        <v>848</v>
      </c>
      <c r="K17" s="2" t="s">
        <v>610</v>
      </c>
      <c r="L17" s="2" t="s">
        <v>849</v>
      </c>
      <c r="M17" s="2" t="s">
        <v>758</v>
      </c>
    </row>
    <row r="18" spans="1:13" ht="12" customHeight="1" x14ac:dyDescent="0.3">
      <c r="A18" s="2" t="s">
        <v>850</v>
      </c>
      <c r="B18" s="2" t="s">
        <v>602</v>
      </c>
      <c r="C18" s="2" t="s">
        <v>341</v>
      </c>
      <c r="D18" s="2" t="s">
        <v>777</v>
      </c>
      <c r="E18" s="2" t="s">
        <v>841</v>
      </c>
      <c r="F18" s="2" t="s">
        <v>753</v>
      </c>
      <c r="G18" s="2" t="s">
        <v>790</v>
      </c>
      <c r="H18" s="2" t="s">
        <v>791</v>
      </c>
      <c r="I18" s="2" t="s">
        <v>851</v>
      </c>
      <c r="J18" s="2" t="s">
        <v>852</v>
      </c>
      <c r="K18" s="2" t="s">
        <v>610</v>
      </c>
      <c r="L18" s="2" t="s">
        <v>344</v>
      </c>
      <c r="M18" s="2" t="s">
        <v>794</v>
      </c>
    </row>
    <row r="19" spans="1:13" ht="12" customHeight="1" x14ac:dyDescent="0.3">
      <c r="A19" s="2" t="s">
        <v>853</v>
      </c>
      <c r="B19" s="2" t="s">
        <v>602</v>
      </c>
      <c r="C19" s="2" t="s">
        <v>55</v>
      </c>
      <c r="D19" s="2" t="s">
        <v>784</v>
      </c>
      <c r="E19" s="2" t="s">
        <v>772</v>
      </c>
      <c r="F19" s="2" t="s">
        <v>804</v>
      </c>
      <c r="G19" s="2" t="s">
        <v>790</v>
      </c>
      <c r="H19" s="2" t="s">
        <v>798</v>
      </c>
      <c r="I19" s="2" t="s">
        <v>854</v>
      </c>
      <c r="J19" s="2" t="s">
        <v>855</v>
      </c>
      <c r="K19" s="2" t="s">
        <v>610</v>
      </c>
      <c r="L19" s="2" t="s">
        <v>69</v>
      </c>
      <c r="M19" s="2" t="s">
        <v>835</v>
      </c>
    </row>
    <row r="20" spans="1:13" ht="12" customHeight="1" x14ac:dyDescent="0.3">
      <c r="A20" s="2" t="s">
        <v>856</v>
      </c>
      <c r="B20" s="2" t="s">
        <v>857</v>
      </c>
      <c r="C20" s="2" t="s">
        <v>48</v>
      </c>
      <c r="D20" s="2" t="s">
        <v>751</v>
      </c>
      <c r="E20" s="2" t="s">
        <v>752</v>
      </c>
      <c r="F20" s="2" t="s">
        <v>753</v>
      </c>
      <c r="G20" s="2" t="s">
        <v>754</v>
      </c>
      <c r="H20" s="2" t="s">
        <v>858</v>
      </c>
      <c r="I20" s="2" t="s">
        <v>859</v>
      </c>
      <c r="J20" s="2" t="s">
        <v>860</v>
      </c>
      <c r="K20" s="2" t="s">
        <v>610</v>
      </c>
      <c r="L20" s="2" t="s">
        <v>64</v>
      </c>
      <c r="M20" s="2" t="s">
        <v>758</v>
      </c>
    </row>
    <row r="21" spans="1:13" ht="12" customHeight="1" x14ac:dyDescent="0.3">
      <c r="A21" s="2" t="s">
        <v>861</v>
      </c>
      <c r="B21" s="2" t="s">
        <v>857</v>
      </c>
      <c r="C21" s="2" t="s">
        <v>509</v>
      </c>
      <c r="D21" s="2" t="s">
        <v>760</v>
      </c>
      <c r="E21" s="2" t="s">
        <v>752</v>
      </c>
      <c r="F21" s="2" t="s">
        <v>753</v>
      </c>
      <c r="G21" s="2" t="s">
        <v>754</v>
      </c>
      <c r="H21" s="2" t="s">
        <v>862</v>
      </c>
      <c r="I21" s="2" t="s">
        <v>863</v>
      </c>
      <c r="J21" s="2" t="s">
        <v>864</v>
      </c>
      <c r="K21" s="2" t="s">
        <v>585</v>
      </c>
      <c r="L21" s="2" t="s">
        <v>65</v>
      </c>
      <c r="M21" s="2" t="s">
        <v>758</v>
      </c>
    </row>
    <row r="22" spans="1:13" ht="33" customHeight="1" x14ac:dyDescent="0.3">
      <c r="A22" s="2" t="s">
        <v>865</v>
      </c>
      <c r="B22" s="2" t="s">
        <v>10</v>
      </c>
      <c r="C22" s="2" t="s">
        <v>526</v>
      </c>
      <c r="D22" s="2" t="s">
        <v>835</v>
      </c>
      <c r="E22" s="2" t="s">
        <v>866</v>
      </c>
      <c r="F22" s="2" t="s">
        <v>867</v>
      </c>
      <c r="G22" s="2" t="s">
        <v>754</v>
      </c>
      <c r="H22" s="2" t="s">
        <v>868</v>
      </c>
      <c r="I22" s="2" t="s">
        <v>869</v>
      </c>
      <c r="J22" s="2" t="s">
        <v>870</v>
      </c>
      <c r="K22" s="2" t="s">
        <v>585</v>
      </c>
      <c r="L22" s="2" t="s">
        <v>567</v>
      </c>
      <c r="M22" s="2" t="s">
        <v>871</v>
      </c>
    </row>
    <row r="23" spans="1:13" ht="22.2" customHeight="1" x14ac:dyDescent="0.3">
      <c r="A23" s="2" t="s">
        <v>872</v>
      </c>
      <c r="B23" s="2" t="s">
        <v>10</v>
      </c>
      <c r="C23" s="2" t="s">
        <v>873</v>
      </c>
      <c r="D23" s="2" t="s">
        <v>835</v>
      </c>
      <c r="E23" s="2" t="s">
        <v>814</v>
      </c>
      <c r="F23" s="2" t="s">
        <v>867</v>
      </c>
      <c r="G23" s="2" t="s">
        <v>874</v>
      </c>
      <c r="H23" s="2" t="s">
        <v>875</v>
      </c>
      <c r="I23" s="2" t="s">
        <v>876</v>
      </c>
      <c r="J23" s="2" t="s">
        <v>877</v>
      </c>
      <c r="K23" s="2" t="s">
        <v>610</v>
      </c>
      <c r="L23" s="2" t="s">
        <v>550</v>
      </c>
      <c r="M23" s="2" t="s">
        <v>878</v>
      </c>
    </row>
    <row r="24" spans="1:13" ht="22.2" customHeight="1" x14ac:dyDescent="0.3">
      <c r="A24" s="2" t="s">
        <v>879</v>
      </c>
      <c r="B24" s="2" t="s">
        <v>10</v>
      </c>
      <c r="C24" s="2" t="s">
        <v>880</v>
      </c>
      <c r="D24" s="2" t="s">
        <v>881</v>
      </c>
      <c r="E24" s="2" t="s">
        <v>752</v>
      </c>
      <c r="F24" s="2" t="s">
        <v>882</v>
      </c>
      <c r="G24" s="2" t="s">
        <v>874</v>
      </c>
      <c r="H24" s="2" t="s">
        <v>883</v>
      </c>
      <c r="I24" s="2" t="s">
        <v>884</v>
      </c>
      <c r="J24" s="2" t="s">
        <v>885</v>
      </c>
      <c r="K24" s="2" t="s">
        <v>610</v>
      </c>
      <c r="L24" s="2" t="s">
        <v>886</v>
      </c>
      <c r="M24" s="2" t="s">
        <v>887</v>
      </c>
    </row>
  </sheetData>
  <dataValidations count="1">
    <dataValidation type="list" sqref="K2:K500" xr:uid="{00000000-0002-0000-0800-000000000000}">
      <formula1>"LOW,MEDIUM,HIGH"</formula1>
      <formula2>0</formula2>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6"/>
  <sheetViews>
    <sheetView workbookViewId="0"/>
  </sheetViews>
  <sheetFormatPr defaultColWidth="8.6640625" defaultRowHeight="13.2" x14ac:dyDescent="0.25"/>
  <cols>
    <col min="1" max="1" width="26" customWidth="1"/>
    <col min="2" max="2" width="18" customWidth="1"/>
    <col min="3" max="3" width="24" customWidth="1"/>
    <col min="4" max="4" width="36" customWidth="1"/>
    <col min="5" max="5" width="18" customWidth="1"/>
    <col min="6" max="6" width="60" customWidth="1"/>
  </cols>
  <sheetData>
    <row r="1" spans="1:6" ht="28.8" customHeight="1" x14ac:dyDescent="0.25">
      <c r="A1" s="3" t="s">
        <v>592</v>
      </c>
      <c r="B1" s="3" t="s">
        <v>888</v>
      </c>
      <c r="C1" s="3" t="s">
        <v>889</v>
      </c>
      <c r="D1" s="3" t="s">
        <v>890</v>
      </c>
      <c r="E1" s="3" t="s">
        <v>891</v>
      </c>
      <c r="F1" s="3" t="s">
        <v>892</v>
      </c>
    </row>
    <row r="2" spans="1:6" ht="12" customHeight="1" x14ac:dyDescent="0.3">
      <c r="A2" s="2" t="s">
        <v>668</v>
      </c>
      <c r="B2" s="2">
        <v>1</v>
      </c>
      <c r="C2" s="2" t="s">
        <v>48</v>
      </c>
      <c r="D2" s="2" t="s">
        <v>529</v>
      </c>
      <c r="E2" s="2" t="s">
        <v>893</v>
      </c>
      <c r="F2" s="2" t="s">
        <v>894</v>
      </c>
    </row>
    <row r="3" spans="1:6" ht="12" customHeight="1" x14ac:dyDescent="0.3">
      <c r="A3" s="2" t="s">
        <v>668</v>
      </c>
      <c r="B3" s="2">
        <v>2</v>
      </c>
      <c r="C3" s="2" t="s">
        <v>49</v>
      </c>
      <c r="D3" s="2" t="s">
        <v>530</v>
      </c>
      <c r="E3" s="2" t="s">
        <v>893</v>
      </c>
      <c r="F3" s="2" t="s">
        <v>894</v>
      </c>
    </row>
    <row r="4" spans="1:6" ht="12" customHeight="1" x14ac:dyDescent="0.3">
      <c r="A4" s="2" t="s">
        <v>668</v>
      </c>
      <c r="B4" s="2">
        <v>3</v>
      </c>
      <c r="C4" s="2" t="s">
        <v>50</v>
      </c>
      <c r="D4" s="2" t="s">
        <v>531</v>
      </c>
      <c r="E4" s="2" t="s">
        <v>893</v>
      </c>
      <c r="F4" s="2" t="s">
        <v>894</v>
      </c>
    </row>
    <row r="5" spans="1:6" ht="12" customHeight="1" x14ac:dyDescent="0.3">
      <c r="A5" s="2" t="s">
        <v>668</v>
      </c>
      <c r="B5" s="2">
        <v>4</v>
      </c>
      <c r="C5" s="2" t="s">
        <v>51</v>
      </c>
      <c r="D5" s="2" t="s">
        <v>532</v>
      </c>
      <c r="E5" s="2" t="s">
        <v>893</v>
      </c>
      <c r="F5" s="2" t="s">
        <v>894</v>
      </c>
    </row>
    <row r="6" spans="1:6" ht="12" customHeight="1" x14ac:dyDescent="0.3">
      <c r="A6" s="2" t="s">
        <v>668</v>
      </c>
      <c r="B6" s="2">
        <v>5</v>
      </c>
      <c r="C6" s="2" t="s">
        <v>52</v>
      </c>
      <c r="D6" s="2" t="s">
        <v>533</v>
      </c>
      <c r="E6" s="2" t="s">
        <v>893</v>
      </c>
      <c r="F6" s="2" t="s">
        <v>894</v>
      </c>
    </row>
    <row r="7" spans="1:6" ht="12" customHeight="1" x14ac:dyDescent="0.3">
      <c r="A7" s="2" t="s">
        <v>668</v>
      </c>
      <c r="B7" s="2">
        <v>6</v>
      </c>
      <c r="C7" s="2" t="s">
        <v>53</v>
      </c>
      <c r="D7" s="2" t="s">
        <v>534</v>
      </c>
      <c r="E7" s="2" t="s">
        <v>893</v>
      </c>
      <c r="F7" s="2" t="s">
        <v>894</v>
      </c>
    </row>
    <row r="8" spans="1:6" ht="12" customHeight="1" x14ac:dyDescent="0.3">
      <c r="A8" s="2" t="s">
        <v>668</v>
      </c>
      <c r="B8" s="2">
        <v>7</v>
      </c>
      <c r="C8" s="2" t="s">
        <v>54</v>
      </c>
      <c r="D8" s="2" t="s">
        <v>535</v>
      </c>
      <c r="E8" s="2" t="s">
        <v>893</v>
      </c>
      <c r="F8" s="2" t="s">
        <v>894</v>
      </c>
    </row>
    <row r="9" spans="1:6" ht="12" customHeight="1" x14ac:dyDescent="0.3">
      <c r="A9" s="2" t="s">
        <v>668</v>
      </c>
      <c r="B9" s="2">
        <v>8</v>
      </c>
      <c r="C9" s="2" t="s">
        <v>55</v>
      </c>
      <c r="D9" s="2" t="s">
        <v>536</v>
      </c>
      <c r="E9" s="2" t="s">
        <v>893</v>
      </c>
      <c r="F9" s="2" t="s">
        <v>894</v>
      </c>
    </row>
    <row r="10" spans="1:6" ht="12" customHeight="1" x14ac:dyDescent="0.3">
      <c r="A10" s="2" t="s">
        <v>668</v>
      </c>
      <c r="B10" s="2">
        <v>9</v>
      </c>
      <c r="C10" s="2" t="s">
        <v>56</v>
      </c>
      <c r="D10" s="2" t="s">
        <v>537</v>
      </c>
      <c r="E10" s="2" t="s">
        <v>893</v>
      </c>
      <c r="F10" s="2" t="s">
        <v>894</v>
      </c>
    </row>
    <row r="11" spans="1:6" ht="12" customHeight="1" x14ac:dyDescent="0.3">
      <c r="A11" s="2" t="s">
        <v>668</v>
      </c>
      <c r="B11" s="2">
        <v>10</v>
      </c>
      <c r="C11" s="2" t="s">
        <v>57</v>
      </c>
      <c r="D11" s="2" t="s">
        <v>538</v>
      </c>
      <c r="E11" s="2" t="s">
        <v>893</v>
      </c>
      <c r="F11" s="2" t="s">
        <v>894</v>
      </c>
    </row>
    <row r="12" spans="1:6" ht="12" customHeight="1" x14ac:dyDescent="0.3">
      <c r="A12" s="2" t="s">
        <v>668</v>
      </c>
      <c r="B12" s="2">
        <v>11</v>
      </c>
      <c r="C12" s="2" t="s">
        <v>58</v>
      </c>
      <c r="D12" s="2" t="s">
        <v>539</v>
      </c>
      <c r="E12" s="2" t="s">
        <v>893</v>
      </c>
      <c r="F12" s="2" t="s">
        <v>894</v>
      </c>
    </row>
    <row r="13" spans="1:6" ht="12" customHeight="1" x14ac:dyDescent="0.3">
      <c r="A13" s="2" t="s">
        <v>668</v>
      </c>
      <c r="B13" s="2">
        <v>12</v>
      </c>
      <c r="C13" s="2" t="s">
        <v>59</v>
      </c>
      <c r="D13" s="2" t="s">
        <v>540</v>
      </c>
      <c r="E13" s="2" t="s">
        <v>893</v>
      </c>
      <c r="F13" s="2" t="s">
        <v>894</v>
      </c>
    </row>
    <row r="14" spans="1:6" ht="12" customHeight="1" x14ac:dyDescent="0.3">
      <c r="A14" s="2" t="s">
        <v>668</v>
      </c>
      <c r="B14" s="2">
        <v>13</v>
      </c>
      <c r="C14" s="2" t="s">
        <v>60</v>
      </c>
      <c r="D14" s="2" t="s">
        <v>541</v>
      </c>
      <c r="E14" s="2" t="s">
        <v>893</v>
      </c>
      <c r="F14" s="2" t="s">
        <v>894</v>
      </c>
    </row>
    <row r="15" spans="1:6" ht="12" customHeight="1" x14ac:dyDescent="0.3">
      <c r="A15" s="2" t="s">
        <v>668</v>
      </c>
      <c r="B15" s="2">
        <v>14</v>
      </c>
      <c r="C15" s="2" t="s">
        <v>61</v>
      </c>
      <c r="D15" s="2" t="s">
        <v>542</v>
      </c>
      <c r="E15" s="2" t="s">
        <v>893</v>
      </c>
      <c r="F15" s="2" t="s">
        <v>894</v>
      </c>
    </row>
    <row r="16" spans="1:6" ht="22.2" customHeight="1" x14ac:dyDescent="0.3">
      <c r="A16" s="2" t="s">
        <v>602</v>
      </c>
      <c r="B16" s="2">
        <v>1</v>
      </c>
      <c r="C16" s="2" t="s">
        <v>48</v>
      </c>
      <c r="D16" s="2" t="s">
        <v>895</v>
      </c>
      <c r="E16" s="2" t="s">
        <v>896</v>
      </c>
      <c r="F16" s="2" t="s">
        <v>897</v>
      </c>
    </row>
    <row r="17" spans="1:6" ht="22.2" customHeight="1" x14ac:dyDescent="0.3">
      <c r="A17" s="2" t="s">
        <v>602</v>
      </c>
      <c r="B17" s="2">
        <v>2</v>
      </c>
      <c r="C17" s="2" t="s">
        <v>338</v>
      </c>
      <c r="D17" s="2" t="s">
        <v>898</v>
      </c>
      <c r="E17" s="2" t="s">
        <v>896</v>
      </c>
      <c r="F17" s="2" t="s">
        <v>897</v>
      </c>
    </row>
    <row r="18" spans="1:6" ht="22.2" customHeight="1" x14ac:dyDescent="0.3">
      <c r="A18" s="2" t="s">
        <v>602</v>
      </c>
      <c r="B18" s="2">
        <v>3</v>
      </c>
      <c r="C18" s="2" t="s">
        <v>339</v>
      </c>
      <c r="D18" s="2" t="s">
        <v>899</v>
      </c>
      <c r="E18" s="2" t="s">
        <v>896</v>
      </c>
      <c r="F18" s="2" t="s">
        <v>897</v>
      </c>
    </row>
    <row r="19" spans="1:6" ht="22.2" customHeight="1" x14ac:dyDescent="0.3">
      <c r="A19" s="2" t="s">
        <v>602</v>
      </c>
      <c r="B19" s="2">
        <v>4</v>
      </c>
      <c r="C19" s="2" t="s">
        <v>340</v>
      </c>
      <c r="D19" s="2" t="s">
        <v>545</v>
      </c>
      <c r="E19" s="2" t="s">
        <v>896</v>
      </c>
      <c r="F19" s="2" t="s">
        <v>897</v>
      </c>
    </row>
    <row r="20" spans="1:6" ht="22.2" customHeight="1" x14ac:dyDescent="0.3">
      <c r="A20" s="2" t="s">
        <v>602</v>
      </c>
      <c r="B20" s="2">
        <v>5</v>
      </c>
      <c r="C20" s="2" t="s">
        <v>341</v>
      </c>
      <c r="D20" s="2" t="s">
        <v>546</v>
      </c>
      <c r="E20" s="2" t="s">
        <v>896</v>
      </c>
      <c r="F20" s="2" t="s">
        <v>897</v>
      </c>
    </row>
    <row r="21" spans="1:6" ht="22.2" customHeight="1" x14ac:dyDescent="0.3">
      <c r="A21" s="2" t="s">
        <v>602</v>
      </c>
      <c r="B21" s="2">
        <v>6</v>
      </c>
      <c r="C21" s="2" t="s">
        <v>55</v>
      </c>
      <c r="D21" s="2" t="s">
        <v>547</v>
      </c>
      <c r="E21" s="2" t="s">
        <v>896</v>
      </c>
      <c r="F21" s="2" t="s">
        <v>897</v>
      </c>
    </row>
    <row r="22" spans="1:6" ht="22.2" customHeight="1" x14ac:dyDescent="0.3">
      <c r="A22" s="2" t="s">
        <v>602</v>
      </c>
      <c r="B22" s="2">
        <v>7</v>
      </c>
      <c r="C22" s="2" t="s">
        <v>60</v>
      </c>
      <c r="D22" s="2" t="s">
        <v>899</v>
      </c>
      <c r="E22" s="2" t="s">
        <v>896</v>
      </c>
      <c r="F22" s="2" t="s">
        <v>897</v>
      </c>
    </row>
    <row r="23" spans="1:6" ht="22.2" customHeight="1" x14ac:dyDescent="0.3">
      <c r="A23" s="2" t="s">
        <v>857</v>
      </c>
      <c r="B23" s="2">
        <v>1</v>
      </c>
      <c r="C23" s="2" t="s">
        <v>48</v>
      </c>
      <c r="D23" s="2" t="s">
        <v>900</v>
      </c>
      <c r="E23" s="2" t="s">
        <v>896</v>
      </c>
      <c r="F23" s="2" t="s">
        <v>894</v>
      </c>
    </row>
    <row r="24" spans="1:6" ht="22.2" customHeight="1" x14ac:dyDescent="0.3">
      <c r="A24" s="2" t="s">
        <v>857</v>
      </c>
      <c r="B24" s="2">
        <v>2</v>
      </c>
      <c r="C24" s="2" t="s">
        <v>509</v>
      </c>
      <c r="D24" s="2" t="s">
        <v>901</v>
      </c>
      <c r="E24" s="2" t="s">
        <v>896</v>
      </c>
      <c r="F24" s="2" t="s">
        <v>894</v>
      </c>
    </row>
    <row r="25" spans="1:6" ht="22.2" customHeight="1" x14ac:dyDescent="0.3">
      <c r="A25" s="2" t="s">
        <v>857</v>
      </c>
      <c r="B25" s="2">
        <v>3</v>
      </c>
      <c r="C25" s="2" t="s">
        <v>52</v>
      </c>
      <c r="D25" s="2" t="s">
        <v>899</v>
      </c>
      <c r="E25" s="2" t="s">
        <v>896</v>
      </c>
      <c r="F25" s="2" t="s">
        <v>894</v>
      </c>
    </row>
    <row r="26" spans="1:6" ht="22.2" customHeight="1" x14ac:dyDescent="0.3">
      <c r="A26" s="2" t="s">
        <v>857</v>
      </c>
      <c r="B26" s="2">
        <v>4</v>
      </c>
      <c r="C26" s="2" t="s">
        <v>59</v>
      </c>
      <c r="D26" s="2" t="s">
        <v>899</v>
      </c>
      <c r="E26" s="2" t="s">
        <v>896</v>
      </c>
      <c r="F26" s="2" t="s">
        <v>894</v>
      </c>
    </row>
    <row r="27" spans="1:6" ht="22.2" customHeight="1" x14ac:dyDescent="0.3">
      <c r="A27" s="2" t="s">
        <v>857</v>
      </c>
      <c r="B27" s="2">
        <v>5</v>
      </c>
      <c r="C27" s="2" t="s">
        <v>510</v>
      </c>
      <c r="D27" s="2" t="s">
        <v>899</v>
      </c>
      <c r="E27" s="2" t="s">
        <v>896</v>
      </c>
      <c r="F27" s="2" t="s">
        <v>894</v>
      </c>
    </row>
    <row r="28" spans="1:6" ht="12" customHeight="1" x14ac:dyDescent="0.3">
      <c r="A28" s="2" t="s">
        <v>10</v>
      </c>
      <c r="B28" s="2"/>
      <c r="C28" s="2" t="s">
        <v>526</v>
      </c>
      <c r="D28" s="2" t="s">
        <v>526</v>
      </c>
      <c r="E28" s="2" t="s">
        <v>867</v>
      </c>
      <c r="F28" s="2" t="s">
        <v>902</v>
      </c>
    </row>
    <row r="29" spans="1:6" ht="12" customHeight="1" x14ac:dyDescent="0.3">
      <c r="A29" s="2" t="s">
        <v>10</v>
      </c>
      <c r="B29" s="2"/>
      <c r="C29" s="2" t="s">
        <v>549</v>
      </c>
      <c r="D29" s="2" t="s">
        <v>549</v>
      </c>
      <c r="E29" s="2" t="s">
        <v>867</v>
      </c>
      <c r="F29" s="2" t="s">
        <v>903</v>
      </c>
    </row>
    <row r="30" spans="1:6" ht="12" customHeight="1" x14ac:dyDescent="0.3">
      <c r="A30" s="2" t="s">
        <v>10</v>
      </c>
      <c r="B30" s="2"/>
      <c r="C30" s="2" t="s">
        <v>550</v>
      </c>
      <c r="D30" s="2" t="s">
        <v>550</v>
      </c>
      <c r="E30" s="2" t="s">
        <v>867</v>
      </c>
      <c r="F30" s="2" t="s">
        <v>904</v>
      </c>
    </row>
    <row r="31" spans="1:6" ht="12" customHeight="1" x14ac:dyDescent="0.3">
      <c r="A31" s="2" t="s">
        <v>10</v>
      </c>
      <c r="B31" s="2"/>
      <c r="C31" s="2" t="s">
        <v>551</v>
      </c>
      <c r="D31" s="2" t="s">
        <v>551</v>
      </c>
      <c r="E31" s="2" t="s">
        <v>867</v>
      </c>
      <c r="F31" s="2" t="s">
        <v>905</v>
      </c>
    </row>
    <row r="32" spans="1:6" ht="12" customHeight="1" x14ac:dyDescent="0.3">
      <c r="A32" s="2" t="s">
        <v>10</v>
      </c>
      <c r="B32" s="2"/>
      <c r="C32" s="2" t="s">
        <v>552</v>
      </c>
      <c r="D32" s="2" t="s">
        <v>552</v>
      </c>
      <c r="E32" s="2" t="s">
        <v>867</v>
      </c>
      <c r="F32" s="2" t="s">
        <v>906</v>
      </c>
    </row>
    <row r="33" spans="1:6" ht="12" customHeight="1" x14ac:dyDescent="0.3">
      <c r="A33" s="2" t="s">
        <v>10</v>
      </c>
      <c r="B33" s="2"/>
      <c r="C33" s="2" t="s">
        <v>553</v>
      </c>
      <c r="D33" s="2" t="s">
        <v>553</v>
      </c>
      <c r="E33" s="2" t="s">
        <v>867</v>
      </c>
      <c r="F33" s="2" t="s">
        <v>907</v>
      </c>
    </row>
    <row r="34" spans="1:6" ht="12" customHeight="1" x14ac:dyDescent="0.3">
      <c r="A34" s="2" t="s">
        <v>10</v>
      </c>
      <c r="B34" s="2"/>
      <c r="C34" s="2" t="s">
        <v>554</v>
      </c>
      <c r="D34" s="2" t="s">
        <v>554</v>
      </c>
      <c r="E34" s="2" t="s">
        <v>867</v>
      </c>
      <c r="F34" s="2" t="s">
        <v>908</v>
      </c>
    </row>
    <row r="35" spans="1:6" ht="12" customHeight="1" x14ac:dyDescent="0.3">
      <c r="A35" s="2" t="s">
        <v>10</v>
      </c>
      <c r="B35" s="2"/>
      <c r="C35" s="2" t="s">
        <v>555</v>
      </c>
      <c r="D35" s="2" t="s">
        <v>555</v>
      </c>
      <c r="E35" s="2" t="s">
        <v>867</v>
      </c>
      <c r="F35" s="2" t="s">
        <v>909</v>
      </c>
    </row>
    <row r="36" spans="1:6" ht="12" customHeight="1" x14ac:dyDescent="0.3">
      <c r="A36" s="2" t="s">
        <v>10</v>
      </c>
      <c r="B36" s="2"/>
      <c r="C36" s="2" t="s">
        <v>556</v>
      </c>
      <c r="D36" s="2" t="s">
        <v>556</v>
      </c>
      <c r="E36" s="2" t="s">
        <v>867</v>
      </c>
      <c r="F36" s="2" t="s">
        <v>910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Sync_Summary</vt:lpstr>
      <vt:lpstr>⚙️ Assumptions</vt:lpstr>
      <vt:lpstr>DB_Artworks_Export</vt:lpstr>
      <vt:lpstr>DB_Artwork_Sizes_Export</vt:lpstr>
      <vt:lpstr>DB_Categories_Export</vt:lpstr>
      <vt:lpstr>Inventory_Master</vt:lpstr>
      <vt:lpstr>Potential_Issues_Auto</vt:lpstr>
      <vt:lpstr>Reconciliation_Report</vt:lpstr>
      <vt:lpstr>Import_Validation_Rules</vt:lpstr>
      <vt:lpstr>DB_to_Inventory_Field_Mapping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Rishik Narla</dc:creator>
  <cp:lastModifiedBy>rn75699</cp:lastModifiedBy>
  <dcterms:created xsi:type="dcterms:W3CDTF">2026-06-25T17:27:27Z</dcterms:created>
  <dcterms:modified xsi:type="dcterms:W3CDTF">2026-06-25T17:27:28Z</dcterms:modified>
</cp:coreProperties>
</file>